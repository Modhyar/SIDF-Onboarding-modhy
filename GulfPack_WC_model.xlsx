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xr:revisionPtr revIDLastSave="0" documentId="8_{385EB9C6-9506-49B8-90FA-ABF3E3A60312}" xr6:coauthVersionLast="47" xr6:coauthVersionMax="47" xr10:uidLastSave="{00000000-0000-0000-0000-000000000000}"/>
  <bookViews>
    <workbookView xWindow="2688" yWindow="2688" windowWidth="13800" windowHeight="10668" xr2:uid="{00000000-000D-0000-FFFF-FFFF00000000}"/>
  </bookViews>
  <sheets>
    <sheet name="Main Model" sheetId="1" r:id="rId1"/>
    <sheet name="Recommended Loan   " sheetId="5" r:id="rId2"/>
  </sheets>
  <externalReferences>
    <externalReference r:id="rId3"/>
    <externalReference r:id="rId4"/>
  </externalReferences>
  <definedNames>
    <definedName name="cogs1">'[1]Income Statment'!$D$5</definedName>
    <definedName name="cogs2">'[1]Income Statment'!$E$5</definedName>
    <definedName name="cogs3">'[1]Income Statment'!$F$5</definedName>
    <definedName name="invent1">'[1]Financial Statment'!$E$8</definedName>
    <definedName name="invent2">'[1]Financial Statment'!$F$8</definedName>
    <definedName name="invent3">'[1]Financial Statment'!$G$8</definedName>
    <definedName name="payab1">'[1]Financial Statment'!$E$21</definedName>
    <definedName name="payab2">'[1]Financial Statment'!$F$21</definedName>
    <definedName name="payab3">'[1]Financial Statment'!$G$21</definedName>
    <definedName name="receiv1">'[1]Financial Statment'!$E$7</definedName>
    <definedName name="receiv2">'[1]Financial Statment'!$F$7</definedName>
    <definedName name="receiv3">'[1]Financial Statment'!$G$7</definedName>
    <definedName name="sales1">'[1]Income Statment'!$D$4</definedName>
    <definedName name="sales2">'[1]Income Statment'!$E$4</definedName>
    <definedName name="sales3">'[1]Income Statment'!$F$4</definedName>
    <definedName name="switch">[2]Info!$N$10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5" l="1"/>
  <c r="Q25" i="5"/>
  <c r="P25" i="5"/>
  <c r="O25" i="5"/>
  <c r="N25" i="5"/>
  <c r="M25" i="5"/>
  <c r="L25" i="5"/>
  <c r="K25" i="5"/>
  <c r="B20" i="5"/>
  <c r="B19" i="5"/>
  <c r="D15" i="5"/>
  <c r="C14" i="5"/>
  <c r="B14" i="5"/>
  <c r="D13" i="5"/>
  <c r="B13" i="5"/>
  <c r="D12" i="5"/>
  <c r="C12" i="5"/>
  <c r="B12" i="5"/>
  <c r="H8" i="5"/>
  <c r="G8" i="5"/>
  <c r="G7" i="5" s="1"/>
  <c r="F8" i="5"/>
  <c r="E8" i="5"/>
  <c r="C8" i="5"/>
  <c r="B8" i="5"/>
  <c r="F7" i="5"/>
  <c r="D7" i="5"/>
  <c r="E7" i="5" s="1"/>
  <c r="C7" i="5"/>
  <c r="B7" i="5"/>
  <c r="F6" i="5"/>
  <c r="E6" i="5"/>
  <c r="D6" i="5"/>
  <c r="C6" i="5"/>
  <c r="E5" i="5"/>
  <c r="D5" i="5"/>
  <c r="C5" i="5"/>
  <c r="H4" i="5"/>
  <c r="G4" i="5"/>
  <c r="F4" i="5"/>
  <c r="E4" i="5"/>
  <c r="D4" i="5"/>
  <c r="C4" i="5"/>
  <c r="B4" i="5"/>
  <c r="F179" i="1"/>
  <c r="D179" i="1"/>
  <c r="D178" i="1"/>
  <c r="D177" i="1"/>
  <c r="D166" i="1"/>
  <c r="D165" i="1"/>
  <c r="D164" i="1"/>
  <c r="G163" i="1"/>
  <c r="F163" i="1"/>
  <c r="E163" i="1"/>
  <c r="D163" i="1"/>
  <c r="B18" i="5" s="1"/>
  <c r="F158" i="1"/>
  <c r="E158" i="1"/>
  <c r="D158" i="1"/>
  <c r="J156" i="1"/>
  <c r="I156" i="1"/>
  <c r="H156" i="1"/>
  <c r="G156" i="1"/>
  <c r="D156" i="1"/>
  <c r="E153" i="1"/>
  <c r="J152" i="1"/>
  <c r="I152" i="1"/>
  <c r="I79" i="1" s="1"/>
  <c r="H152" i="1"/>
  <c r="H79" i="1" s="1"/>
  <c r="G152" i="1"/>
  <c r="G79" i="1" s="1"/>
  <c r="F152" i="1"/>
  <c r="E152" i="1"/>
  <c r="F151" i="1"/>
  <c r="E151" i="1"/>
  <c r="J150" i="1"/>
  <c r="I150" i="1"/>
  <c r="H150" i="1"/>
  <c r="G150" i="1"/>
  <c r="F149" i="1"/>
  <c r="J142" i="1"/>
  <c r="I142" i="1"/>
  <c r="H142" i="1"/>
  <c r="G142" i="1"/>
  <c r="F141" i="1"/>
  <c r="G137" i="1" s="1"/>
  <c r="G141" i="1" s="1"/>
  <c r="F140" i="1"/>
  <c r="F138" i="1"/>
  <c r="G133" i="1"/>
  <c r="D125" i="1"/>
  <c r="D124" i="1"/>
  <c r="D121" i="1"/>
  <c r="J119" i="1"/>
  <c r="I119" i="1"/>
  <c r="H119" i="1"/>
  <c r="G119" i="1"/>
  <c r="F119" i="1"/>
  <c r="F121" i="1" s="1"/>
  <c r="E119" i="1"/>
  <c r="D119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F111" i="1"/>
  <c r="E110" i="1"/>
  <c r="D110" i="1"/>
  <c r="G109" i="1"/>
  <c r="G103" i="1"/>
  <c r="F103" i="1"/>
  <c r="E103" i="1"/>
  <c r="E102" i="1"/>
  <c r="F101" i="1"/>
  <c r="E101" i="1"/>
  <c r="D101" i="1"/>
  <c r="H99" i="1"/>
  <c r="G99" i="1"/>
  <c r="F99" i="1"/>
  <c r="E99" i="1"/>
  <c r="D99" i="1"/>
  <c r="F94" i="1"/>
  <c r="E94" i="1"/>
  <c r="D94" i="1"/>
  <c r="D93" i="1"/>
  <c r="F92" i="1"/>
  <c r="F91" i="1"/>
  <c r="D91" i="1"/>
  <c r="G90" i="1"/>
  <c r="F90" i="1"/>
  <c r="E90" i="1"/>
  <c r="D90" i="1"/>
  <c r="F85" i="1"/>
  <c r="E85" i="1"/>
  <c r="E42" i="1" s="1"/>
  <c r="F38" i="1" s="1"/>
  <c r="D85" i="1"/>
  <c r="G82" i="1"/>
  <c r="F80" i="1"/>
  <c r="F83" i="1" s="1"/>
  <c r="E80" i="1"/>
  <c r="E83" i="1" s="1"/>
  <c r="D80" i="1"/>
  <c r="D83" i="1" s="1"/>
  <c r="J79" i="1"/>
  <c r="F79" i="1"/>
  <c r="G78" i="1"/>
  <c r="G94" i="1" s="1"/>
  <c r="D78" i="1"/>
  <c r="F77" i="1"/>
  <c r="E77" i="1"/>
  <c r="F76" i="1"/>
  <c r="F73" i="1"/>
  <c r="F102" i="1" s="1"/>
  <c r="E73" i="1"/>
  <c r="D73" i="1"/>
  <c r="G72" i="1"/>
  <c r="F72" i="1"/>
  <c r="F25" i="1" s="1"/>
  <c r="F71" i="1"/>
  <c r="G68" i="1"/>
  <c r="G92" i="1" s="1"/>
  <c r="F68" i="1"/>
  <c r="E68" i="1"/>
  <c r="E92" i="1" s="1"/>
  <c r="D68" i="1"/>
  <c r="D92" i="1" s="1"/>
  <c r="D95" i="1" s="1"/>
  <c r="H67" i="1"/>
  <c r="G67" i="1"/>
  <c r="F66" i="1"/>
  <c r="F178" i="1" s="1"/>
  <c r="E66" i="1"/>
  <c r="G65" i="1"/>
  <c r="F65" i="1"/>
  <c r="E65" i="1"/>
  <c r="E177" i="1" s="1"/>
  <c r="E64" i="1"/>
  <c r="J63" i="1"/>
  <c r="I63" i="1"/>
  <c r="H63" i="1"/>
  <c r="G63" i="1"/>
  <c r="F63" i="1"/>
  <c r="E63" i="1"/>
  <c r="D63" i="1"/>
  <c r="I58" i="1"/>
  <c r="J58" i="1" s="1"/>
  <c r="H58" i="1"/>
  <c r="G58" i="1"/>
  <c r="J55" i="1"/>
  <c r="I55" i="1"/>
  <c r="H55" i="1"/>
  <c r="F14" i="5" s="1"/>
  <c r="G55" i="1"/>
  <c r="E14" i="5" s="1"/>
  <c r="F55" i="1"/>
  <c r="D14" i="5" s="1"/>
  <c r="F54" i="1"/>
  <c r="E54" i="1"/>
  <c r="C13" i="5" s="1"/>
  <c r="C15" i="5" s="1"/>
  <c r="D54" i="1"/>
  <c r="F52" i="1"/>
  <c r="F53" i="1" s="1"/>
  <c r="E52" i="1"/>
  <c r="E11" i="1" s="1"/>
  <c r="D52" i="1"/>
  <c r="F51" i="1"/>
  <c r="E51" i="1"/>
  <c r="E53" i="1" s="1"/>
  <c r="D51" i="1"/>
  <c r="D53" i="1" s="1"/>
  <c r="G50" i="1"/>
  <c r="H49" i="1"/>
  <c r="G49" i="1"/>
  <c r="F46" i="1"/>
  <c r="E46" i="1"/>
  <c r="D46" i="1"/>
  <c r="F42" i="1"/>
  <c r="G38" i="1" s="1"/>
  <c r="D42" i="1"/>
  <c r="E38" i="1" s="1"/>
  <c r="F40" i="1"/>
  <c r="E40" i="1"/>
  <c r="E118" i="1" s="1"/>
  <c r="E121" i="1" s="1"/>
  <c r="D40" i="1"/>
  <c r="D118" i="1" s="1"/>
  <c r="D38" i="1"/>
  <c r="F36" i="1"/>
  <c r="E36" i="1"/>
  <c r="D36" i="1"/>
  <c r="F35" i="1"/>
  <c r="F98" i="1" s="1"/>
  <c r="H34" i="1"/>
  <c r="H109" i="1" s="1"/>
  <c r="G34" i="1"/>
  <c r="F34" i="1"/>
  <c r="G33" i="1"/>
  <c r="F33" i="1"/>
  <c r="E33" i="1"/>
  <c r="J32" i="1"/>
  <c r="I32" i="1"/>
  <c r="H32" i="1"/>
  <c r="G32" i="1"/>
  <c r="F32" i="1"/>
  <c r="E32" i="1"/>
  <c r="D32" i="1"/>
  <c r="H27" i="1"/>
  <c r="I27" i="1" s="1"/>
  <c r="J27" i="1" s="1"/>
  <c r="F27" i="1"/>
  <c r="E27" i="1"/>
  <c r="D27" i="1"/>
  <c r="F26" i="1"/>
  <c r="E26" i="1"/>
  <c r="D26" i="1"/>
  <c r="G26" i="1" s="1"/>
  <c r="E25" i="1"/>
  <c r="D25" i="1"/>
  <c r="F23" i="1"/>
  <c r="E23" i="1"/>
  <c r="D23" i="1"/>
  <c r="F22" i="1"/>
  <c r="E22" i="1"/>
  <c r="D22" i="1"/>
  <c r="F21" i="1"/>
  <c r="E21" i="1"/>
  <c r="D21" i="1"/>
  <c r="D20" i="1"/>
  <c r="D19" i="1"/>
  <c r="F18" i="1"/>
  <c r="E18" i="1"/>
  <c r="D18" i="1"/>
  <c r="F13" i="1"/>
  <c r="E13" i="1"/>
  <c r="D13" i="1"/>
  <c r="G13" i="1" s="1"/>
  <c r="F12" i="1"/>
  <c r="D11" i="1"/>
  <c r="H10" i="1"/>
  <c r="F10" i="1"/>
  <c r="E10" i="1"/>
  <c r="D10" i="1"/>
  <c r="F9" i="1"/>
  <c r="E9" i="1"/>
  <c r="E156" i="1" s="1"/>
  <c r="D180" i="1" l="1"/>
  <c r="E56" i="1"/>
  <c r="E60" i="1"/>
  <c r="E14" i="1"/>
  <c r="E86" i="1"/>
  <c r="E172" i="1"/>
  <c r="D60" i="1"/>
  <c r="D56" i="1"/>
  <c r="D14" i="1"/>
  <c r="D86" i="1"/>
  <c r="D172" i="1"/>
  <c r="G73" i="1"/>
  <c r="I26" i="1"/>
  <c r="I73" i="1" s="1"/>
  <c r="C27" i="5"/>
  <c r="C28" i="5" s="1"/>
  <c r="C16" i="5"/>
  <c r="H14" i="5"/>
  <c r="J99" i="1"/>
  <c r="E164" i="1"/>
  <c r="F164" i="1"/>
  <c r="E178" i="1"/>
  <c r="G110" i="1"/>
  <c r="G112" i="1" s="1"/>
  <c r="G130" i="1" s="1"/>
  <c r="F56" i="1"/>
  <c r="F14" i="1"/>
  <c r="H50" i="1"/>
  <c r="I10" i="1"/>
  <c r="K34" i="1"/>
  <c r="F109" i="1"/>
  <c r="F24" i="1"/>
  <c r="H26" i="1"/>
  <c r="H73" i="1" s="1"/>
  <c r="F171" i="1"/>
  <c r="F60" i="1"/>
  <c r="F153" i="1"/>
  <c r="G146" i="1"/>
  <c r="G149" i="1" s="1"/>
  <c r="G151" i="1"/>
  <c r="H51" i="1"/>
  <c r="E165" i="1"/>
  <c r="E93" i="1"/>
  <c r="E179" i="1"/>
  <c r="E91" i="1"/>
  <c r="E95" i="1" s="1"/>
  <c r="B6" i="5"/>
  <c r="B5" i="5" s="1"/>
  <c r="I49" i="1"/>
  <c r="G6" i="5"/>
  <c r="G5" i="5"/>
  <c r="D16" i="5"/>
  <c r="D27" i="5"/>
  <c r="D28" i="5" s="1"/>
  <c r="F156" i="1"/>
  <c r="D8" i="5"/>
  <c r="F11" i="1"/>
  <c r="H13" i="1"/>
  <c r="I13" i="1" s="1"/>
  <c r="J13" i="1" s="1"/>
  <c r="E35" i="1"/>
  <c r="H52" i="1"/>
  <c r="H82" i="1"/>
  <c r="H103" i="1" s="1"/>
  <c r="H72" i="1"/>
  <c r="H78" i="1"/>
  <c r="H94" i="1" s="1"/>
  <c r="H68" i="1"/>
  <c r="H92" i="1" s="1"/>
  <c r="H65" i="1"/>
  <c r="G76" i="1"/>
  <c r="H137" i="1"/>
  <c r="H141" i="1" s="1"/>
  <c r="H143" i="1"/>
  <c r="H177" i="1"/>
  <c r="E18" i="5"/>
  <c r="E12" i="1"/>
  <c r="G66" i="1"/>
  <c r="G91" i="1" s="1"/>
  <c r="G95" i="1" s="1"/>
  <c r="E12" i="5"/>
  <c r="D35" i="1"/>
  <c r="D12" i="1"/>
  <c r="G14" i="5"/>
  <c r="I99" i="1"/>
  <c r="G77" i="1"/>
  <c r="G93" i="1" s="1"/>
  <c r="F86" i="1"/>
  <c r="F110" i="1"/>
  <c r="F172" i="1"/>
  <c r="G177" i="1"/>
  <c r="G51" i="1"/>
  <c r="G52" i="1"/>
  <c r="F69" i="1"/>
  <c r="G143" i="1"/>
  <c r="H7" i="5"/>
  <c r="B21" i="5"/>
  <c r="F5" i="5"/>
  <c r="B15" i="5"/>
  <c r="C18" i="5"/>
  <c r="E69" i="1"/>
  <c r="F165" i="1"/>
  <c r="F93" i="1"/>
  <c r="F95" i="1" s="1"/>
  <c r="D18" i="5"/>
  <c r="D69" i="1"/>
  <c r="F177" i="1"/>
  <c r="E180" i="1" l="1"/>
  <c r="F100" i="1"/>
  <c r="E100" i="1"/>
  <c r="G180" i="1"/>
  <c r="G100" i="1"/>
  <c r="F180" i="1"/>
  <c r="C21" i="5"/>
  <c r="C24" i="5" s="1"/>
  <c r="C25" i="5" s="1"/>
  <c r="F74" i="1"/>
  <c r="F167" i="1"/>
  <c r="F162" i="1"/>
  <c r="E98" i="1"/>
  <c r="E34" i="1"/>
  <c r="B27" i="5"/>
  <c r="B28" i="5" s="1"/>
  <c r="B16" i="5"/>
  <c r="B24" i="5"/>
  <c r="B25" i="5" s="1"/>
  <c r="D34" i="1"/>
  <c r="D98" i="1"/>
  <c r="I102" i="1"/>
  <c r="J26" i="1"/>
  <c r="J73" i="1" s="1"/>
  <c r="J102" i="1" s="1"/>
  <c r="D97" i="1"/>
  <c r="D104" i="1" s="1"/>
  <c r="D159" i="1"/>
  <c r="D39" i="1"/>
  <c r="D15" i="1"/>
  <c r="D20" i="5"/>
  <c r="F20" i="1"/>
  <c r="E97" i="1"/>
  <c r="E104" i="1" s="1"/>
  <c r="E159" i="1"/>
  <c r="E39" i="1"/>
  <c r="E15" i="1"/>
  <c r="E74" i="1"/>
  <c r="E167" i="1"/>
  <c r="E162" i="1"/>
  <c r="H76" i="1"/>
  <c r="I143" i="1"/>
  <c r="I137" i="1"/>
  <c r="I141" i="1" s="1"/>
  <c r="H146" i="1"/>
  <c r="H149" i="1" s="1"/>
  <c r="G153" i="1"/>
  <c r="G81" i="1" s="1"/>
  <c r="E174" i="1"/>
  <c r="E175" i="1"/>
  <c r="E170" i="1"/>
  <c r="E157" i="1"/>
  <c r="E171" i="1"/>
  <c r="I50" i="1"/>
  <c r="J10" i="1"/>
  <c r="J50" i="1" s="1"/>
  <c r="G158" i="1"/>
  <c r="G53" i="1"/>
  <c r="F39" i="1"/>
  <c r="F15" i="1"/>
  <c r="F159" i="1"/>
  <c r="F97" i="1"/>
  <c r="F104" i="1" s="1"/>
  <c r="D19" i="5"/>
  <c r="D21" i="5" s="1"/>
  <c r="D24" i="5" s="1"/>
  <c r="D25" i="5" s="1"/>
  <c r="F19" i="1"/>
  <c r="G12" i="1"/>
  <c r="H12" i="1" s="1"/>
  <c r="C20" i="5"/>
  <c r="E20" i="1"/>
  <c r="C19" i="5"/>
  <c r="E19" i="1"/>
  <c r="D174" i="1"/>
  <c r="D175" i="1"/>
  <c r="D170" i="1"/>
  <c r="D157" i="1"/>
  <c r="D171" i="1"/>
  <c r="E88" i="1"/>
  <c r="I110" i="1"/>
  <c r="I82" i="1"/>
  <c r="I103" i="1" s="1"/>
  <c r="I67" i="1"/>
  <c r="I65" i="1"/>
  <c r="I90" i="1" s="1"/>
  <c r="I177" i="1"/>
  <c r="I51" i="1"/>
  <c r="I34" i="1"/>
  <c r="I109" i="1" s="1"/>
  <c r="I112" i="1" s="1"/>
  <c r="I130" i="1" s="1"/>
  <c r="I163" i="1"/>
  <c r="I78" i="1"/>
  <c r="I94" i="1" s="1"/>
  <c r="I52" i="1"/>
  <c r="I72" i="1"/>
  <c r="I68" i="1"/>
  <c r="H158" i="1"/>
  <c r="H53" i="1"/>
  <c r="J49" i="1"/>
  <c r="H6" i="5"/>
  <c r="H5" i="5" s="1"/>
  <c r="G165" i="1"/>
  <c r="E20" i="5" s="1"/>
  <c r="G164" i="1"/>
  <c r="H102" i="1"/>
  <c r="G102" i="1"/>
  <c r="G179" i="1"/>
  <c r="F112" i="1"/>
  <c r="D74" i="1"/>
  <c r="D167" i="1"/>
  <c r="D162" i="1"/>
  <c r="E166" i="1"/>
  <c r="G57" i="1"/>
  <c r="F88" i="1"/>
  <c r="G80" i="1"/>
  <c r="F175" i="1"/>
  <c r="F157" i="1"/>
  <c r="F174" i="1"/>
  <c r="F170" i="1"/>
  <c r="F166" i="1"/>
  <c r="G178" i="1"/>
  <c r="H90" i="1"/>
  <c r="H163" i="1"/>
  <c r="H178" i="1"/>
  <c r="H66" i="1"/>
  <c r="H91" i="1" s="1"/>
  <c r="F12" i="5"/>
  <c r="H164" i="1"/>
  <c r="F19" i="5" s="1"/>
  <c r="H77" i="1"/>
  <c r="H93" i="1" s="1"/>
  <c r="H110" i="1"/>
  <c r="H112" i="1" s="1"/>
  <c r="H130" i="1" s="1"/>
  <c r="D181" i="1" l="1"/>
  <c r="D173" i="1"/>
  <c r="I146" i="1"/>
  <c r="I149" i="1" s="1"/>
  <c r="H153" i="1"/>
  <c r="H81" i="1" s="1"/>
  <c r="H151" i="1"/>
  <c r="H57" i="1" s="1"/>
  <c r="I151" i="1"/>
  <c r="I57" i="1" s="1"/>
  <c r="H165" i="1"/>
  <c r="F20" i="5" s="1"/>
  <c r="J82" i="1"/>
  <c r="J103" i="1" s="1"/>
  <c r="J163" i="1"/>
  <c r="J72" i="1"/>
  <c r="J110" i="1" s="1"/>
  <c r="J67" i="1"/>
  <c r="J177" i="1"/>
  <c r="J51" i="1"/>
  <c r="J34" i="1"/>
  <c r="J109" i="1" s="1"/>
  <c r="J52" i="1"/>
  <c r="J65" i="1"/>
  <c r="J90" i="1" s="1"/>
  <c r="J68" i="1"/>
  <c r="J92" i="1" s="1"/>
  <c r="J78" i="1"/>
  <c r="J94" i="1" s="1"/>
  <c r="G12" i="5"/>
  <c r="I179" i="1"/>
  <c r="I77" i="1"/>
  <c r="I93" i="1" s="1"/>
  <c r="I165" i="1"/>
  <c r="G20" i="5" s="1"/>
  <c r="I66" i="1"/>
  <c r="I91" i="1" s="1"/>
  <c r="I95" i="1" s="1"/>
  <c r="I76" i="1"/>
  <c r="J137" i="1"/>
  <c r="J141" i="1" s="1"/>
  <c r="J76" i="1" s="1"/>
  <c r="J143" i="1"/>
  <c r="B29" i="5"/>
  <c r="D106" i="1"/>
  <c r="D107" i="1" s="1"/>
  <c r="H166" i="1"/>
  <c r="F18" i="5"/>
  <c r="F21" i="5" s="1"/>
  <c r="G83" i="1"/>
  <c r="G18" i="5"/>
  <c r="D29" i="5"/>
  <c r="F123" i="1"/>
  <c r="F106" i="1"/>
  <c r="F107" i="1" s="1"/>
  <c r="H179" i="1"/>
  <c r="D88" i="1"/>
  <c r="H80" i="1"/>
  <c r="H83" i="1" s="1"/>
  <c r="I92" i="1"/>
  <c r="H95" i="1"/>
  <c r="J77" i="1"/>
  <c r="J93" i="1" s="1"/>
  <c r="J165" i="1"/>
  <c r="H20" i="5" s="1"/>
  <c r="J66" i="1"/>
  <c r="J91" i="1" s="1"/>
  <c r="J164" i="1"/>
  <c r="H19" i="5" s="1"/>
  <c r="J179" i="1"/>
  <c r="H12" i="5"/>
  <c r="I158" i="1"/>
  <c r="I53" i="1"/>
  <c r="C29" i="5"/>
  <c r="E109" i="1"/>
  <c r="E112" i="1" s="1"/>
  <c r="E123" i="1" s="1"/>
  <c r="E124" i="1" s="1"/>
  <c r="E24" i="1"/>
  <c r="E19" i="5"/>
  <c r="E21" i="5" s="1"/>
  <c r="G166" i="1"/>
  <c r="G35" i="1"/>
  <c r="I12" i="1"/>
  <c r="G59" i="1"/>
  <c r="G60" i="1" s="1"/>
  <c r="D24" i="1"/>
  <c r="D109" i="1"/>
  <c r="D112" i="1" s="1"/>
  <c r="D123" i="1" s="1"/>
  <c r="E181" i="1"/>
  <c r="E173" i="1"/>
  <c r="F181" i="1"/>
  <c r="F173" i="1"/>
  <c r="G61" i="1" l="1"/>
  <c r="G40" i="1" s="1"/>
  <c r="G118" i="1" s="1"/>
  <c r="G39" i="1"/>
  <c r="G97" i="1"/>
  <c r="G159" i="1"/>
  <c r="J100" i="1"/>
  <c r="I180" i="1"/>
  <c r="F124" i="1"/>
  <c r="E126" i="1"/>
  <c r="E125" i="1"/>
  <c r="J80" i="1"/>
  <c r="H59" i="1"/>
  <c r="H60" i="1" s="1"/>
  <c r="I80" i="1"/>
  <c r="I83" i="1" s="1"/>
  <c r="J95" i="1"/>
  <c r="J180" i="1" s="1"/>
  <c r="H18" i="5"/>
  <c r="H21" i="5" s="1"/>
  <c r="J166" i="1"/>
  <c r="G54" i="1"/>
  <c r="G36" i="1"/>
  <c r="E106" i="1"/>
  <c r="E107" i="1" s="1"/>
  <c r="J12" i="1"/>
  <c r="J178" i="1"/>
  <c r="I164" i="1"/>
  <c r="J112" i="1"/>
  <c r="J130" i="1" s="1"/>
  <c r="I100" i="1"/>
  <c r="H180" i="1"/>
  <c r="H100" i="1"/>
  <c r="I153" i="1"/>
  <c r="I81" i="1" s="1"/>
  <c r="J146" i="1"/>
  <c r="J149" i="1" s="1"/>
  <c r="J153" i="1" s="1"/>
  <c r="J81" i="1" s="1"/>
  <c r="I178" i="1"/>
  <c r="I59" i="1"/>
  <c r="I60" i="1"/>
  <c r="J158" i="1"/>
  <c r="J53" i="1"/>
  <c r="H61" i="1" l="1"/>
  <c r="H40" i="1" s="1"/>
  <c r="H118" i="1" s="1"/>
  <c r="H97" i="1"/>
  <c r="H159" i="1"/>
  <c r="H39" i="1"/>
  <c r="G131" i="1"/>
  <c r="G121" i="1"/>
  <c r="F126" i="1"/>
  <c r="F125" i="1"/>
  <c r="J151" i="1"/>
  <c r="J57" i="1" s="1"/>
  <c r="J59" i="1" s="1"/>
  <c r="G19" i="5"/>
  <c r="G21" i="5" s="1"/>
  <c r="I166" i="1"/>
  <c r="G71" i="1"/>
  <c r="H33" i="1"/>
  <c r="I97" i="1"/>
  <c r="I159" i="1"/>
  <c r="I61" i="1"/>
  <c r="I40" i="1" s="1"/>
  <c r="I118" i="1" s="1"/>
  <c r="I39" i="1"/>
  <c r="E13" i="5"/>
  <c r="E15" i="5" s="1"/>
  <c r="G98" i="1"/>
  <c r="G104" i="1" s="1"/>
  <c r="G56" i="1"/>
  <c r="J83" i="1"/>
  <c r="G42" i="1"/>
  <c r="E29" i="5" l="1"/>
  <c r="G123" i="1"/>
  <c r="G124" i="1" s="1"/>
  <c r="G106" i="1"/>
  <c r="G107" i="1" s="1"/>
  <c r="G129" i="1"/>
  <c r="G132" i="1" s="1"/>
  <c r="G134" i="1" s="1"/>
  <c r="J60" i="1"/>
  <c r="H35" i="1"/>
  <c r="H54" i="1" s="1"/>
  <c r="G157" i="1"/>
  <c r="G175" i="1"/>
  <c r="G174" i="1"/>
  <c r="G170" i="1"/>
  <c r="E24" i="5"/>
  <c r="E25" i="5" s="1"/>
  <c r="E16" i="5"/>
  <c r="E27" i="5"/>
  <c r="E28" i="5" s="1"/>
  <c r="H38" i="1"/>
  <c r="H42" i="1" s="1"/>
  <c r="G85" i="1"/>
  <c r="I131" i="1"/>
  <c r="I121" i="1"/>
  <c r="H131" i="1"/>
  <c r="H121" i="1"/>
  <c r="F13" i="5" l="1"/>
  <c r="F15" i="5" s="1"/>
  <c r="H98" i="1"/>
  <c r="H104" i="1" s="1"/>
  <c r="H56" i="1"/>
  <c r="H36" i="1"/>
  <c r="J159" i="1"/>
  <c r="J61" i="1"/>
  <c r="J40" i="1" s="1"/>
  <c r="J118" i="1" s="1"/>
  <c r="J97" i="1"/>
  <c r="J39" i="1"/>
  <c r="G172" i="1"/>
  <c r="G86" i="1"/>
  <c r="H85" i="1"/>
  <c r="I38" i="1"/>
  <c r="I42" i="1" s="1"/>
  <c r="G64" i="1"/>
  <c r="G125" i="1" s="1"/>
  <c r="H157" i="1" l="1"/>
  <c r="H174" i="1"/>
  <c r="H175" i="1"/>
  <c r="H170" i="1"/>
  <c r="G69" i="1"/>
  <c r="H133" i="1"/>
  <c r="G171" i="1"/>
  <c r="J131" i="1"/>
  <c r="J121" i="1"/>
  <c r="I85" i="1"/>
  <c r="J38" i="1"/>
  <c r="J42" i="1" s="1"/>
  <c r="J85" i="1" s="1"/>
  <c r="H71" i="1"/>
  <c r="I33" i="1"/>
  <c r="H86" i="1"/>
  <c r="H172" i="1"/>
  <c r="H123" i="1"/>
  <c r="H124" i="1" s="1"/>
  <c r="H106" i="1"/>
  <c r="H107" i="1" s="1"/>
  <c r="F29" i="5"/>
  <c r="H129" i="1"/>
  <c r="H132" i="1" s="1"/>
  <c r="F24" i="5"/>
  <c r="F27" i="5"/>
  <c r="F28" i="5" s="1"/>
  <c r="B36" i="5" s="1"/>
  <c r="F16" i="5"/>
  <c r="B35" i="5" l="1"/>
  <c r="F25" i="5"/>
  <c r="H64" i="1"/>
  <c r="I86" i="1"/>
  <c r="I172" i="1"/>
  <c r="H134" i="1"/>
  <c r="I35" i="1"/>
  <c r="I54" i="1" s="1"/>
  <c r="G167" i="1"/>
  <c r="G162" i="1"/>
  <c r="G74" i="1"/>
  <c r="J86" i="1"/>
  <c r="J172" i="1"/>
  <c r="G181" i="1" l="1"/>
  <c r="G173" i="1"/>
  <c r="G88" i="1"/>
  <c r="G89" i="1"/>
  <c r="I133" i="1"/>
  <c r="H69" i="1"/>
  <c r="H171" i="1"/>
  <c r="H125" i="1"/>
  <c r="I36" i="1"/>
  <c r="G13" i="5"/>
  <c r="G15" i="5" s="1"/>
  <c r="I98" i="1"/>
  <c r="I104" i="1" s="1"/>
  <c r="I56" i="1"/>
  <c r="G24" i="5" l="1"/>
  <c r="G25" i="5" s="1"/>
  <c r="G16" i="5"/>
  <c r="G27" i="5"/>
  <c r="G28" i="5" s="1"/>
  <c r="I71" i="1"/>
  <c r="J33" i="1"/>
  <c r="I175" i="1"/>
  <c r="I157" i="1"/>
  <c r="I174" i="1"/>
  <c r="I170" i="1"/>
  <c r="H167" i="1"/>
  <c r="H162" i="1"/>
  <c r="H74" i="1"/>
  <c r="G29" i="5"/>
  <c r="B37" i="5" s="1"/>
  <c r="B38" i="5" s="1"/>
  <c r="I106" i="1"/>
  <c r="I107" i="1" s="1"/>
  <c r="I123" i="1"/>
  <c r="I124" i="1" s="1"/>
  <c r="I129" i="1"/>
  <c r="I132" i="1" s="1"/>
  <c r="I134" i="1" s="1"/>
  <c r="I125" i="1" l="1"/>
  <c r="I64" i="1"/>
  <c r="J35" i="1"/>
  <c r="J54" i="1" s="1"/>
  <c r="H181" i="1"/>
  <c r="H173" i="1"/>
  <c r="H89" i="1"/>
  <c r="H88" i="1"/>
  <c r="H13" i="5" l="1"/>
  <c r="H15" i="5" s="1"/>
  <c r="J98" i="1"/>
  <c r="J104" i="1" s="1"/>
  <c r="J56" i="1"/>
  <c r="J36" i="1"/>
  <c r="J71" i="1" s="1"/>
  <c r="J133" i="1"/>
  <c r="I69" i="1"/>
  <c r="I171" i="1"/>
  <c r="H24" i="5" l="1"/>
  <c r="H25" i="5" s="1"/>
  <c r="H16" i="5"/>
  <c r="H27" i="5"/>
  <c r="H28" i="5" s="1"/>
  <c r="I162" i="1"/>
  <c r="I167" i="1"/>
  <c r="I74" i="1"/>
  <c r="J157" i="1"/>
  <c r="J175" i="1"/>
  <c r="J174" i="1"/>
  <c r="J170" i="1"/>
  <c r="J129" i="1"/>
  <c r="J132" i="1" s="1"/>
  <c r="J134" i="1" s="1"/>
  <c r="H29" i="5"/>
  <c r="J106" i="1"/>
  <c r="J107" i="1" s="1"/>
  <c r="J123" i="1"/>
  <c r="J124" i="1" s="1"/>
  <c r="J125" i="1" l="1"/>
  <c r="J64" i="1"/>
  <c r="I181" i="1"/>
  <c r="I173" i="1"/>
  <c r="I89" i="1"/>
  <c r="I88" i="1"/>
  <c r="J69" i="1" l="1"/>
  <c r="J171" i="1"/>
  <c r="J162" i="1" l="1"/>
  <c r="J167" i="1"/>
  <c r="J74" i="1"/>
  <c r="J181" i="1" l="1"/>
  <c r="J173" i="1"/>
  <c r="J88" i="1"/>
  <c r="J89" i="1"/>
</calcChain>
</file>

<file path=xl/sharedStrings.xml><?xml version="1.0" encoding="utf-8"?>
<sst xmlns="http://schemas.openxmlformats.org/spreadsheetml/2006/main" count="215" uniqueCount="183">
  <si>
    <t>Income Statement</t>
  </si>
  <si>
    <t>Revenue</t>
  </si>
  <si>
    <t>Ratios</t>
  </si>
  <si>
    <t>GM</t>
  </si>
  <si>
    <t>NM</t>
  </si>
  <si>
    <t xml:space="preserve">Profitability  </t>
  </si>
  <si>
    <t>Liquidity</t>
  </si>
  <si>
    <t>CR</t>
  </si>
  <si>
    <t>DOR</t>
  </si>
  <si>
    <t>DOI</t>
  </si>
  <si>
    <t>DOP</t>
  </si>
  <si>
    <t>CCC</t>
  </si>
  <si>
    <t>Leverage</t>
  </si>
  <si>
    <t>DSCR</t>
  </si>
  <si>
    <t>EBTDA Margin</t>
  </si>
  <si>
    <t>COGS</t>
  </si>
  <si>
    <t>GP</t>
  </si>
  <si>
    <t>EBITDA</t>
  </si>
  <si>
    <t>Finance Charges</t>
  </si>
  <si>
    <t>Net Income</t>
  </si>
  <si>
    <t>Balance Sheet</t>
  </si>
  <si>
    <t>Debt/EBITDA</t>
  </si>
  <si>
    <t>Net Debt/EBITDA</t>
  </si>
  <si>
    <t>Revenue Growth</t>
  </si>
  <si>
    <t>Income Statement Assumptions</t>
  </si>
  <si>
    <t>Revenue growth</t>
  </si>
  <si>
    <t>Other non operating (income) / expense</t>
  </si>
  <si>
    <t>Receivable days</t>
  </si>
  <si>
    <t>Inventory days</t>
  </si>
  <si>
    <t>Capex % revenues</t>
  </si>
  <si>
    <t>Other long term assets % revenues</t>
  </si>
  <si>
    <t>Payable days</t>
  </si>
  <si>
    <t>Other non current liabilities % revenues</t>
  </si>
  <si>
    <t>Net Debt and Interest Assumptions</t>
  </si>
  <si>
    <t>Short term borrowings interest rate</t>
  </si>
  <si>
    <t>Long term debt interest rate</t>
  </si>
  <si>
    <t>Depreciation</t>
  </si>
  <si>
    <t>Amortization</t>
  </si>
  <si>
    <t>Net income</t>
  </si>
  <si>
    <t>Balance Sheet Calculations</t>
  </si>
  <si>
    <t>Beginning equity</t>
  </si>
  <si>
    <t>Dividends</t>
  </si>
  <si>
    <t>Ending equity</t>
  </si>
  <si>
    <t>Operating working capital</t>
  </si>
  <si>
    <t>Cash and equivalents</t>
  </si>
  <si>
    <t>Receivables</t>
  </si>
  <si>
    <t>Inventories</t>
  </si>
  <si>
    <t>Prepaids and other current assets</t>
  </si>
  <si>
    <t>Total current assets</t>
  </si>
  <si>
    <t>Net PP&amp;E</t>
  </si>
  <si>
    <t>Total assets</t>
  </si>
  <si>
    <t>Short term borrowings</t>
  </si>
  <si>
    <t>Payables</t>
  </si>
  <si>
    <t>Total current liabilities</t>
  </si>
  <si>
    <t>Long term debt</t>
  </si>
  <si>
    <t>Other non current liabilities</t>
  </si>
  <si>
    <t>Total liabilities</t>
  </si>
  <si>
    <t>Total equity</t>
  </si>
  <si>
    <t>Total liabilities and equity</t>
  </si>
  <si>
    <t>Check?</t>
  </si>
  <si>
    <t>Cash Flow Statement</t>
  </si>
  <si>
    <t>Change in OWC</t>
  </si>
  <si>
    <t>Change in other long term assets</t>
  </si>
  <si>
    <t>Change in other non current liabilities</t>
  </si>
  <si>
    <t>Cash flow from operations</t>
  </si>
  <si>
    <t>Change in long term investments</t>
  </si>
  <si>
    <t>Cash from investing activities</t>
  </si>
  <si>
    <t>(Dividends)</t>
  </si>
  <si>
    <t>Cash from financing</t>
  </si>
  <si>
    <t>Net change in cash</t>
  </si>
  <si>
    <t>Cash balance</t>
  </si>
  <si>
    <t>Net Debt and Interest Calculations</t>
  </si>
  <si>
    <t>Operating cash flow</t>
  </si>
  <si>
    <t>Investing cash flow</t>
  </si>
  <si>
    <t>Cash flow generated to service debt</t>
  </si>
  <si>
    <t>Beginning cash and cash equivalents</t>
  </si>
  <si>
    <t>Cash available to service debt</t>
  </si>
  <si>
    <t>Beginning short term borrowings</t>
  </si>
  <si>
    <t>Ending short term borrowings</t>
  </si>
  <si>
    <t>Interest rate</t>
  </si>
  <si>
    <t>Interest expense</t>
  </si>
  <si>
    <t>Beginning long term debt</t>
  </si>
  <si>
    <t>Ending long term debt</t>
  </si>
  <si>
    <t>Projections Model</t>
  </si>
  <si>
    <t>Year</t>
  </si>
  <si>
    <t>His</t>
  </si>
  <si>
    <t>Proj</t>
  </si>
  <si>
    <t>COGS % revenues</t>
  </si>
  <si>
    <t>SG&amp;A % revenues</t>
  </si>
  <si>
    <t>Other current assets % revenues</t>
  </si>
  <si>
    <t>Other Current liabilities % revenue</t>
  </si>
  <si>
    <t>Dividend % Net income</t>
  </si>
  <si>
    <t>Others (Income)/expenses</t>
  </si>
  <si>
    <t>Zakat</t>
  </si>
  <si>
    <t>Depreciation  % beginning net PP&amp;E</t>
  </si>
  <si>
    <t xml:space="preserve">Zakt % </t>
  </si>
  <si>
    <t>Other current liabilities</t>
  </si>
  <si>
    <t>(Capex)</t>
  </si>
  <si>
    <t xml:space="preserve">Switch </t>
  </si>
  <si>
    <t>4Y CAGR Revenue</t>
  </si>
  <si>
    <t>END</t>
  </si>
  <si>
    <t>2016A</t>
  </si>
  <si>
    <t>Quick Ratio</t>
  </si>
  <si>
    <t>Operating Income</t>
  </si>
  <si>
    <t xml:space="preserve">FFCF </t>
  </si>
  <si>
    <t>TL/EQ (Leverage)</t>
  </si>
  <si>
    <t>Total Liabilities / Total Assets (Debt Ratio)</t>
  </si>
  <si>
    <t xml:space="preserve">Efficiency </t>
  </si>
  <si>
    <t>Account Receivable Turnover</t>
  </si>
  <si>
    <t>Inventory Turnover</t>
  </si>
  <si>
    <t>Account Payable Turnover</t>
  </si>
  <si>
    <t>Working Capital Turnover</t>
  </si>
  <si>
    <t>Total Assets Turnover</t>
  </si>
  <si>
    <t>Recommended Loan for Approval "SR"</t>
  </si>
  <si>
    <t>Recommended</t>
  </si>
  <si>
    <t xml:space="preserve">Not Recommended </t>
  </si>
  <si>
    <t>Local (SR)</t>
  </si>
  <si>
    <t>Export (SR)</t>
  </si>
  <si>
    <t>Total Revenue (SR)</t>
  </si>
  <si>
    <t xml:space="preserve">Growth </t>
  </si>
  <si>
    <t>Revenue Assumptions</t>
  </si>
  <si>
    <t>Cash COGS</t>
  </si>
  <si>
    <t>Less: Depreciation</t>
  </si>
  <si>
    <t>Less: Amortization</t>
  </si>
  <si>
    <t>Levered Free Cash Flow</t>
  </si>
  <si>
    <t xml:space="preserve">Repayment Date </t>
  </si>
  <si>
    <t>Repayment capacity</t>
  </si>
  <si>
    <t>Balance Sheet/CF  Assumptions</t>
  </si>
  <si>
    <t>Check</t>
  </si>
  <si>
    <t xml:space="preserve"> Working Capital Need</t>
  </si>
  <si>
    <t>Working Capital Need</t>
  </si>
  <si>
    <t xml:space="preserve">Requested Amount </t>
  </si>
  <si>
    <t>SG&amp;A (with Dep and Amor)</t>
  </si>
  <si>
    <t>Dep.</t>
  </si>
  <si>
    <t>Beg. PPE</t>
  </si>
  <si>
    <t>Ending PPE</t>
  </si>
  <si>
    <t xml:space="preserve">Operating Cash Flow </t>
  </si>
  <si>
    <t>Capex</t>
  </si>
  <si>
    <t xml:space="preserve">Current LT borrowings </t>
  </si>
  <si>
    <t>Current Portion</t>
  </si>
  <si>
    <t>Long-term Portion</t>
  </si>
  <si>
    <t>Issuance of ST</t>
  </si>
  <si>
    <t>Issuance of LT</t>
  </si>
  <si>
    <t>Short-Term Loans</t>
  </si>
  <si>
    <t>Long-term Term Loan (Including SIDF)</t>
  </si>
  <si>
    <t>(Repayment)</t>
  </si>
  <si>
    <t>Short term borrowings  (repayment)</t>
  </si>
  <si>
    <t>Short term borrowings issuance</t>
  </si>
  <si>
    <t>Others (Allowances, paid zakat, gain, adj.)</t>
  </si>
  <si>
    <t>Injection (Withdrawals)</t>
  </si>
  <si>
    <t>DSCR Adj.</t>
  </si>
  <si>
    <t>Others (Adj.)</t>
  </si>
  <si>
    <t>(Payment of ST)</t>
  </si>
  <si>
    <t>(Payment of LT)</t>
  </si>
  <si>
    <t>Issuance or Disbursement</t>
  </si>
  <si>
    <t>Net income before Zakat</t>
  </si>
  <si>
    <t>SIDF Financing Issuance (repayment)</t>
  </si>
  <si>
    <t>2022A</t>
  </si>
  <si>
    <t>2025E</t>
  </si>
  <si>
    <t>Local Cash COGS</t>
  </si>
  <si>
    <t>Stressed Repayment Capacity (30% discount)</t>
  </si>
  <si>
    <t>2023A</t>
  </si>
  <si>
    <t>2024A</t>
  </si>
  <si>
    <t>2026E</t>
  </si>
  <si>
    <t>2027E</t>
  </si>
  <si>
    <t>2028E</t>
  </si>
  <si>
    <t>Export Sales %</t>
  </si>
  <si>
    <t>Due from related parties</t>
  </si>
  <si>
    <t xml:space="preserve">Right of use Assets </t>
  </si>
  <si>
    <t xml:space="preserve">Intangible Assets </t>
  </si>
  <si>
    <t>Intangible Assets % revenues</t>
  </si>
  <si>
    <t>Due from related  % revenues</t>
  </si>
  <si>
    <t>Local Working Capital Need</t>
  </si>
  <si>
    <t xml:space="preserve">local sales CCC </t>
  </si>
  <si>
    <t>Cash Conversion Cycle of total sales</t>
  </si>
  <si>
    <t>Local CCC</t>
  </si>
  <si>
    <t>Local Receivable days</t>
  </si>
  <si>
    <t>Local Inventory days</t>
  </si>
  <si>
    <t>Local Payable days</t>
  </si>
  <si>
    <t>Local working capital need based on local CCC</t>
  </si>
  <si>
    <t>Local working capital need based on over all company's CCC</t>
  </si>
  <si>
    <t xml:space="preserve"> Working Capital Need need based on local CCC</t>
  </si>
  <si>
    <t>GULF PACKAGING INDUSTRIES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</si>
</sst>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#,##0.0_);\(#,##0.0\)\,0.0_);@_)"/>
    <numFmt numFmtId="168" formatCode="#,##0.0_);\(#,##0.0\);0.0_);@_)"/>
    <numFmt numFmtId="169" formatCode="[$-409]d\-mmm\-yy;@"/>
    <numFmt numFmtId="170" formatCode="0.0%_);\(0.0%\)"/>
    <numFmt numFmtId="171" formatCode="#,##0.0\ \x_);\(#,##0.0\ \x\);"/>
    <numFmt numFmtId="172" formatCode="#,##0.0_);\(#,##0.0\)"/>
    <numFmt numFmtId="173" formatCode=";;;"/>
    <numFmt numFmtId="174" formatCode="_(* #,##0.0_);_(* \(#,##0.0\);_(* &quot;-&quot;_);_(@_)"/>
    <numFmt numFmtId="175" formatCode="_(* #,##0.000_);_(* \(#,##0.000\);_(* &quot;-&quot;_);_(@_)"/>
    <numFmt numFmtId="176" formatCode="0.0000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sz val="16"/>
      <color theme="0"/>
      <name val="Calibri Light"/>
      <family val="2"/>
      <scheme val="major"/>
    </font>
    <font>
      <sz val="9"/>
      <color theme="0"/>
      <name val="Calibri"/>
      <family val="2"/>
      <scheme val="minor"/>
    </font>
    <font>
      <b/>
      <sz val="12"/>
      <color rgb="FF163260"/>
      <name val="Calibri"/>
      <family val="2"/>
      <scheme val="minor"/>
    </font>
    <font>
      <sz val="11"/>
      <color rgb="FF085393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rgb="FF0853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63260"/>
        <bgColor indexed="64"/>
      </patternFill>
    </fill>
    <fill>
      <patternFill patternType="solid">
        <fgColor rgb="FF085393"/>
        <bgColor indexed="64"/>
      </patternFill>
    </fill>
    <fill>
      <patternFill patternType="solid">
        <fgColor rgb="FFF0F8F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BDEFB"/>
      </left>
      <right style="thin">
        <color rgb="FFBBDEFB"/>
      </right>
      <top style="thin">
        <color rgb="FFBBDEFB"/>
      </top>
      <bottom style="thin">
        <color rgb="FFBBDEFB"/>
      </bottom>
      <diagonal/>
    </border>
    <border>
      <left/>
      <right/>
      <top/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3" borderId="0" applyNumberFormat="0">
      <alignment horizontal="left"/>
    </xf>
    <xf numFmtId="168" fontId="5" fillId="0" borderId="0"/>
    <xf numFmtId="167" fontId="3" fillId="3" borderId="0">
      <alignment horizontal="center"/>
    </xf>
    <xf numFmtId="0" fontId="6" fillId="4" borderId="0" applyNumberFormat="0" applyAlignment="0">
      <alignment horizontal="left"/>
    </xf>
    <xf numFmtId="169" fontId="7" fillId="4" borderId="0">
      <alignment horizontal="center"/>
    </xf>
    <xf numFmtId="0" fontId="8" fillId="0" borderId="0" applyNumberFormat="0" applyFill="0" applyBorder="0">
      <alignment horizontal="left" vertical="center"/>
    </xf>
    <xf numFmtId="167" fontId="9" fillId="0" borderId="0">
      <alignment vertical="top"/>
    </xf>
    <xf numFmtId="170" fontId="1" fillId="0" borderId="0" applyFont="0" applyFill="0" applyBorder="0" applyAlignment="0" applyProtection="0"/>
    <xf numFmtId="171" fontId="10" fillId="5" borderId="9" applyNumberFormat="0">
      <protection locked="0"/>
    </xf>
    <xf numFmtId="170" fontId="11" fillId="3" borderId="0" applyFont="0" applyFill="0" applyBorder="0" applyAlignment="0" applyProtection="0"/>
    <xf numFmtId="167" fontId="10" fillId="3" borderId="0" applyNumberFormat="0" applyFill="0" applyBorder="0" applyAlignment="0" applyProtection="0"/>
    <xf numFmtId="0" fontId="12" fillId="2" borderId="0" applyNumberFormat="0" applyFont="0" applyAlignment="0" applyProtection="0">
      <alignment vertical="top"/>
    </xf>
    <xf numFmtId="172" fontId="10" fillId="0" borderId="0" applyNumberFormat="0" applyFill="0" applyBorder="0" applyAlignment="0" applyProtection="0"/>
    <xf numFmtId="171" fontId="1" fillId="0" borderId="0" applyFont="0" applyFill="0" applyBorder="0" applyAlignment="0" applyProtection="0"/>
    <xf numFmtId="0" fontId="12" fillId="2" borderId="10" applyFont="0" applyAlignment="0" applyProtection="0">
      <alignment vertical="top"/>
    </xf>
    <xf numFmtId="173" fontId="11" fillId="3" borderId="0" applyFont="0" applyFill="0" applyBorder="0" applyAlignment="0" applyProtection="0"/>
    <xf numFmtId="167" fontId="4" fillId="4" borderId="0" applyNumberFormat="0" applyBorder="0">
      <alignment horizontal="center" vertical="top"/>
    </xf>
    <xf numFmtId="169" fontId="11" fillId="0" borderId="0" applyFont="0" applyFill="0" applyBorder="0" applyAlignment="0" applyProtection="0"/>
    <xf numFmtId="167" fontId="9" fillId="6" borderId="0" applyNumberFormat="0" applyFont="0" applyBorder="0" applyAlignment="0" applyProtection="0">
      <alignment vertical="top"/>
    </xf>
    <xf numFmtId="167" fontId="13" fillId="0" borderId="0" applyNumberFormat="0" applyFill="0" applyBorder="0" applyAlignment="0">
      <alignment vertical="top"/>
    </xf>
    <xf numFmtId="0" fontId="2" fillId="0" borderId="14" applyNumberFormat="0" applyFill="0" applyAlignment="0" applyProtection="0"/>
  </cellStyleXfs>
  <cellXfs count="185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165" fontId="0" fillId="0" borderId="0" xfId="2" applyNumberFormat="1" applyFont="1"/>
    <xf numFmtId="9" fontId="0" fillId="0" borderId="0" xfId="1" applyFont="1"/>
    <xf numFmtId="165" fontId="0" fillId="0" borderId="0" xfId="0" applyNumberFormat="1"/>
    <xf numFmtId="165" fontId="2" fillId="0" borderId="0" xfId="2" applyNumberFormat="1" applyFont="1"/>
    <xf numFmtId="166" fontId="0" fillId="0" borderId="0" xfId="1" applyNumberFormat="1" applyFont="1"/>
    <xf numFmtId="165" fontId="2" fillId="0" borderId="0" xfId="0" applyNumberFormat="1" applyFont="1"/>
    <xf numFmtId="2" fontId="0" fillId="0" borderId="0" xfId="0" applyNumberFormat="1"/>
    <xf numFmtId="164" fontId="0" fillId="0" borderId="0" xfId="0" applyNumberFormat="1"/>
    <xf numFmtId="9" fontId="2" fillId="0" borderId="0" xfId="1" applyFont="1"/>
    <xf numFmtId="10" fontId="0" fillId="0" borderId="0" xfId="1" applyNumberFormat="1" applyFont="1"/>
    <xf numFmtId="0" fontId="15" fillId="0" borderId="0" xfId="0" applyFont="1"/>
    <xf numFmtId="9" fontId="14" fillId="0" borderId="0" xfId="1" applyFont="1"/>
    <xf numFmtId="0" fontId="0" fillId="7" borderId="0" xfId="0" applyFill="1" applyAlignment="1">
      <alignment horizontal="center"/>
    </xf>
    <xf numFmtId="165" fontId="14" fillId="0" borderId="0" xfId="2" applyNumberFormat="1" applyFont="1"/>
    <xf numFmtId="165" fontId="0" fillId="0" borderId="0" xfId="2" applyNumberFormat="1" applyFont="1" applyAlignment="1">
      <alignment vertical="center"/>
    </xf>
    <xf numFmtId="165" fontId="0" fillId="0" borderId="0" xfId="0" applyNumberFormat="1" applyAlignment="1">
      <alignment vertical="center"/>
    </xf>
    <xf numFmtId="41" fontId="0" fillId="0" borderId="0" xfId="0" applyNumberFormat="1"/>
    <xf numFmtId="41" fontId="0" fillId="0" borderId="0" xfId="0" applyNumberFormat="1" applyAlignment="1">
      <alignment horizontal="center" vertical="center"/>
    </xf>
    <xf numFmtId="41" fontId="2" fillId="0" borderId="0" xfId="0" applyNumberFormat="1" applyFont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16" fillId="0" borderId="6" xfId="0" applyFont="1" applyBorder="1"/>
    <xf numFmtId="0" fontId="16" fillId="0" borderId="7" xfId="0" applyFont="1" applyBorder="1"/>
    <xf numFmtId="0" fontId="16" fillId="0" borderId="0" xfId="0" applyFont="1"/>
    <xf numFmtId="165" fontId="2" fillId="0" borderId="0" xfId="2" applyNumberFormat="1" applyFont="1" applyAlignment="1">
      <alignment vertical="center"/>
    </xf>
    <xf numFmtId="0" fontId="14" fillId="0" borderId="0" xfId="0" applyFont="1"/>
    <xf numFmtId="174" fontId="0" fillId="0" borderId="0" xfId="0" applyNumberFormat="1" applyAlignment="1">
      <alignment horizontal="center" vertical="center"/>
    </xf>
    <xf numFmtId="43" fontId="0" fillId="0" borderId="5" xfId="0" applyNumberFormat="1" applyBorder="1"/>
    <xf numFmtId="0" fontId="0" fillId="9" borderId="6" xfId="0" applyFill="1" applyBorder="1"/>
    <xf numFmtId="0" fontId="0" fillId="9" borderId="8" xfId="0" applyFill="1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43" fontId="0" fillId="0" borderId="0" xfId="0" applyNumberFormat="1" applyBorder="1"/>
    <xf numFmtId="0" fontId="0" fillId="0" borderId="0" xfId="0" applyFill="1"/>
    <xf numFmtId="165" fontId="0" fillId="0" borderId="0" xfId="0" applyNumberFormat="1" applyFill="1"/>
    <xf numFmtId="9" fontId="0" fillId="0" borderId="0" xfId="1" applyNumberFormat="1" applyFont="1"/>
    <xf numFmtId="9" fontId="0" fillId="0" borderId="0" xfId="0" applyNumberFormat="1" applyBorder="1"/>
    <xf numFmtId="166" fontId="0" fillId="0" borderId="0" xfId="1" applyNumberFormat="1" applyFont="1" applyBorder="1"/>
    <xf numFmtId="2" fontId="0" fillId="0" borderId="0" xfId="0" applyNumberFormat="1" applyBorder="1"/>
    <xf numFmtId="164" fontId="0" fillId="0" borderId="0" xfId="0" applyNumberFormat="1" applyBorder="1"/>
    <xf numFmtId="43" fontId="0" fillId="0" borderId="0" xfId="0" applyNumberFormat="1"/>
    <xf numFmtId="0" fontId="0" fillId="7" borderId="0" xfId="0" applyFill="1"/>
    <xf numFmtId="1" fontId="0" fillId="0" borderId="0" xfId="0" applyNumberFormat="1"/>
    <xf numFmtId="0" fontId="2" fillId="0" borderId="0" xfId="0" applyFont="1" applyBorder="1"/>
    <xf numFmtId="0" fontId="0" fillId="0" borderId="12" xfId="0" applyBorder="1"/>
    <xf numFmtId="165" fontId="0" fillId="0" borderId="12" xfId="0" applyNumberFormat="1" applyBorder="1"/>
    <xf numFmtId="0" fontId="2" fillId="0" borderId="13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3" xfId="0" applyBorder="1"/>
    <xf numFmtId="165" fontId="0" fillId="0" borderId="13" xfId="0" applyNumberFormat="1" applyBorder="1"/>
    <xf numFmtId="0" fontId="2" fillId="2" borderId="1" xfId="0" applyFont="1" applyFill="1" applyBorder="1"/>
    <xf numFmtId="0" fontId="2" fillId="2" borderId="3" xfId="0" applyFont="1" applyFill="1" applyBorder="1"/>
    <xf numFmtId="165" fontId="0" fillId="0" borderId="0" xfId="2" applyNumberFormat="1" applyFont="1" applyFill="1" applyAlignment="1">
      <alignment vertical="center"/>
    </xf>
    <xf numFmtId="165" fontId="2" fillId="0" borderId="0" xfId="0" applyNumberFormat="1" applyFont="1" applyFill="1"/>
    <xf numFmtId="0" fontId="17" fillId="0" borderId="0" xfId="0" applyFont="1"/>
    <xf numFmtId="0" fontId="2" fillId="0" borderId="0" xfId="0" applyFont="1" applyFill="1"/>
    <xf numFmtId="166" fontId="0" fillId="0" borderId="0" xfId="0" applyNumberFormat="1" applyBorder="1"/>
    <xf numFmtId="0" fontId="2" fillId="0" borderId="6" xfId="0" applyFont="1" applyBorder="1"/>
    <xf numFmtId="9" fontId="0" fillId="11" borderId="0" xfId="1" applyFont="1" applyFill="1"/>
    <xf numFmtId="165" fontId="2" fillId="0" borderId="7" xfId="0" applyNumberFormat="1" applyFont="1" applyBorder="1"/>
    <xf numFmtId="165" fontId="2" fillId="10" borderId="7" xfId="0" applyNumberFormat="1" applyFont="1" applyFill="1" applyBorder="1"/>
    <xf numFmtId="0" fontId="2" fillId="7" borderId="0" xfId="0" applyFont="1" applyFill="1"/>
    <xf numFmtId="1" fontId="0" fillId="0" borderId="7" xfId="0" applyNumberFormat="1" applyBorder="1" applyAlignment="1">
      <alignment horizontal="center"/>
    </xf>
    <xf numFmtId="9" fontId="0" fillId="11" borderId="12" xfId="1" applyFont="1" applyFill="1" applyBorder="1"/>
    <xf numFmtId="165" fontId="0" fillId="11" borderId="0" xfId="0" applyNumberFormat="1" applyFill="1"/>
    <xf numFmtId="9" fontId="14" fillId="7" borderId="0" xfId="1" applyFont="1" applyFill="1"/>
    <xf numFmtId="165" fontId="14" fillId="7" borderId="0" xfId="2" applyNumberFormat="1" applyFont="1" applyFill="1"/>
    <xf numFmtId="0" fontId="2" fillId="0" borderId="0" xfId="0" applyFont="1" applyFill="1" applyBorder="1"/>
    <xf numFmtId="165" fontId="2" fillId="11" borderId="0" xfId="0" applyNumberFormat="1" applyFont="1" applyFill="1"/>
    <xf numFmtId="0" fontId="2" fillId="0" borderId="1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14" fillId="8" borderId="0" xfId="0" applyFont="1" applyFill="1"/>
    <xf numFmtId="0" fontId="0" fillId="8" borderId="0" xfId="0" applyFill="1"/>
    <xf numFmtId="41" fontId="0" fillId="0" borderId="13" xfId="0" applyNumberFormat="1" applyBorder="1" applyAlignment="1">
      <alignment horizontal="center" vertical="center"/>
    </xf>
    <xf numFmtId="9" fontId="0" fillId="0" borderId="13" xfId="0" applyNumberFormat="1" applyBorder="1"/>
    <xf numFmtId="165" fontId="0" fillId="0" borderId="13" xfId="2" applyNumberFormat="1" applyFont="1" applyBorder="1"/>
    <xf numFmtId="165" fontId="0" fillId="11" borderId="0" xfId="2" applyNumberFormat="1" applyFont="1" applyFill="1" applyAlignment="1">
      <alignment vertical="center"/>
    </xf>
    <xf numFmtId="9" fontId="0" fillId="11" borderId="13" xfId="1" applyFont="1" applyFill="1" applyBorder="1"/>
    <xf numFmtId="165" fontId="0" fillId="11" borderId="7" xfId="2" applyNumberFormat="1" applyFont="1" applyFill="1" applyBorder="1"/>
    <xf numFmtId="174" fontId="0" fillId="11" borderId="0" xfId="1" applyNumberFormat="1" applyFont="1" applyFill="1"/>
    <xf numFmtId="0" fontId="0" fillId="0" borderId="0" xfId="0"/>
    <xf numFmtId="41" fontId="2" fillId="0" borderId="0" xfId="0" applyNumberFormat="1" applyFont="1" applyFill="1"/>
    <xf numFmtId="0" fontId="0" fillId="0" borderId="0" xfId="0" applyAlignment="1">
      <alignment wrapText="1"/>
    </xf>
    <xf numFmtId="43" fontId="0" fillId="0" borderId="0" xfId="2" applyFont="1"/>
    <xf numFmtId="43" fontId="16" fillId="0" borderId="0" xfId="2" applyFont="1" applyFill="1" applyBorder="1"/>
    <xf numFmtId="175" fontId="0" fillId="0" borderId="0" xfId="0" applyNumberFormat="1"/>
    <xf numFmtId="0" fontId="2" fillId="0" borderId="14" xfId="23"/>
    <xf numFmtId="165" fontId="2" fillId="0" borderId="14" xfId="23" applyNumberFormat="1"/>
    <xf numFmtId="41" fontId="0" fillId="11" borderId="0" xfId="1" applyNumberFormat="1" applyFont="1" applyFill="1"/>
    <xf numFmtId="165" fontId="0" fillId="0" borderId="13" xfId="0" quotePrefix="1" applyNumberFormat="1" applyBorder="1"/>
    <xf numFmtId="0" fontId="18" fillId="0" borderId="0" xfId="0" applyFont="1"/>
    <xf numFmtId="165" fontId="2" fillId="10" borderId="0" xfId="0" applyNumberFormat="1" applyFont="1" applyFill="1"/>
    <xf numFmtId="165" fontId="2" fillId="10" borderId="7" xfId="2" applyNumberFormat="1" applyFont="1" applyFill="1" applyBorder="1"/>
    <xf numFmtId="166" fontId="2" fillId="0" borderId="0" xfId="1" applyNumberFormat="1" applyFont="1" applyFill="1" applyBorder="1"/>
    <xf numFmtId="165" fontId="0" fillId="0" borderId="0" xfId="2" applyNumberFormat="1" applyFont="1" applyFill="1"/>
    <xf numFmtId="165" fontId="20" fillId="12" borderId="5" xfId="2" applyNumberFormat="1" applyFont="1" applyFill="1" applyBorder="1" applyAlignment="1">
      <alignment horizontal="center"/>
    </xf>
    <xf numFmtId="165" fontId="2" fillId="0" borderId="0" xfId="2" applyNumberFormat="1" applyFont="1" applyFill="1" applyAlignment="1">
      <alignment vertical="center"/>
    </xf>
    <xf numFmtId="9" fontId="0" fillId="11" borderId="13" xfId="0" applyNumberFormat="1" applyFill="1" applyBorder="1"/>
    <xf numFmtId="165" fontId="2" fillId="11" borderId="15" xfId="2" applyNumberFormat="1" applyFont="1" applyFill="1" applyBorder="1"/>
    <xf numFmtId="165" fontId="2" fillId="11" borderId="16" xfId="2" applyNumberFormat="1" applyFont="1" applyFill="1" applyBorder="1"/>
    <xf numFmtId="0" fontId="2" fillId="11" borderId="11" xfId="0" applyNumberFormat="1" applyFont="1" applyFill="1" applyBorder="1"/>
    <xf numFmtId="41" fontId="0" fillId="11" borderId="0" xfId="0" applyNumberForma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165" fontId="14" fillId="13" borderId="14" xfId="23" applyNumberFormat="1" applyFont="1" applyFill="1"/>
    <xf numFmtId="3" fontId="0" fillId="0" borderId="0" xfId="0" applyNumberFormat="1"/>
    <xf numFmtId="165" fontId="2" fillId="11" borderId="0" xfId="0" applyNumberFormat="1" applyFont="1" applyFill="1" applyBorder="1"/>
    <xf numFmtId="165" fontId="0" fillId="0" borderId="0" xfId="0" applyNumberFormat="1" applyFill="1" applyAlignment="1">
      <alignment vertical="center"/>
    </xf>
    <xf numFmtId="9" fontId="0" fillId="11" borderId="0" xfId="1" applyNumberFormat="1" applyFont="1" applyFill="1"/>
    <xf numFmtId="9" fontId="0" fillId="0" borderId="13" xfId="1" applyFont="1" applyBorder="1"/>
    <xf numFmtId="165" fontId="0" fillId="0" borderId="0" xfId="0" applyNumberFormat="1" applyFont="1"/>
    <xf numFmtId="166" fontId="0" fillId="11" borderId="0" xfId="1" applyNumberFormat="1" applyFont="1" applyFill="1"/>
    <xf numFmtId="166" fontId="0" fillId="0" borderId="0" xfId="0" applyNumberFormat="1"/>
    <xf numFmtId="165" fontId="0" fillId="11" borderId="0" xfId="0" quotePrefix="1" applyNumberFormat="1" applyFill="1"/>
    <xf numFmtId="165" fontId="11" fillId="11" borderId="0" xfId="0" applyNumberFormat="1" applyFont="1" applyFill="1"/>
    <xf numFmtId="165" fontId="11" fillId="11" borderId="0" xfId="2" applyNumberFormat="1" applyFont="1" applyFill="1" applyAlignment="1">
      <alignment vertical="center"/>
    </xf>
    <xf numFmtId="0" fontId="11" fillId="0" borderId="0" xfId="0" applyFont="1"/>
    <xf numFmtId="165" fontId="11" fillId="0" borderId="0" xfId="2" applyNumberFormat="1" applyFont="1" applyFill="1" applyAlignment="1">
      <alignment vertical="center"/>
    </xf>
    <xf numFmtId="41" fontId="11" fillId="0" borderId="0" xfId="0" applyNumberFormat="1" applyFont="1"/>
    <xf numFmtId="165" fontId="11" fillId="0" borderId="0" xfId="2" applyNumberFormat="1" applyFont="1" applyAlignment="1">
      <alignment vertical="center"/>
    </xf>
    <xf numFmtId="165" fontId="11" fillId="0" borderId="0" xfId="0" applyNumberFormat="1" applyFont="1"/>
    <xf numFmtId="165" fontId="11" fillId="0" borderId="0" xfId="0" applyNumberFormat="1" applyFont="1" applyFill="1"/>
    <xf numFmtId="165" fontId="21" fillId="11" borderId="0" xfId="0" applyNumberFormat="1" applyFont="1" applyFill="1"/>
    <xf numFmtId="165" fontId="21" fillId="0" borderId="0" xfId="0" applyNumberFormat="1" applyFont="1"/>
    <xf numFmtId="0" fontId="11" fillId="0" borderId="0" xfId="0" applyFont="1" applyFill="1"/>
    <xf numFmtId="41" fontId="11" fillId="0" borderId="0" xfId="0" applyNumberFormat="1" applyFont="1" applyFill="1"/>
    <xf numFmtId="41" fontId="21" fillId="0" borderId="0" xfId="0" applyNumberFormat="1" applyFont="1"/>
    <xf numFmtId="9" fontId="11" fillId="0" borderId="0" xfId="1" applyFont="1"/>
    <xf numFmtId="165" fontId="21" fillId="0" borderId="0" xfId="0" applyNumberFormat="1" applyFont="1" applyFill="1"/>
    <xf numFmtId="0" fontId="22" fillId="0" borderId="7" xfId="0" applyFont="1" applyBorder="1"/>
    <xf numFmtId="0" fontId="22" fillId="0" borderId="7" xfId="0" applyFont="1" applyFill="1" applyBorder="1"/>
    <xf numFmtId="0" fontId="22" fillId="0" borderId="0" xfId="0" applyFont="1"/>
    <xf numFmtId="165" fontId="22" fillId="0" borderId="0" xfId="0" applyNumberFormat="1" applyFont="1" applyFill="1"/>
    <xf numFmtId="0" fontId="2" fillId="0" borderId="6" xfId="0" applyFont="1" applyFill="1" applyBorder="1"/>
    <xf numFmtId="165" fontId="2" fillId="11" borderId="8" xfId="2" applyNumberFormat="1" applyFont="1" applyFill="1" applyBorder="1"/>
    <xf numFmtId="41" fontId="21" fillId="0" borderId="0" xfId="0" applyNumberFormat="1" applyFont="1" applyFill="1"/>
    <xf numFmtId="41" fontId="0" fillId="0" borderId="0" xfId="0" applyNumberFormat="1" applyFill="1"/>
    <xf numFmtId="41" fontId="22" fillId="0" borderId="0" xfId="0" applyNumberFormat="1" applyFont="1"/>
    <xf numFmtId="9" fontId="0" fillId="0" borderId="0" xfId="1" applyFont="1" applyFill="1"/>
    <xf numFmtId="0" fontId="3" fillId="0" borderId="0" xfId="0" applyFont="1" applyFill="1"/>
    <xf numFmtId="0" fontId="21" fillId="0" borderId="0" xfId="0" applyFont="1" applyAlignment="1">
      <alignment horizontal="center"/>
    </xf>
    <xf numFmtId="176" fontId="0" fillId="0" borderId="0" xfId="1" applyNumberFormat="1" applyFont="1"/>
    <xf numFmtId="0" fontId="0" fillId="10" borderId="0" xfId="0" applyFill="1"/>
    <xf numFmtId="165" fontId="14" fillId="10" borderId="0" xfId="0" applyNumberFormat="1" applyFont="1" applyFill="1" applyBorder="1"/>
    <xf numFmtId="165" fontId="0" fillId="11" borderId="0" xfId="2" applyNumberFormat="1" applyFont="1" applyFill="1"/>
    <xf numFmtId="0" fontId="0" fillId="0" borderId="0" xfId="0" applyNumberFormat="1"/>
    <xf numFmtId="165" fontId="11" fillId="0" borderId="0" xfId="2" applyNumberFormat="1" applyFont="1" applyFill="1"/>
    <xf numFmtId="165" fontId="14" fillId="0" borderId="0" xfId="2" applyNumberFormat="1" applyFont="1" applyFill="1"/>
    <xf numFmtId="0" fontId="2" fillId="0" borderId="0" xfId="0" applyFont="1" applyFill="1" applyAlignment="1">
      <alignment horizontal="center"/>
    </xf>
    <xf numFmtId="165" fontId="1" fillId="0" borderId="0" xfId="2" applyNumberFormat="1" applyFont="1" applyFill="1" applyAlignment="1">
      <alignment vertical="center"/>
    </xf>
    <xf numFmtId="164" fontId="0" fillId="0" borderId="0" xfId="0" applyNumberFormat="1" applyFill="1"/>
    <xf numFmtId="2" fontId="0" fillId="0" borderId="0" xfId="0" applyNumberFormat="1" applyFill="1"/>
    <xf numFmtId="0" fontId="0" fillId="0" borderId="0" xfId="0" applyFill="1" applyBorder="1"/>
    <xf numFmtId="43" fontId="0" fillId="0" borderId="0" xfId="0" applyNumberFormat="1" applyFill="1" applyBorder="1"/>
    <xf numFmtId="2" fontId="0" fillId="0" borderId="0" xfId="0" applyNumberFormat="1" applyFill="1" applyBorder="1"/>
    <xf numFmtId="165" fontId="14" fillId="13" borderId="0" xfId="0" applyNumberFormat="1" applyFont="1" applyFill="1" applyBorder="1"/>
    <xf numFmtId="9" fontId="0" fillId="0" borderId="0" xfId="1" applyFont="1" applyFill="1" applyBorder="1"/>
    <xf numFmtId="165" fontId="14" fillId="0" borderId="0" xfId="0" applyNumberFormat="1" applyFont="1" applyFill="1" applyBorder="1"/>
    <xf numFmtId="165" fontId="2" fillId="0" borderId="14" xfId="23" applyNumberFormat="1" applyFill="1"/>
    <xf numFmtId="1" fontId="0" fillId="14" borderId="7" xfId="0" applyNumberFormat="1" applyFill="1" applyBorder="1" applyAlignment="1">
      <alignment horizontal="center"/>
    </xf>
    <xf numFmtId="0" fontId="2" fillId="14" borderId="11" xfId="0" applyFont="1" applyFill="1" applyBorder="1"/>
    <xf numFmtId="0" fontId="2" fillId="14" borderId="6" xfId="0" applyFont="1" applyFill="1" applyBorder="1"/>
    <xf numFmtId="165" fontId="14" fillId="14" borderId="7" xfId="0" applyNumberFormat="1" applyFont="1" applyFill="1" applyBorder="1"/>
    <xf numFmtId="0" fontId="0" fillId="14" borderId="6" xfId="0" applyFill="1" applyBorder="1"/>
    <xf numFmtId="165" fontId="0" fillId="14" borderId="7" xfId="2" applyNumberFormat="1" applyFont="1" applyFill="1" applyBorder="1"/>
    <xf numFmtId="1" fontId="0" fillId="14" borderId="5" xfId="0" applyNumberFormat="1" applyFill="1" applyBorder="1" applyAlignment="1">
      <alignment horizontal="center"/>
    </xf>
    <xf numFmtId="0" fontId="2" fillId="10" borderId="6" xfId="0" applyFont="1" applyFill="1" applyBorder="1"/>
    <xf numFmtId="165" fontId="14" fillId="10" borderId="7" xfId="0" applyNumberFormat="1" applyFont="1" applyFill="1" applyBorder="1"/>
    <xf numFmtId="165" fontId="14" fillId="10" borderId="8" xfId="0" applyNumberFormat="1" applyFont="1" applyFill="1" applyBorder="1"/>
    <xf numFmtId="165" fontId="14" fillId="15" borderId="7" xfId="0" applyNumberFormat="1" applyFont="1" applyFill="1" applyBorder="1"/>
    <xf numFmtId="0" fontId="14" fillId="7" borderId="5" xfId="0" applyFont="1" applyFill="1" applyBorder="1" applyAlignment="1">
      <alignment horizontal="left" wrapText="1"/>
    </xf>
    <xf numFmtId="0" fontId="14" fillId="7" borderId="5" xfId="0" applyFont="1" applyFill="1" applyBorder="1" applyAlignment="1">
      <alignment horizontal="left"/>
    </xf>
    <xf numFmtId="0" fontId="24" fillId="7" borderId="5" xfId="0" applyFont="1" applyFill="1" applyBorder="1" applyAlignment="1">
      <alignment horizontal="left" wrapText="1"/>
    </xf>
    <xf numFmtId="0" fontId="24" fillId="7" borderId="5" xfId="0" applyFont="1" applyFill="1" applyBorder="1" applyAlignment="1">
      <alignment horizontal="left"/>
    </xf>
    <xf numFmtId="0" fontId="19" fillId="12" borderId="12" xfId="0" applyFont="1" applyFill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</cellXfs>
  <cellStyles count="24">
    <cellStyle name="b" xfId="15" xr:uid="{00000000-0005-0000-0000-000000000000}"/>
    <cellStyle name="Background Fill" xfId="14" xr:uid="{00000000-0005-0000-0000-000001000000}"/>
    <cellStyle name="BG Border" xfId="17" xr:uid="{00000000-0005-0000-0000-000002000000}"/>
    <cellStyle name="Blank" xfId="18" xr:uid="{00000000-0005-0000-0000-000003000000}"/>
    <cellStyle name="Comma" xfId="2" builtinId="3"/>
    <cellStyle name="Cover Title" xfId="19" xr:uid="{00000000-0005-0000-0000-000005000000}"/>
    <cellStyle name="Date" xfId="20" xr:uid="{00000000-0005-0000-0000-000006000000}"/>
    <cellStyle name="Date Heading" xfId="7" xr:uid="{00000000-0005-0000-0000-000007000000}"/>
    <cellStyle name="Hard Coded Number" xfId="13" xr:uid="{00000000-0005-0000-0000-000008000000}"/>
    <cellStyle name="Highlight" xfId="21" xr:uid="{00000000-0005-0000-0000-000009000000}"/>
    <cellStyle name="Hist Proj Title" xfId="5" xr:uid="{00000000-0005-0000-0000-00000A000000}"/>
    <cellStyle name="Input 2" xfId="11" xr:uid="{00000000-0005-0000-0000-00000B000000}"/>
    <cellStyle name="Multiple" xfId="16" xr:uid="{00000000-0005-0000-0000-00000C000000}"/>
    <cellStyle name="Normal" xfId="0" builtinId="0"/>
    <cellStyle name="Normal 2" xfId="4" xr:uid="{00000000-0005-0000-0000-00000E000000}"/>
    <cellStyle name="Notes and Comments" xfId="22" xr:uid="{00000000-0005-0000-0000-00000F000000}"/>
    <cellStyle name="P" xfId="10" xr:uid="{00000000-0005-0000-0000-000010000000}"/>
    <cellStyle name="Percent" xfId="1" builtinId="5"/>
    <cellStyle name="Percent 2" xfId="12" xr:uid="{00000000-0005-0000-0000-000012000000}"/>
    <cellStyle name="Primary Title" xfId="3" xr:uid="{00000000-0005-0000-0000-000013000000}"/>
    <cellStyle name="Row Label" xfId="9" xr:uid="{00000000-0005-0000-0000-000014000000}"/>
    <cellStyle name="Secondary Title" xfId="6" xr:uid="{00000000-0005-0000-0000-000015000000}"/>
    <cellStyle name="Tertiary Title" xfId="8" xr:uid="{00000000-0005-0000-0000-000016000000}"/>
    <cellStyle name="Total" xfId="23" builtinId="25"/>
  </cellStyles>
  <dxfs count="0"/>
  <tableStyles count="0" defaultTableStyle="TableStyleMedium2" defaultPivotStyle="PivotStyleLight16"/>
  <colors>
    <mruColors>
      <color rgb="FFD9E1F2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f2-srvr\PROJECTS\Users\Zain.Avais\Desktop\SIDF%20Loan\Ratio%20comp\New%20folder\SAF%20Sulfur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f2-srvr\PROJECTS\Users\hissa\AppData\Local\Microsoft\Windows\Temporary%20Internet%20Files\Content.Outlook\O5JQXR13\Modeling%20with%20Estimates%20Case%20in%20Point%202%20Full-f10bca97a805c010816abdc9f0e939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ment"/>
      <sheetName val="Income Statment"/>
      <sheetName val="Tables"/>
      <sheetName val="Cash Flow"/>
      <sheetName val="Checklist"/>
      <sheetName val="Formulas"/>
      <sheetName val="ZM Ratio"/>
    </sheetNames>
    <sheetDataSet>
      <sheetData sheetId="0">
        <row r="7">
          <cell r="E7">
            <v>8218006</v>
          </cell>
          <cell r="F7">
            <v>9045026</v>
          </cell>
          <cell r="G7">
            <v>11613239</v>
          </cell>
        </row>
        <row r="8">
          <cell r="E8">
            <v>1044668</v>
          </cell>
          <cell r="F8">
            <v>1953473</v>
          </cell>
          <cell r="G8">
            <v>4305418</v>
          </cell>
        </row>
        <row r="21">
          <cell r="E21">
            <v>1045885</v>
          </cell>
          <cell r="F21">
            <v>2003744</v>
          </cell>
          <cell r="G21">
            <v>1021446</v>
          </cell>
        </row>
      </sheetData>
      <sheetData sheetId="1">
        <row r="4">
          <cell r="D4">
            <v>47205563</v>
          </cell>
          <cell r="E4">
            <v>46144858</v>
          </cell>
          <cell r="F4">
            <v>51022528</v>
          </cell>
        </row>
        <row r="5">
          <cell r="D5">
            <v>-36853428</v>
          </cell>
          <cell r="E5">
            <v>-34641571</v>
          </cell>
          <cell r="F5">
            <v>-41183876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Info"/>
      <sheetName val="Model 1"/>
      <sheetName val="Model 2"/>
    </sheetNames>
    <sheetDataSet>
      <sheetData sheetId="0"/>
      <sheetData sheetId="1">
        <row r="5">
          <cell r="N5" t="str">
            <v>Samsonite</v>
          </cell>
        </row>
        <row r="10">
          <cell r="N10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autoPageBreaks="0"/>
  </sheetPr>
  <dimension ref="A1:V184"/>
  <sheetViews>
    <sheetView tabSelected="1" zoomScale="80" zoomScaleNormal="115" workbookViewId="0">
      <selection activeCell="B4" sqref="B4:C4"/>
    </sheetView>
  </sheetViews>
  <sheetFormatPr defaultColWidth="36.44140625" defaultRowHeight="14.4" x14ac:dyDescent="0.3"/>
  <cols>
    <col min="1" max="1" width="36.6640625" bestFit="1" customWidth="1"/>
    <col min="2" max="2" width="38" bestFit="1" customWidth="1"/>
    <col min="3" max="3" width="6.6640625" bestFit="1" customWidth="1"/>
    <col min="4" max="4" width="13.5546875" customWidth="1"/>
    <col min="5" max="5" width="13.5546875" bestFit="1" customWidth="1"/>
    <col min="6" max="10" width="14.6640625" bestFit="1" customWidth="1"/>
  </cols>
  <sheetData>
    <row r="1" spans="1:15" ht="21" x14ac:dyDescent="0.4">
      <c r="A1" s="15" t="s">
        <v>83</v>
      </c>
    </row>
    <row r="2" spans="1:15" x14ac:dyDescent="0.3">
      <c r="A2" s="13"/>
    </row>
    <row r="3" spans="1:15" x14ac:dyDescent="0.3">
      <c r="B3" s="24" t="s">
        <v>84</v>
      </c>
      <c r="C3" s="25" t="s">
        <v>101</v>
      </c>
      <c r="D3" s="25" t="s">
        <v>157</v>
      </c>
      <c r="E3" s="25" t="s">
        <v>161</v>
      </c>
      <c r="F3" s="25" t="s">
        <v>162</v>
      </c>
      <c r="G3" s="25" t="s">
        <v>158</v>
      </c>
      <c r="H3" s="25" t="s">
        <v>163</v>
      </c>
      <c r="I3" s="25" t="s">
        <v>164</v>
      </c>
      <c r="J3" s="25" t="s">
        <v>165</v>
      </c>
    </row>
    <row r="4" spans="1:15" ht="16.2" thickBot="1" x14ac:dyDescent="0.35">
      <c r="A4" s="1"/>
      <c r="B4" s="176" t="s">
        <v>182</v>
      </c>
      <c r="C4" s="177"/>
      <c r="D4" s="17" t="s">
        <v>85</v>
      </c>
      <c r="E4" s="17" t="s">
        <v>85</v>
      </c>
      <c r="F4" s="17" t="s">
        <v>85</v>
      </c>
      <c r="G4" s="17" t="s">
        <v>86</v>
      </c>
      <c r="H4" s="17" t="s">
        <v>86</v>
      </c>
      <c r="I4" s="17" t="s">
        <v>86</v>
      </c>
      <c r="J4" s="17" t="s">
        <v>86</v>
      </c>
    </row>
    <row r="5" spans="1:15" ht="2.25" customHeight="1" thickBot="1" x14ac:dyDescent="0.35">
      <c r="B5" s="33" t="s">
        <v>98</v>
      </c>
      <c r="C5" s="34">
        <v>1</v>
      </c>
      <c r="J5" s="87"/>
    </row>
    <row r="6" spans="1:15" x14ac:dyDescent="0.3">
      <c r="A6" s="1"/>
      <c r="G6" s="46"/>
      <c r="H6" s="21"/>
      <c r="I6" s="21"/>
      <c r="J6" s="21"/>
    </row>
    <row r="7" spans="1:15" ht="15.6" x14ac:dyDescent="0.3">
      <c r="A7" s="71" t="s">
        <v>24</v>
      </c>
      <c r="B7" s="47"/>
      <c r="C7" s="47"/>
      <c r="D7" s="47"/>
      <c r="E7" s="47"/>
      <c r="F7" s="47"/>
      <c r="G7" s="47"/>
      <c r="H7" s="47"/>
      <c r="I7" s="47"/>
      <c r="J7" s="47"/>
    </row>
    <row r="8" spans="1:15" ht="15.6" x14ac:dyDescent="0.3">
      <c r="A8" s="16"/>
      <c r="B8" t="s">
        <v>99</v>
      </c>
      <c r="F8" s="13"/>
      <c r="G8" s="13"/>
      <c r="H8" s="13"/>
      <c r="I8" s="13"/>
      <c r="J8" s="13"/>
    </row>
    <row r="9" spans="1:15" ht="15" thickBot="1" x14ac:dyDescent="0.35">
      <c r="A9" s="5"/>
      <c r="B9" s="54" t="s">
        <v>25</v>
      </c>
      <c r="C9" s="80">
        <v>0</v>
      </c>
      <c r="D9" s="104">
        <v>0.05</v>
      </c>
      <c r="E9" s="81">
        <f>(E49/D49)-1</f>
        <v>-0.24780895305874673</v>
      </c>
      <c r="F9" s="81">
        <f>(F49/E49)-1</f>
        <v>0.47127450152357353</v>
      </c>
      <c r="G9" s="84">
        <v>0</v>
      </c>
      <c r="H9" s="84">
        <v>0.04</v>
      </c>
      <c r="I9" s="84">
        <v>0.04</v>
      </c>
      <c r="J9" s="84">
        <v>0.02</v>
      </c>
    </row>
    <row r="10" spans="1:15" ht="15" thickTop="1" x14ac:dyDescent="0.3">
      <c r="A10" s="5"/>
      <c r="B10" t="s">
        <v>87</v>
      </c>
      <c r="C10" s="6"/>
      <c r="D10" s="6">
        <f>D50/D49</f>
        <v>0.69775449358308905</v>
      </c>
      <c r="E10" s="6">
        <f>E50/E49</f>
        <v>0.85464685654189987</v>
      </c>
      <c r="F10" s="6">
        <f>F50/F49</f>
        <v>0.81523920652877113</v>
      </c>
      <c r="G10" s="114">
        <v>0.8</v>
      </c>
      <c r="H10" s="114">
        <f>G10</f>
        <v>0.8</v>
      </c>
      <c r="I10" s="114">
        <f t="shared" ref="I10:J10" si="0">H10</f>
        <v>0.8</v>
      </c>
      <c r="J10" s="114">
        <f t="shared" si="0"/>
        <v>0.8</v>
      </c>
      <c r="K10" s="87"/>
      <c r="O10" s="118"/>
    </row>
    <row r="11" spans="1:15" x14ac:dyDescent="0.3">
      <c r="A11" s="5"/>
      <c r="B11" t="s">
        <v>88</v>
      </c>
      <c r="C11" s="6"/>
      <c r="D11" s="9">
        <f>D52/D$49</f>
        <v>0.13451302732264872</v>
      </c>
      <c r="E11" s="9">
        <f>E52/E$49</f>
        <v>0.13160357914512472</v>
      </c>
      <c r="F11" s="9">
        <f>F52/F$49</f>
        <v>0.13660525437647197</v>
      </c>
      <c r="G11" s="114">
        <v>0.12</v>
      </c>
      <c r="H11" s="114">
        <v>0.12</v>
      </c>
      <c r="I11" s="114">
        <v>0.12</v>
      </c>
      <c r="J11" s="114">
        <v>0.12</v>
      </c>
      <c r="K11" s="87"/>
    </row>
    <row r="12" spans="1:15" x14ac:dyDescent="0.3">
      <c r="A12" s="5"/>
      <c r="B12" t="s">
        <v>94</v>
      </c>
      <c r="C12" s="6"/>
      <c r="D12" s="6">
        <f>D54/D$71</f>
        <v>5.8479507297951261E-2</v>
      </c>
      <c r="E12" s="6">
        <f>E54/E$71</f>
        <v>6.592120936388822E-2</v>
      </c>
      <c r="F12" s="6">
        <f>F54/F$71</f>
        <v>8.4819865252072912E-2</v>
      </c>
      <c r="G12" s="114">
        <f>AVERAGE(D12:F12)</f>
        <v>6.974019397130414E-2</v>
      </c>
      <c r="H12" s="114">
        <f t="shared" ref="H12" si="1">AVERAGE(E12:G12)</f>
        <v>7.34937561957551E-2</v>
      </c>
      <c r="I12" s="114">
        <f t="shared" ref="I12" si="2">AVERAGE(F12:H12)</f>
        <v>7.6017938473044055E-2</v>
      </c>
      <c r="J12" s="114">
        <f t="shared" ref="J12" si="3">AVERAGE(G12:I12)</f>
        <v>7.3083962880034437E-2</v>
      </c>
      <c r="K12" s="87"/>
    </row>
    <row r="13" spans="1:15" x14ac:dyDescent="0.3">
      <c r="A13" s="5"/>
      <c r="B13" t="s">
        <v>26</v>
      </c>
      <c r="C13" s="6"/>
      <c r="D13" s="9">
        <f>D58/D$49</f>
        <v>-1.997187942590076E-3</v>
      </c>
      <c r="E13" s="9">
        <f>E58/E$49</f>
        <v>-1.1301222555222538E-2</v>
      </c>
      <c r="F13" s="9">
        <f>F58/F$49</f>
        <v>-8.2112353536348218E-3</v>
      </c>
      <c r="G13" s="114">
        <f>AVERAGE(D13:F13)</f>
        <v>-7.1698819504824778E-3</v>
      </c>
      <c r="H13" s="114">
        <f t="shared" ref="H13:J13" si="4">AVERAGE(E13:G13)</f>
        <v>-8.8941132864466133E-3</v>
      </c>
      <c r="I13" s="114">
        <f t="shared" si="4"/>
        <v>-8.0917435301879701E-3</v>
      </c>
      <c r="J13" s="114">
        <f t="shared" si="4"/>
        <v>-8.0519129223723535E-3</v>
      </c>
      <c r="K13" s="87"/>
    </row>
    <row r="14" spans="1:15" x14ac:dyDescent="0.3">
      <c r="A14" s="5"/>
      <c r="B14" s="87" t="s">
        <v>95</v>
      </c>
      <c r="C14" s="6"/>
      <c r="D14" s="6">
        <f>D59/(D53-D57-D58)</f>
        <v>1.9012338479397765E-2</v>
      </c>
      <c r="E14" s="6">
        <f>E59/(E53-E57-E58)</f>
        <v>-9.3184716933704489E-2</v>
      </c>
      <c r="F14" s="6">
        <f>F59/(F53-F57-F58)</f>
        <v>2.7968912630360242E-2</v>
      </c>
      <c r="G14" s="114">
        <v>7.0000000000000007E-2</v>
      </c>
      <c r="H14" s="114">
        <v>7.0000000000000007E-2</v>
      </c>
      <c r="I14" s="114">
        <v>7.0000000000000007E-2</v>
      </c>
      <c r="J14" s="114">
        <v>7.0000000000000007E-2</v>
      </c>
      <c r="K14" s="87"/>
    </row>
    <row r="15" spans="1:15" x14ac:dyDescent="0.3">
      <c r="A15" s="5"/>
      <c r="B15" s="87" t="s">
        <v>91</v>
      </c>
      <c r="C15" s="6"/>
      <c r="D15" s="6">
        <f>D61/D60</f>
        <v>1.0028189374039618</v>
      </c>
      <c r="E15" s="6">
        <f>E61/E60</f>
        <v>0</v>
      </c>
      <c r="F15" s="6">
        <f>F61/F60</f>
        <v>0</v>
      </c>
      <c r="G15" s="64">
        <v>0</v>
      </c>
      <c r="H15" s="64">
        <v>0</v>
      </c>
      <c r="I15" s="64">
        <v>0</v>
      </c>
      <c r="J15" s="64">
        <v>0.5</v>
      </c>
      <c r="K15" s="87"/>
    </row>
    <row r="16" spans="1:15" x14ac:dyDescent="0.3">
      <c r="A16" s="5"/>
      <c r="H16" s="5"/>
      <c r="I16" s="5"/>
      <c r="J16" s="5"/>
      <c r="O16" s="6"/>
    </row>
    <row r="17" spans="1:11" ht="15.6" x14ac:dyDescent="0.3">
      <c r="A17" s="71" t="s">
        <v>127</v>
      </c>
      <c r="B17" s="47"/>
      <c r="C17" s="47"/>
      <c r="D17" s="47"/>
      <c r="E17" s="47"/>
      <c r="F17" s="47"/>
      <c r="G17" s="47"/>
      <c r="H17" s="47"/>
      <c r="I17" s="47"/>
      <c r="J17" s="47"/>
    </row>
    <row r="18" spans="1:11" x14ac:dyDescent="0.3">
      <c r="A18" s="5"/>
      <c r="B18" t="s">
        <v>27</v>
      </c>
      <c r="C18" s="31"/>
      <c r="D18" s="22">
        <f t="shared" ref="D18:F20" si="5">D163</f>
        <v>93.367881766008566</v>
      </c>
      <c r="E18" s="22">
        <f t="shared" si="5"/>
        <v>109.49730777217013</v>
      </c>
      <c r="F18" s="22">
        <f t="shared" si="5"/>
        <v>73.285284798318941</v>
      </c>
      <c r="G18" s="95">
        <v>73</v>
      </c>
      <c r="H18" s="95">
        <v>73</v>
      </c>
      <c r="I18" s="95">
        <v>73</v>
      </c>
      <c r="J18" s="95">
        <v>73</v>
      </c>
      <c r="K18" s="87"/>
    </row>
    <row r="19" spans="1:11" x14ac:dyDescent="0.3">
      <c r="A19" s="5"/>
      <c r="B19" t="s">
        <v>28</v>
      </c>
      <c r="C19" s="31"/>
      <c r="D19" s="22">
        <f t="shared" si="5"/>
        <v>55.186129004608468</v>
      </c>
      <c r="E19" s="22">
        <f t="shared" si="5"/>
        <v>77.645545756360121</v>
      </c>
      <c r="F19" s="22">
        <f t="shared" si="5"/>
        <v>68.027912332813358</v>
      </c>
      <c r="G19" s="95">
        <v>68</v>
      </c>
      <c r="H19" s="95">
        <v>68</v>
      </c>
      <c r="I19" s="95">
        <v>68</v>
      </c>
      <c r="J19" s="95">
        <v>68</v>
      </c>
      <c r="K19" s="87"/>
    </row>
    <row r="20" spans="1:11" x14ac:dyDescent="0.3">
      <c r="A20" s="14"/>
      <c r="B20" s="39" t="s">
        <v>31</v>
      </c>
      <c r="C20" s="31"/>
      <c r="D20" s="22">
        <f t="shared" si="5"/>
        <v>21.031744617107588</v>
      </c>
      <c r="E20" s="22">
        <f t="shared" si="5"/>
        <v>24.376041321743635</v>
      </c>
      <c r="F20" s="22">
        <f t="shared" si="5"/>
        <v>20.657444552539946</v>
      </c>
      <c r="G20" s="95">
        <v>22</v>
      </c>
      <c r="H20" s="95">
        <v>22</v>
      </c>
      <c r="I20" s="95">
        <v>22</v>
      </c>
      <c r="J20" s="95">
        <v>22</v>
      </c>
      <c r="K20" s="87"/>
    </row>
    <row r="21" spans="1:11" x14ac:dyDescent="0.3">
      <c r="A21" s="5"/>
      <c r="B21" s="39" t="s">
        <v>89</v>
      </c>
      <c r="C21" s="6"/>
      <c r="D21" s="6">
        <f>(D68)/D$49</f>
        <v>7.9650071670784153E-2</v>
      </c>
      <c r="E21" s="6">
        <f>(E68)/E$49</f>
        <v>9.7318551097627812E-2</v>
      </c>
      <c r="F21" s="6">
        <f>(F68)/F$49</f>
        <v>1.3807064101455395E-2</v>
      </c>
      <c r="G21" s="64">
        <v>0.04</v>
      </c>
      <c r="H21" s="64">
        <v>0.04</v>
      </c>
      <c r="I21" s="64">
        <v>0.04</v>
      </c>
      <c r="J21" s="64">
        <v>0.04</v>
      </c>
      <c r="K21" s="87"/>
    </row>
    <row r="22" spans="1:11" s="87" customFormat="1" x14ac:dyDescent="0.3">
      <c r="A22" s="5"/>
      <c r="B22" s="39" t="s">
        <v>171</v>
      </c>
      <c r="C22" s="6"/>
      <c r="D22" s="6">
        <f>(D67)/D$49</f>
        <v>4.1859308818922553E-2</v>
      </c>
      <c r="E22" s="6">
        <f t="shared" ref="E22" si="6">(E67)/E$49</f>
        <v>1.7848523821927399E-5</v>
      </c>
      <c r="F22" s="9">
        <f>(F67)/F$49</f>
        <v>4.9390219584604248E-3</v>
      </c>
      <c r="G22" s="64">
        <v>5.0000000000000001E-3</v>
      </c>
      <c r="H22" s="64">
        <v>5.0000000000000001E-3</v>
      </c>
      <c r="I22" s="64">
        <v>0.02</v>
      </c>
      <c r="J22" s="64">
        <v>0.02</v>
      </c>
    </row>
    <row r="23" spans="1:11" x14ac:dyDescent="0.3">
      <c r="A23" s="5"/>
      <c r="B23" s="39" t="s">
        <v>90</v>
      </c>
      <c r="C23" s="9"/>
      <c r="D23" s="9">
        <f>D78/D$49</f>
        <v>0.11186513135642367</v>
      </c>
      <c r="E23" s="9">
        <f>E78/E$49</f>
        <v>0.1463631385420103</v>
      </c>
      <c r="F23" s="9">
        <f>F78/F$49</f>
        <v>0.10370259745440651</v>
      </c>
      <c r="G23" s="64">
        <v>0.10370259745440651</v>
      </c>
      <c r="H23" s="64">
        <v>0.10370259745440651</v>
      </c>
      <c r="I23" s="64">
        <v>0.10370259745440651</v>
      </c>
      <c r="J23" s="64">
        <v>0.10370259745440651</v>
      </c>
      <c r="K23" s="87"/>
    </row>
    <row r="24" spans="1:11" x14ac:dyDescent="0.3">
      <c r="A24" s="5"/>
      <c r="B24" s="39" t="s">
        <v>29</v>
      </c>
      <c r="C24" s="9"/>
      <c r="D24" s="9">
        <f>D34/D49</f>
        <v>0.31088440434495046</v>
      </c>
      <c r="E24" s="9">
        <f>E34/E49</f>
        <v>0.15138488865736294</v>
      </c>
      <c r="F24" s="9">
        <f>F34/F49</f>
        <v>4.0901549796082542E-2</v>
      </c>
      <c r="G24" s="64">
        <v>6.5000000000000002E-2</v>
      </c>
      <c r="H24" s="64">
        <v>6.5000000000000002E-2</v>
      </c>
      <c r="I24" s="64">
        <v>0.05</v>
      </c>
      <c r="J24" s="64">
        <v>0.05</v>
      </c>
      <c r="K24" s="87"/>
    </row>
    <row r="25" spans="1:11" x14ac:dyDescent="0.3">
      <c r="A25" s="5"/>
      <c r="B25" s="39" t="s">
        <v>170</v>
      </c>
      <c r="C25" s="22"/>
      <c r="D25" s="9">
        <f>D72/D49</f>
        <v>4.356903439475153E-3</v>
      </c>
      <c r="E25" s="9">
        <f>E72/E49</f>
        <v>5.6640027189530156E-3</v>
      </c>
      <c r="F25" s="9">
        <f>F72/F49</f>
        <v>3.1978587234944042E-3</v>
      </c>
      <c r="G25" s="117">
        <v>3.1978587234944042E-3</v>
      </c>
      <c r="H25" s="117">
        <v>3.1978587234944042E-3</v>
      </c>
      <c r="I25" s="117">
        <v>3.1978587234944042E-3</v>
      </c>
      <c r="J25" s="117">
        <v>3.1978587234944042E-3</v>
      </c>
      <c r="K25" s="87"/>
    </row>
    <row r="26" spans="1:11" x14ac:dyDescent="0.3">
      <c r="A26" s="5"/>
      <c r="B26" s="39" t="s">
        <v>30</v>
      </c>
      <c r="C26" s="22"/>
      <c r="D26" s="9">
        <f>D73/D$49</f>
        <v>2.7679324986440209E-3</v>
      </c>
      <c r="E26" s="9">
        <f>E73/E$49</f>
        <v>2.6564153885016233E-3</v>
      </c>
      <c r="F26" s="9">
        <f>F73/F$49</f>
        <v>1.3031243955196417E-3</v>
      </c>
      <c r="G26" s="117">
        <f>AVERAGE(D26:F26)</f>
        <v>2.2424907608884288E-3</v>
      </c>
      <c r="H26" s="117">
        <f t="shared" ref="H26" si="7">AVERAGE(E26:G26)</f>
        <v>2.067343514969898E-3</v>
      </c>
      <c r="I26" s="117">
        <f t="shared" ref="I26" si="8">AVERAGE(F26:H26)</f>
        <v>1.8709862237926561E-3</v>
      </c>
      <c r="J26" s="117">
        <f t="shared" ref="J26" si="9">AVERAGE(G26:I26)</f>
        <v>2.060273499883661E-3</v>
      </c>
      <c r="K26" s="87"/>
    </row>
    <row r="27" spans="1:11" x14ac:dyDescent="0.3">
      <c r="A27" s="5"/>
      <c r="B27" s="39" t="s">
        <v>32</v>
      </c>
      <c r="C27" s="22"/>
      <c r="D27" s="41">
        <f>D82/D$49</f>
        <v>2.0300058792600752E-2</v>
      </c>
      <c r="E27" s="41">
        <f>E82/E$49</f>
        <v>2.7588808298779476E-2</v>
      </c>
      <c r="F27" s="41">
        <f>F82/F$49</f>
        <v>1.9754479995684013E-2</v>
      </c>
      <c r="G27" s="64">
        <v>0.03</v>
      </c>
      <c r="H27" s="64">
        <f>G27</f>
        <v>0.03</v>
      </c>
      <c r="I27" s="64">
        <f t="shared" ref="I27:J27" si="10">H27</f>
        <v>0.03</v>
      </c>
      <c r="J27" s="64">
        <f t="shared" si="10"/>
        <v>0.03</v>
      </c>
      <c r="K27" s="87"/>
    </row>
    <row r="28" spans="1:11" s="87" customFormat="1" x14ac:dyDescent="0.3">
      <c r="A28" s="5"/>
      <c r="B28" s="39"/>
      <c r="C28" s="22"/>
      <c r="D28" s="41"/>
      <c r="E28" s="9"/>
      <c r="F28" s="41"/>
      <c r="G28" s="86"/>
      <c r="H28" s="86"/>
      <c r="I28" s="86"/>
      <c r="J28" s="86"/>
      <c r="K28" s="111"/>
    </row>
    <row r="29" spans="1:11" s="87" customFormat="1" x14ac:dyDescent="0.3">
      <c r="A29" s="5"/>
      <c r="B29" s="39"/>
      <c r="C29" s="22"/>
      <c r="D29" s="41"/>
      <c r="E29" s="41"/>
      <c r="F29" s="41"/>
      <c r="G29" s="86"/>
      <c r="H29" s="86"/>
      <c r="I29" s="86"/>
      <c r="J29" s="86"/>
      <c r="K29" s="111"/>
    </row>
    <row r="30" spans="1:11" x14ac:dyDescent="0.3">
      <c r="A30" s="5"/>
      <c r="J30" s="87"/>
      <c r="K30" s="111"/>
    </row>
    <row r="31" spans="1:11" ht="15.6" x14ac:dyDescent="0.3">
      <c r="A31" s="72" t="s">
        <v>39</v>
      </c>
      <c r="B31" s="47"/>
      <c r="C31" s="47"/>
      <c r="D31" s="47"/>
      <c r="E31" s="47"/>
      <c r="F31" s="47"/>
      <c r="G31" s="47"/>
      <c r="H31" s="47"/>
      <c r="I31" s="47"/>
      <c r="J31" s="47"/>
    </row>
    <row r="32" spans="1:11" x14ac:dyDescent="0.3">
      <c r="A32" s="8"/>
      <c r="C32" s="39"/>
      <c r="D32" s="61">
        <f>D48</f>
        <v>2022</v>
      </c>
      <c r="E32" s="61">
        <f>E48</f>
        <v>2023</v>
      </c>
      <c r="F32" s="1">
        <f t="shared" ref="F32:J32" si="11">F48</f>
        <v>2024</v>
      </c>
      <c r="G32" s="1">
        <f t="shared" si="11"/>
        <v>2025</v>
      </c>
      <c r="H32" s="1">
        <f t="shared" si="11"/>
        <v>2026</v>
      </c>
      <c r="I32" s="1">
        <f t="shared" si="11"/>
        <v>2027</v>
      </c>
      <c r="J32" s="1">
        <f t="shared" si="11"/>
        <v>2028</v>
      </c>
    </row>
    <row r="33" spans="1:12" x14ac:dyDescent="0.3">
      <c r="A33" s="5"/>
      <c r="B33" t="s">
        <v>134</v>
      </c>
      <c r="D33" s="113">
        <v>247178701</v>
      </c>
      <c r="E33" s="20">
        <f t="shared" ref="E33:J33" si="12">D36</f>
        <v>504227333</v>
      </c>
      <c r="F33" s="20">
        <f t="shared" si="12"/>
        <v>571504943</v>
      </c>
      <c r="G33" s="20">
        <f t="shared" si="12"/>
        <v>565277861</v>
      </c>
      <c r="H33" s="20">
        <f t="shared" si="12"/>
        <v>591203064.66117609</v>
      </c>
      <c r="I33" s="20">
        <f t="shared" si="12"/>
        <v>615753130.31318438</v>
      </c>
      <c r="J33" s="20">
        <f t="shared" si="12"/>
        <v>623154203.5771724</v>
      </c>
    </row>
    <row r="34" spans="1:12" x14ac:dyDescent="0.3">
      <c r="A34" s="5"/>
      <c r="B34" s="39" t="s">
        <v>137</v>
      </c>
      <c r="D34" s="113">
        <f>D36-D33+D35</f>
        <v>286535598</v>
      </c>
      <c r="E34" s="113">
        <f>E36-E33+E35</f>
        <v>104951907</v>
      </c>
      <c r="F34" s="113">
        <f>F36-F33+F35</f>
        <v>41719710</v>
      </c>
      <c r="G34" s="20">
        <f>G24*G49</f>
        <v>66300205.335000001</v>
      </c>
      <c r="H34" s="20">
        <f>H24*H49</f>
        <v>68952213.5484</v>
      </c>
      <c r="I34" s="20">
        <f>I24*I49</f>
        <v>55161770.838720001</v>
      </c>
      <c r="J34" s="20">
        <f>J24*J49</f>
        <v>56265006.255494408</v>
      </c>
      <c r="K34" s="6">
        <f>F34/G33</f>
        <v>7.3803898716634855E-2</v>
      </c>
    </row>
    <row r="35" spans="1:12" x14ac:dyDescent="0.3">
      <c r="A35" s="5"/>
      <c r="B35" s="39" t="s">
        <v>133</v>
      </c>
      <c r="D35" s="20">
        <f>D54</f>
        <v>29486966</v>
      </c>
      <c r="E35" s="20">
        <f>E54</f>
        <v>37674297</v>
      </c>
      <c r="F35" s="20">
        <f>F54</f>
        <v>47946792</v>
      </c>
      <c r="G35" s="20">
        <f>G12*G33</f>
        <v>39422587.673823901</v>
      </c>
      <c r="H35" s="20">
        <f>H12*H33</f>
        <v>43449733.896391712</v>
      </c>
      <c r="I35" s="20">
        <f>I12*I33</f>
        <v>46808283.574731931</v>
      </c>
      <c r="J35" s="20">
        <f>J12*J33</f>
        <v>45542578.682771489</v>
      </c>
      <c r="K35" s="111"/>
    </row>
    <row r="36" spans="1:12" x14ac:dyDescent="0.3">
      <c r="A36" s="5"/>
      <c r="B36" t="s">
        <v>135</v>
      </c>
      <c r="C36" s="20"/>
      <c r="D36" s="20">
        <f>D71</f>
        <v>504227333</v>
      </c>
      <c r="E36" s="20">
        <f>E71</f>
        <v>571504943</v>
      </c>
      <c r="F36" s="20">
        <f>F71</f>
        <v>565277861</v>
      </c>
      <c r="G36" s="20">
        <f>G33+G34-G35-G55</f>
        <v>591203064.66117609</v>
      </c>
      <c r="H36" s="20">
        <f>H33+H34-H35-H55</f>
        <v>615753130.31318438</v>
      </c>
      <c r="I36" s="20">
        <f>I33+I34-I35-I55</f>
        <v>623154203.5771724</v>
      </c>
      <c r="J36" s="20">
        <f>J33+J34-J35-J55</f>
        <v>632924217.14989531</v>
      </c>
    </row>
    <row r="37" spans="1:12" x14ac:dyDescent="0.3">
      <c r="A37" s="5"/>
      <c r="J37" s="87"/>
    </row>
    <row r="38" spans="1:12" x14ac:dyDescent="0.3">
      <c r="A38" s="5"/>
      <c r="B38" t="s">
        <v>40</v>
      </c>
      <c r="D38" s="20">
        <f>C42</f>
        <v>0</v>
      </c>
      <c r="E38" s="20">
        <f t="shared" ref="E38:J38" si="13">D42</f>
        <v>502720325</v>
      </c>
      <c r="F38" s="20">
        <f t="shared" si="13"/>
        <v>384531220</v>
      </c>
      <c r="G38" s="20">
        <f t="shared" si="13"/>
        <v>353718300</v>
      </c>
      <c r="H38" s="20">
        <f t="shared" si="13"/>
        <v>415035701.70309997</v>
      </c>
      <c r="I38" s="20">
        <f t="shared" si="13"/>
        <v>481088556.55738389</v>
      </c>
      <c r="J38" s="20">
        <f t="shared" si="13"/>
        <v>552019791.98889923</v>
      </c>
    </row>
    <row r="39" spans="1:12" x14ac:dyDescent="0.3">
      <c r="A39" s="5"/>
      <c r="B39" t="s">
        <v>38</v>
      </c>
      <c r="D39" s="7">
        <f t="shared" ref="D39:J39" si="14">D60</f>
        <v>149578348</v>
      </c>
      <c r="E39" s="7">
        <f t="shared" si="14"/>
        <v>11742225</v>
      </c>
      <c r="F39" s="7">
        <f t="shared" si="14"/>
        <v>39401076</v>
      </c>
      <c r="G39" s="7">
        <f>G60</f>
        <v>61317401.703099951</v>
      </c>
      <c r="H39" s="7">
        <f t="shared" si="14"/>
        <v>66052854.854283907</v>
      </c>
      <c r="I39" s="7">
        <f t="shared" si="14"/>
        <v>70931235.431515336</v>
      </c>
      <c r="J39" s="7">
        <f t="shared" si="14"/>
        <v>74242199.731675595</v>
      </c>
    </row>
    <row r="40" spans="1:12" ht="15" thickBot="1" x14ac:dyDescent="0.35">
      <c r="A40" s="5"/>
      <c r="B40" t="s">
        <v>41</v>
      </c>
      <c r="D40" s="5">
        <f t="shared" ref="D40:J40" si="15">D61*-1</f>
        <v>-150000000</v>
      </c>
      <c r="E40" s="5">
        <f t="shared" si="15"/>
        <v>0</v>
      </c>
      <c r="F40" s="5">
        <f t="shared" si="15"/>
        <v>0</v>
      </c>
      <c r="G40" s="5">
        <f t="shared" si="15"/>
        <v>0</v>
      </c>
      <c r="H40" s="5">
        <f t="shared" si="15"/>
        <v>0</v>
      </c>
      <c r="I40" s="5">
        <f t="shared" si="15"/>
        <v>0</v>
      </c>
      <c r="J40" s="5">
        <f t="shared" si="15"/>
        <v>-37121099.865837798</v>
      </c>
      <c r="K40" s="90"/>
      <c r="L40" s="147"/>
    </row>
    <row r="41" spans="1:12" ht="15" thickBot="1" x14ac:dyDescent="0.35">
      <c r="A41" s="5"/>
      <c r="B41" s="35" t="s">
        <v>149</v>
      </c>
      <c r="C41" s="36"/>
      <c r="D41" s="85">
        <v>150000000</v>
      </c>
      <c r="E41" s="85">
        <v>-130000000</v>
      </c>
      <c r="F41" s="85">
        <v>-70000000</v>
      </c>
      <c r="G41" s="85"/>
      <c r="H41" s="85"/>
      <c r="I41" s="85"/>
      <c r="J41" s="85"/>
    </row>
    <row r="42" spans="1:12" x14ac:dyDescent="0.3">
      <c r="A42" s="5"/>
      <c r="B42" t="s">
        <v>42</v>
      </c>
      <c r="C42" s="7"/>
      <c r="D42" s="7">
        <f>D85</f>
        <v>502720325</v>
      </c>
      <c r="E42" s="7">
        <f>E85</f>
        <v>384531220</v>
      </c>
      <c r="F42" s="7">
        <f>F85</f>
        <v>353718300</v>
      </c>
      <c r="G42" s="5">
        <f>SUM(G38:G41)</f>
        <v>415035701.70309997</v>
      </c>
      <c r="H42" s="5">
        <f>SUM(H38:H41)</f>
        <v>481088556.55738389</v>
      </c>
      <c r="I42" s="5">
        <f>SUM(I38:I41)</f>
        <v>552019791.98889923</v>
      </c>
      <c r="J42" s="5">
        <f>SUM(J38:J41)</f>
        <v>589140891.85473704</v>
      </c>
    </row>
    <row r="43" spans="1:12" x14ac:dyDescent="0.3">
      <c r="A43" s="5"/>
      <c r="D43" s="5"/>
      <c r="E43" s="5"/>
      <c r="F43" s="5"/>
      <c r="G43" s="5"/>
      <c r="J43" s="87"/>
      <c r="L43" s="111"/>
    </row>
    <row r="44" spans="1:12" ht="15.6" x14ac:dyDescent="0.3">
      <c r="A44" s="18" t="s">
        <v>33</v>
      </c>
      <c r="J44" s="87"/>
      <c r="L44" s="111"/>
    </row>
    <row r="45" spans="1:12" x14ac:dyDescent="0.3">
      <c r="A45" s="5"/>
      <c r="B45" t="s">
        <v>34</v>
      </c>
      <c r="D45" s="14"/>
      <c r="E45" s="14"/>
      <c r="F45" s="14"/>
      <c r="G45" s="117">
        <v>0.05</v>
      </c>
      <c r="H45" s="117">
        <v>0.05</v>
      </c>
      <c r="I45" s="117">
        <v>0.05</v>
      </c>
      <c r="J45" s="117">
        <v>0.05</v>
      </c>
      <c r="L45" s="111"/>
    </row>
    <row r="46" spans="1:12" ht="15" thickBot="1" x14ac:dyDescent="0.35">
      <c r="A46" s="82"/>
      <c r="B46" s="54" t="s">
        <v>35</v>
      </c>
      <c r="C46" s="54"/>
      <c r="D46" s="115">
        <f>(D57)/(D79+D81)</f>
        <v>4.2455292225201072E-2</v>
      </c>
      <c r="E46" s="115">
        <f>(E57)/(E79+E81)</f>
        <v>3.2130913295524241E-2</v>
      </c>
      <c r="F46" s="115">
        <f>(F57)/(F79+F81)</f>
        <v>7.048419947249826E-2</v>
      </c>
      <c r="G46" s="117">
        <v>0.05</v>
      </c>
      <c r="H46" s="117">
        <v>0.05</v>
      </c>
      <c r="I46" s="117">
        <v>0.05</v>
      </c>
      <c r="J46" s="117">
        <v>0.05</v>
      </c>
      <c r="L46" s="111"/>
    </row>
    <row r="47" spans="1:12" ht="15" thickTop="1" x14ac:dyDescent="0.3">
      <c r="A47" s="101"/>
      <c r="B47" s="39"/>
      <c r="C47" s="39"/>
      <c r="D47" s="39"/>
      <c r="E47" s="122"/>
      <c r="F47" s="122"/>
      <c r="G47" s="122"/>
      <c r="H47" s="122"/>
      <c r="I47" s="122"/>
      <c r="J47" s="122"/>
      <c r="L47" s="87"/>
    </row>
    <row r="48" spans="1:12" ht="15.6" x14ac:dyDescent="0.3">
      <c r="A48" s="153" t="s">
        <v>0</v>
      </c>
      <c r="B48" s="39"/>
      <c r="C48" s="39"/>
      <c r="D48" s="154">
        <v>2022</v>
      </c>
      <c r="E48" s="146">
        <v>2023</v>
      </c>
      <c r="F48" s="146">
        <v>2024</v>
      </c>
      <c r="G48" s="146">
        <v>2025</v>
      </c>
      <c r="H48" s="146">
        <v>2026</v>
      </c>
      <c r="I48" s="146">
        <v>2027</v>
      </c>
      <c r="J48" s="146">
        <v>2028</v>
      </c>
      <c r="L48" s="87"/>
    </row>
    <row r="49" spans="1:12" x14ac:dyDescent="0.3">
      <c r="A49" s="101"/>
      <c r="B49" s="39" t="s">
        <v>1</v>
      </c>
      <c r="C49" s="58"/>
      <c r="D49" s="83">
        <v>921678907</v>
      </c>
      <c r="E49" s="83">
        <v>693278622</v>
      </c>
      <c r="F49" s="83">
        <v>1020003159</v>
      </c>
      <c r="G49" s="123">
        <f>'Recommended Loan   '!E7</f>
        <v>1020003159</v>
      </c>
      <c r="H49" s="123">
        <f>'Recommended Loan   '!F7</f>
        <v>1060803285.36</v>
      </c>
      <c r="I49" s="123">
        <f>'Recommended Loan   '!G7</f>
        <v>1103235416.7744</v>
      </c>
      <c r="J49" s="123">
        <f>'Recommended Loan   '!H7</f>
        <v>1125300125.1098881</v>
      </c>
    </row>
    <row r="50" spans="1:12" x14ac:dyDescent="0.3">
      <c r="A50" s="101"/>
      <c r="B50" s="39" t="s">
        <v>15</v>
      </c>
      <c r="C50" s="58"/>
      <c r="D50" s="83">
        <v>643105599</v>
      </c>
      <c r="E50" s="83">
        <v>592508395</v>
      </c>
      <c r="F50" s="83">
        <v>831546566</v>
      </c>
      <c r="G50" s="124">
        <f>G10*G49</f>
        <v>816002527.20000005</v>
      </c>
      <c r="H50" s="124">
        <f>H10*H49</f>
        <v>848642628.28800011</v>
      </c>
      <c r="I50" s="124">
        <f>I10*I49</f>
        <v>882588333.41952002</v>
      </c>
      <c r="J50" s="124">
        <f>J10*J49</f>
        <v>900240100.08791053</v>
      </c>
      <c r="K50" s="92"/>
    </row>
    <row r="51" spans="1:12" x14ac:dyDescent="0.3">
      <c r="A51" s="39"/>
      <c r="B51" s="39" t="s">
        <v>16</v>
      </c>
      <c r="C51" s="58"/>
      <c r="D51" s="125">
        <f>D49-D50</f>
        <v>278573308</v>
      </c>
      <c r="E51" s="125">
        <f>E49-E50</f>
        <v>100770227</v>
      </c>
      <c r="F51" s="125">
        <f t="shared" ref="F51:J51" si="16">F49-F50</f>
        <v>188456593</v>
      </c>
      <c r="G51" s="125">
        <f>G49-G50</f>
        <v>204000631.79999995</v>
      </c>
      <c r="H51" s="125">
        <f t="shared" si="16"/>
        <v>212160657.07199991</v>
      </c>
      <c r="I51" s="125">
        <f t="shared" si="16"/>
        <v>220647083.35487998</v>
      </c>
      <c r="J51" s="125">
        <f t="shared" si="16"/>
        <v>225060025.02197754</v>
      </c>
    </row>
    <row r="52" spans="1:12" x14ac:dyDescent="0.3">
      <c r="A52" s="39"/>
      <c r="B52" s="39" t="s">
        <v>132</v>
      </c>
      <c r="C52" s="155"/>
      <c r="D52" s="83">
        <f>95800719+28177101</f>
        <v>123977820</v>
      </c>
      <c r="E52" s="83">
        <f>63890358+27347590</f>
        <v>91237948</v>
      </c>
      <c r="F52" s="83">
        <f>102500411+34354316+2483064</f>
        <v>139337791</v>
      </c>
      <c r="G52" s="125">
        <f>G49*G11</f>
        <v>122400379.08</v>
      </c>
      <c r="H52" s="125">
        <f>H49*H11</f>
        <v>127296394.2432</v>
      </c>
      <c r="I52" s="125">
        <f>I49*I11</f>
        <v>132388250.01292799</v>
      </c>
      <c r="J52" s="125">
        <f>J49*J11</f>
        <v>135036015.01318657</v>
      </c>
    </row>
    <row r="53" spans="1:12" x14ac:dyDescent="0.3">
      <c r="A53" s="39"/>
      <c r="B53" s="39" t="s">
        <v>103</v>
      </c>
      <c r="C53" s="58"/>
      <c r="D53" s="83">
        <f>D51-D52</f>
        <v>154595488</v>
      </c>
      <c r="E53" s="121">
        <f t="shared" ref="E53:J53" si="17">E51-E52</f>
        <v>9532279</v>
      </c>
      <c r="F53" s="121">
        <f t="shared" si="17"/>
        <v>49118802</v>
      </c>
      <c r="G53" s="123">
        <f t="shared" si="17"/>
        <v>81600252.719999954</v>
      </c>
      <c r="H53" s="123">
        <f t="shared" si="17"/>
        <v>84864262.828799903</v>
      </c>
      <c r="I53" s="123">
        <f t="shared" si="17"/>
        <v>88258833.341951981</v>
      </c>
      <c r="J53" s="123">
        <f t="shared" si="17"/>
        <v>90024010.00879097</v>
      </c>
    </row>
    <row r="54" spans="1:12" x14ac:dyDescent="0.3">
      <c r="A54" s="39"/>
      <c r="B54" s="39" t="s">
        <v>36</v>
      </c>
      <c r="C54" s="58"/>
      <c r="D54" s="83">
        <f>29486966</f>
        <v>29486966</v>
      </c>
      <c r="E54" s="83">
        <f>37674297</f>
        <v>37674297</v>
      </c>
      <c r="F54" s="83">
        <f>47946792</f>
        <v>47946792</v>
      </c>
      <c r="G54" s="127">
        <f>G35</f>
        <v>39422587.673823901</v>
      </c>
      <c r="H54" s="127">
        <f>H35</f>
        <v>43449733.896391712</v>
      </c>
      <c r="I54" s="127">
        <f>I35</f>
        <v>46808283.574731931</v>
      </c>
      <c r="J54" s="127">
        <f>J35</f>
        <v>45542578.682771489</v>
      </c>
      <c r="L54" s="111"/>
    </row>
    <row r="55" spans="1:12" x14ac:dyDescent="0.3">
      <c r="A55" s="61"/>
      <c r="B55" s="39" t="s">
        <v>37</v>
      </c>
      <c r="C55" s="58"/>
      <c r="D55" s="83">
        <v>221799</v>
      </c>
      <c r="E55" s="83">
        <v>869617</v>
      </c>
      <c r="F55" s="83">
        <f>952414</f>
        <v>952414</v>
      </c>
      <c r="G55" s="127">
        <f>F55</f>
        <v>952414</v>
      </c>
      <c r="H55" s="127">
        <f>G55</f>
        <v>952414</v>
      </c>
      <c r="I55" s="127">
        <f>H55</f>
        <v>952414</v>
      </c>
      <c r="J55" s="127">
        <f>I55</f>
        <v>952414</v>
      </c>
      <c r="L55" s="111"/>
    </row>
    <row r="56" spans="1:12" ht="21" customHeight="1" x14ac:dyDescent="0.3">
      <c r="A56" s="144"/>
      <c r="B56" s="39" t="s">
        <v>17</v>
      </c>
      <c r="C56" s="40"/>
      <c r="D56" s="40">
        <f t="shared" ref="D56:J56" si="18">D53+D54+D55</f>
        <v>184304253</v>
      </c>
      <c r="E56" s="126">
        <f t="shared" si="18"/>
        <v>48076193</v>
      </c>
      <c r="F56" s="126">
        <f t="shared" si="18"/>
        <v>98018008</v>
      </c>
      <c r="G56" s="127">
        <f t="shared" si="18"/>
        <v>121975254.39382386</v>
      </c>
      <c r="H56" s="127">
        <f t="shared" si="18"/>
        <v>129266410.72519162</v>
      </c>
      <c r="I56" s="127">
        <f t="shared" si="18"/>
        <v>136019530.91668391</v>
      </c>
      <c r="J56" s="127">
        <f t="shared" si="18"/>
        <v>136519002.69156247</v>
      </c>
      <c r="L56" s="111"/>
    </row>
    <row r="57" spans="1:12" x14ac:dyDescent="0.3">
      <c r="A57" s="144"/>
      <c r="B57" s="39" t="s">
        <v>18</v>
      </c>
      <c r="C57" s="58"/>
      <c r="D57" s="83">
        <v>3958956</v>
      </c>
      <c r="E57" s="121">
        <v>6625875</v>
      </c>
      <c r="F57" s="121">
        <v>16959498</v>
      </c>
      <c r="G57" s="127">
        <f>IF($C$5=1,G143+G151,0)</f>
        <v>21684612.050000004</v>
      </c>
      <c r="H57" s="127">
        <f>IF($C$5=1,H143+H151,0)</f>
        <v>19856737.050000004</v>
      </c>
      <c r="I57" s="127">
        <f>IF($C$5=1,I143+I151,0)</f>
        <v>18005737.050000001</v>
      </c>
      <c r="J57" s="127">
        <f>IF($C$5=1,J143+J151,0)</f>
        <v>16210737.050000001</v>
      </c>
      <c r="K57" s="148"/>
      <c r="L57" s="111"/>
    </row>
    <row r="58" spans="1:12" x14ac:dyDescent="0.3">
      <c r="A58" s="144"/>
      <c r="B58" s="39" t="s">
        <v>92</v>
      </c>
      <c r="C58" s="58"/>
      <c r="D58" s="83">
        <v>-1840766</v>
      </c>
      <c r="E58" s="121">
        <v>-7834896</v>
      </c>
      <c r="F58" s="121">
        <v>-8375486</v>
      </c>
      <c r="G58" s="127">
        <f>AVERAGE(D58:F58)</f>
        <v>-6017049.333333333</v>
      </c>
      <c r="H58" s="127">
        <f>G58</f>
        <v>-6017049.333333333</v>
      </c>
      <c r="I58" s="127">
        <f>H58</f>
        <v>-6017049.333333333</v>
      </c>
      <c r="J58" s="127">
        <f>I58</f>
        <v>-6017049.333333333</v>
      </c>
      <c r="K58" s="148"/>
      <c r="L58" s="111"/>
    </row>
    <row r="59" spans="1:12" x14ac:dyDescent="0.3">
      <c r="A59" s="144"/>
      <c r="B59" s="39" t="s">
        <v>93</v>
      </c>
      <c r="C59" s="58"/>
      <c r="D59" s="83">
        <v>2898950</v>
      </c>
      <c r="E59" s="121">
        <v>-1000925</v>
      </c>
      <c r="F59" s="121">
        <v>1133714</v>
      </c>
      <c r="G59" s="152">
        <f>(G53-G57-G58)*G14</f>
        <v>4615288.3002333306</v>
      </c>
      <c r="H59" s="152">
        <f>(H53-H57-H58)*H14</f>
        <v>4971720.2578493273</v>
      </c>
      <c r="I59" s="152">
        <f>(I53-I57-I58)*I14</f>
        <v>5338910.1937699728</v>
      </c>
      <c r="J59" s="152">
        <f>(J53-J57-J58)*J14</f>
        <v>5588122.5604487015</v>
      </c>
      <c r="K59" s="148"/>
      <c r="L59" s="111"/>
    </row>
    <row r="60" spans="1:12" x14ac:dyDescent="0.3">
      <c r="A60" s="144"/>
      <c r="B60" s="39" t="s">
        <v>19</v>
      </c>
      <c r="C60" s="59"/>
      <c r="D60" s="74">
        <f>D53-D57-D58-D59</f>
        <v>149578348</v>
      </c>
      <c r="E60" s="128">
        <f t="shared" ref="E60:J60" si="19">E53-E57-E58-E59</f>
        <v>11742225</v>
      </c>
      <c r="F60" s="128">
        <f t="shared" si="19"/>
        <v>39401076</v>
      </c>
      <c r="G60" s="134">
        <f>G53-G57-G58-G59</f>
        <v>61317401.703099951</v>
      </c>
      <c r="H60" s="134">
        <f t="shared" si="19"/>
        <v>66052854.854283907</v>
      </c>
      <c r="I60" s="134">
        <f t="shared" si="19"/>
        <v>70931235.431515336</v>
      </c>
      <c r="J60" s="134">
        <f t="shared" si="19"/>
        <v>74242199.731675595</v>
      </c>
      <c r="K60" s="148"/>
      <c r="L60" s="111"/>
    </row>
    <row r="61" spans="1:12" ht="15.75" customHeight="1" x14ac:dyDescent="0.3">
      <c r="A61" s="39"/>
      <c r="B61" s="39" t="s">
        <v>41</v>
      </c>
      <c r="C61" s="58"/>
      <c r="D61" s="83">
        <v>150000000</v>
      </c>
      <c r="E61" s="121">
        <v>0</v>
      </c>
      <c r="F61" s="121">
        <v>0</v>
      </c>
      <c r="G61" s="127">
        <f>G60*G15</f>
        <v>0</v>
      </c>
      <c r="H61" s="127">
        <f>H60*H15</f>
        <v>0</v>
      </c>
      <c r="I61" s="127">
        <f>I60*I15</f>
        <v>0</v>
      </c>
      <c r="J61" s="127">
        <f>J60*J15</f>
        <v>37121099.865837798</v>
      </c>
      <c r="K61" s="148"/>
      <c r="L61" s="111"/>
    </row>
    <row r="62" spans="1:12" ht="15.75" customHeight="1" x14ac:dyDescent="0.3">
      <c r="A62" s="39"/>
      <c r="B62" s="39"/>
      <c r="C62" s="39"/>
      <c r="D62" s="39"/>
      <c r="E62" s="122"/>
      <c r="F62" s="122"/>
      <c r="G62" s="130"/>
      <c r="H62" s="130"/>
      <c r="I62" s="130"/>
      <c r="J62" s="130"/>
      <c r="L62" s="87"/>
    </row>
    <row r="63" spans="1:12" ht="15.6" x14ac:dyDescent="0.3">
      <c r="A63" s="153" t="s">
        <v>20</v>
      </c>
      <c r="B63" s="39"/>
      <c r="C63" s="39"/>
      <c r="D63" s="61">
        <f>D48</f>
        <v>2022</v>
      </c>
      <c r="E63" s="1">
        <f t="shared" ref="E63:J63" si="20">E48</f>
        <v>2023</v>
      </c>
      <c r="F63" s="1">
        <f t="shared" si="20"/>
        <v>2024</v>
      </c>
      <c r="G63" s="61">
        <f t="shared" si="20"/>
        <v>2025</v>
      </c>
      <c r="H63" s="61">
        <f t="shared" si="20"/>
        <v>2026</v>
      </c>
      <c r="I63" s="61">
        <f t="shared" si="20"/>
        <v>2027</v>
      </c>
      <c r="J63" s="61">
        <f t="shared" si="20"/>
        <v>2028</v>
      </c>
    </row>
    <row r="64" spans="1:12" x14ac:dyDescent="0.3">
      <c r="A64" s="156"/>
      <c r="B64" s="39" t="s">
        <v>44</v>
      </c>
      <c r="C64" s="58"/>
      <c r="D64" s="83">
        <v>20292379</v>
      </c>
      <c r="E64" s="83">
        <f>9674628</f>
        <v>9674628</v>
      </c>
      <c r="F64" s="83">
        <v>13666666</v>
      </c>
      <c r="G64" s="131">
        <f>G124</f>
        <v>14768241.535967417</v>
      </c>
      <c r="H64" s="131">
        <f>H124</f>
        <v>18060365.49189692</v>
      </c>
      <c r="I64" s="131">
        <f>I124</f>
        <v>11514536.09568473</v>
      </c>
      <c r="J64" s="131">
        <f>J124</f>
        <v>6249453.2470117658</v>
      </c>
    </row>
    <row r="65" spans="1:14" x14ac:dyDescent="0.3">
      <c r="A65" s="157"/>
      <c r="B65" s="39" t="s">
        <v>45</v>
      </c>
      <c r="C65" s="58"/>
      <c r="D65" s="83">
        <v>235767691</v>
      </c>
      <c r="E65" s="83">
        <f>180189255</f>
        <v>180189255</v>
      </c>
      <c r="F65" s="83">
        <f>229406482</f>
        <v>229406482</v>
      </c>
      <c r="G65" s="123">
        <f t="shared" ref="G65:J66" si="21">G49/365*G18</f>
        <v>204000631.79999998</v>
      </c>
      <c r="H65" s="123">
        <f t="shared" si="21"/>
        <v>212160657.072</v>
      </c>
      <c r="I65" s="123">
        <f t="shared" si="21"/>
        <v>220647083.35488001</v>
      </c>
      <c r="J65" s="123">
        <f t="shared" si="21"/>
        <v>225060025.0219776</v>
      </c>
    </row>
    <row r="66" spans="1:14" x14ac:dyDescent="0.3">
      <c r="A66" s="11"/>
      <c r="B66" t="s">
        <v>46</v>
      </c>
      <c r="C66" s="58"/>
      <c r="D66" s="83">
        <v>97234270</v>
      </c>
      <c r="E66" s="83">
        <f>154851416</f>
        <v>154851416</v>
      </c>
      <c r="F66" s="83">
        <f>155112293</f>
        <v>155112293</v>
      </c>
      <c r="G66" s="127">
        <f t="shared" si="21"/>
        <v>152022388.62904111</v>
      </c>
      <c r="H66" s="127">
        <f t="shared" si="21"/>
        <v>158103284.17420277</v>
      </c>
      <c r="I66" s="127">
        <f t="shared" si="21"/>
        <v>164427415.54117084</v>
      </c>
      <c r="J66" s="127">
        <f t="shared" si="21"/>
        <v>167715963.85199431</v>
      </c>
    </row>
    <row r="67" spans="1:14" s="87" customFormat="1" x14ac:dyDescent="0.3">
      <c r="A67" s="11"/>
      <c r="B67" s="87" t="s">
        <v>167</v>
      </c>
      <c r="C67" s="58"/>
      <c r="D67" s="83">
        <v>38580842</v>
      </c>
      <c r="E67" s="83">
        <v>12374</v>
      </c>
      <c r="F67" s="83">
        <v>5037818</v>
      </c>
      <c r="G67" s="127">
        <f>G22*G49</f>
        <v>5100015.7949999999</v>
      </c>
      <c r="H67" s="127">
        <f t="shared" ref="H67:J67" si="22">H22*H49</f>
        <v>5304016.4268000005</v>
      </c>
      <c r="I67" s="127">
        <f t="shared" si="22"/>
        <v>22064708.335487999</v>
      </c>
      <c r="J67" s="127">
        <f t="shared" si="22"/>
        <v>22506002.502197761</v>
      </c>
    </row>
    <row r="68" spans="1:14" x14ac:dyDescent="0.3">
      <c r="A68" s="11"/>
      <c r="B68" t="s">
        <v>47</v>
      </c>
      <c r="C68" s="58"/>
      <c r="D68" s="83">
        <f>35130671+38281120</f>
        <v>73411791</v>
      </c>
      <c r="E68" s="83">
        <f>67468871</f>
        <v>67468871</v>
      </c>
      <c r="F68" s="83">
        <f>13422126+661123</f>
        <v>14083249</v>
      </c>
      <c r="G68" s="127">
        <f>G21*G49</f>
        <v>40800126.359999999</v>
      </c>
      <c r="H68" s="127">
        <f>H21*H49</f>
        <v>42432131.414400004</v>
      </c>
      <c r="I68" s="127">
        <f>I21*I49</f>
        <v>44129416.670975998</v>
      </c>
      <c r="J68" s="127">
        <f>J21*J49</f>
        <v>45012005.004395522</v>
      </c>
    </row>
    <row r="69" spans="1:14" x14ac:dyDescent="0.3">
      <c r="B69" s="1" t="s">
        <v>48</v>
      </c>
      <c r="C69" s="88"/>
      <c r="D69" s="23">
        <f>SUM(D64:D68)</f>
        <v>465286973</v>
      </c>
      <c r="E69" s="132">
        <f>SUM(E64:E68)</f>
        <v>412196544</v>
      </c>
      <c r="F69" s="132">
        <f t="shared" ref="F69:J69" si="23">SUM(F64:F68)</f>
        <v>417306508</v>
      </c>
      <c r="G69" s="141">
        <f t="shared" si="23"/>
        <v>416691404.12000853</v>
      </c>
      <c r="H69" s="141">
        <f t="shared" si="23"/>
        <v>436060454.57929969</v>
      </c>
      <c r="I69" s="141">
        <f t="shared" si="23"/>
        <v>462783159.99819958</v>
      </c>
      <c r="J69" s="141">
        <f t="shared" si="23"/>
        <v>466543449.62757701</v>
      </c>
    </row>
    <row r="70" spans="1:14" x14ac:dyDescent="0.3">
      <c r="C70" s="39"/>
      <c r="E70" s="122"/>
      <c r="F70" s="122"/>
      <c r="G70" s="130"/>
      <c r="H70" s="130"/>
      <c r="I70" s="130"/>
      <c r="J70" s="130"/>
    </row>
    <row r="71" spans="1:14" x14ac:dyDescent="0.3">
      <c r="A71" s="11"/>
      <c r="B71" t="s">
        <v>49</v>
      </c>
      <c r="C71" s="58"/>
      <c r="D71" s="83">
        <v>504227333</v>
      </c>
      <c r="E71" s="83">
        <v>571504943</v>
      </c>
      <c r="F71" s="83">
        <f>565277861</f>
        <v>565277861</v>
      </c>
      <c r="G71" s="127">
        <f>G36</f>
        <v>591203064.66117609</v>
      </c>
      <c r="H71" s="127">
        <f>H36</f>
        <v>615753130.31318438</v>
      </c>
      <c r="I71" s="127">
        <f>I36</f>
        <v>623154203.5771724</v>
      </c>
      <c r="J71" s="127">
        <f>J36</f>
        <v>632924217.14989531</v>
      </c>
      <c r="K71" s="111"/>
    </row>
    <row r="72" spans="1:14" x14ac:dyDescent="0.3">
      <c r="A72" s="11"/>
      <c r="B72" t="s">
        <v>169</v>
      </c>
      <c r="C72" s="58"/>
      <c r="D72" s="83">
        <v>4015666</v>
      </c>
      <c r="E72" s="83">
        <v>3926732</v>
      </c>
      <c r="F72" s="83">
        <f>3261826</f>
        <v>3261826</v>
      </c>
      <c r="G72" s="131">
        <f>(G49*G25)-G55</f>
        <v>2309412</v>
      </c>
      <c r="H72" s="131">
        <f t="shared" ref="H72:J72" si="24">(H49*H25)-H55</f>
        <v>2439885.04</v>
      </c>
      <c r="I72" s="131">
        <f t="shared" si="24"/>
        <v>2575577.0015999996</v>
      </c>
      <c r="J72" s="131">
        <f t="shared" si="24"/>
        <v>2646136.8216320002</v>
      </c>
      <c r="K72" s="111"/>
    </row>
    <row r="73" spans="1:14" x14ac:dyDescent="0.3">
      <c r="A73" s="11"/>
      <c r="B73" t="s">
        <v>168</v>
      </c>
      <c r="C73" s="58"/>
      <c r="D73" s="83">
        <f>2551145</f>
        <v>2551145</v>
      </c>
      <c r="E73" s="83">
        <f>1841636</f>
        <v>1841636</v>
      </c>
      <c r="F73" s="83">
        <f>1329191</f>
        <v>1329191</v>
      </c>
      <c r="G73" s="131">
        <f>G26*G49</f>
        <v>2287347.6601345111</v>
      </c>
      <c r="H73" s="131">
        <f t="shared" ref="H73:J73" si="25">H26*H49</f>
        <v>2193044.792647758</v>
      </c>
      <c r="I73" s="131">
        <f t="shared" si="25"/>
        <v>2064138.2663850519</v>
      </c>
      <c r="J73" s="131">
        <f t="shared" si="25"/>
        <v>2318426.0271796705</v>
      </c>
      <c r="K73" s="111"/>
    </row>
    <row r="74" spans="1:14" x14ac:dyDescent="0.3">
      <c r="A74" s="11"/>
      <c r="B74" s="1" t="s">
        <v>50</v>
      </c>
      <c r="C74" s="88"/>
      <c r="D74" s="23">
        <f>SUM(D71:D73)+D69</f>
        <v>976081117</v>
      </c>
      <c r="E74" s="132">
        <f>SUM(E71:E73)+E69</f>
        <v>989469855</v>
      </c>
      <c r="F74" s="132">
        <f>SUM(F71:F73)+F69</f>
        <v>987175386</v>
      </c>
      <c r="G74" s="141">
        <f>SUM(G71:G73)+G69</f>
        <v>1012491228.4413192</v>
      </c>
      <c r="H74" s="141">
        <f>SUM(H71:H73)+H69</f>
        <v>1056446514.7251318</v>
      </c>
      <c r="I74" s="141">
        <f>TRUNC(SUM(I71:I73)+I69)</f>
        <v>1090577078</v>
      </c>
      <c r="J74" s="141">
        <f>TRUNC(SUM(J71:J73)+J69)</f>
        <v>1104432229</v>
      </c>
      <c r="K74" s="111"/>
      <c r="L74" s="7"/>
      <c r="M74" s="7"/>
      <c r="N74" s="7"/>
    </row>
    <row r="75" spans="1:14" x14ac:dyDescent="0.3">
      <c r="A75" s="11"/>
      <c r="C75" s="39"/>
      <c r="E75" s="122"/>
      <c r="F75" s="133"/>
      <c r="G75" s="130"/>
      <c r="H75" s="130"/>
      <c r="I75" s="130"/>
      <c r="J75" s="130"/>
      <c r="K75" s="111"/>
      <c r="L75" s="111"/>
      <c r="M75" s="111"/>
    </row>
    <row r="76" spans="1:14" x14ac:dyDescent="0.3">
      <c r="B76" t="s">
        <v>51</v>
      </c>
      <c r="C76" s="58"/>
      <c r="D76" s="83">
        <v>221240396</v>
      </c>
      <c r="E76" s="83">
        <v>236043261</v>
      </c>
      <c r="F76" s="83">
        <f>214875559</f>
        <v>214875559</v>
      </c>
      <c r="G76" s="127">
        <f>G141</f>
        <v>200875559</v>
      </c>
      <c r="H76" s="127">
        <f>H141</f>
        <v>190875559</v>
      </c>
      <c r="I76" s="127">
        <f>I141</f>
        <v>175875559</v>
      </c>
      <c r="J76" s="127">
        <f>J141</f>
        <v>210875559</v>
      </c>
      <c r="K76" s="111"/>
    </row>
    <row r="77" spans="1:14" x14ac:dyDescent="0.3">
      <c r="B77" t="s">
        <v>52</v>
      </c>
      <c r="C77" s="58"/>
      <c r="D77" s="83">
        <v>37056528</v>
      </c>
      <c r="E77" s="83">
        <f>42083248</f>
        <v>42083248</v>
      </c>
      <c r="F77" s="83">
        <f>52040736</f>
        <v>52040736</v>
      </c>
      <c r="G77" s="127">
        <f>G50/365*G20</f>
        <v>49183713.968219183</v>
      </c>
      <c r="H77" s="127">
        <f>H50/365*H20</f>
        <v>51151062.526947953</v>
      </c>
      <c r="I77" s="127">
        <f>I50/365*I20</f>
        <v>53197105.028025866</v>
      </c>
      <c r="J77" s="127">
        <f>J50/365*J20</f>
        <v>54261047.128586389</v>
      </c>
      <c r="K77" s="111"/>
    </row>
    <row r="78" spans="1:14" x14ac:dyDescent="0.3">
      <c r="B78" t="s">
        <v>96</v>
      </c>
      <c r="C78" s="58"/>
      <c r="D78" s="83">
        <f>2576210+774026+92770045+6983451</f>
        <v>103103732</v>
      </c>
      <c r="E78" s="121">
        <v>101470435</v>
      </c>
      <c r="F78" s="121">
        <v>105776977</v>
      </c>
      <c r="G78" s="127">
        <f>G23*G49</f>
        <v>105776977</v>
      </c>
      <c r="H78" s="127">
        <f>H23*H49</f>
        <v>110008056.08</v>
      </c>
      <c r="I78" s="127">
        <f>I23*I49</f>
        <v>114408378.32319999</v>
      </c>
      <c r="J78" s="127">
        <f>J23*J49</f>
        <v>116696545.88966401</v>
      </c>
      <c r="K78" s="111"/>
      <c r="M78" s="111"/>
    </row>
    <row r="79" spans="1:14" s="87" customFormat="1" x14ac:dyDescent="0.3">
      <c r="B79" s="87" t="s">
        <v>138</v>
      </c>
      <c r="C79" s="58"/>
      <c r="D79" s="83"/>
      <c r="E79" s="83">
        <v>16506500</v>
      </c>
      <c r="F79" s="83">
        <f>57456650</f>
        <v>57456650</v>
      </c>
      <c r="G79" s="127">
        <f>G152</f>
        <v>19520000</v>
      </c>
      <c r="H79" s="127">
        <f>H152</f>
        <v>29520000</v>
      </c>
      <c r="I79" s="127">
        <f>I152</f>
        <v>62280000</v>
      </c>
      <c r="J79" s="127">
        <f>J152</f>
        <v>0</v>
      </c>
      <c r="K79" s="111"/>
      <c r="M79" s="7"/>
    </row>
    <row r="80" spans="1:14" x14ac:dyDescent="0.3">
      <c r="B80" s="1" t="s">
        <v>53</v>
      </c>
      <c r="C80" s="59"/>
      <c r="D80" s="10">
        <f t="shared" ref="D80:I80" si="26">SUM(D76:D79)</f>
        <v>361400656</v>
      </c>
      <c r="E80" s="129">
        <f>SUM(E76:E79)</f>
        <v>396103444</v>
      </c>
      <c r="F80" s="129">
        <f>SUM(F76:F79)</f>
        <v>430149922</v>
      </c>
      <c r="G80" s="134">
        <f t="shared" si="26"/>
        <v>375356249.96821916</v>
      </c>
      <c r="H80" s="134">
        <f t="shared" si="26"/>
        <v>381554677.60694796</v>
      </c>
      <c r="I80" s="134">
        <f t="shared" si="26"/>
        <v>405761042.35122585</v>
      </c>
      <c r="J80" s="134">
        <f>SUM(J76:J79)</f>
        <v>381833152.01825041</v>
      </c>
      <c r="K80" s="21"/>
      <c r="L80" s="21"/>
      <c r="M80" s="21"/>
    </row>
    <row r="81" spans="1:13" x14ac:dyDescent="0.3">
      <c r="B81" t="s">
        <v>54</v>
      </c>
      <c r="C81" s="58"/>
      <c r="D81" s="83">
        <v>93250000</v>
      </c>
      <c r="E81" s="121">
        <v>189708460</v>
      </c>
      <c r="F81" s="121">
        <v>183157532</v>
      </c>
      <c r="G81" s="127">
        <f>G153</f>
        <v>191499182</v>
      </c>
      <c r="H81" s="127">
        <f>H153</f>
        <v>161979182</v>
      </c>
      <c r="I81" s="127">
        <f>I153</f>
        <v>99699182</v>
      </c>
      <c r="J81" s="127">
        <f>J153</f>
        <v>99699182</v>
      </c>
      <c r="L81" s="7"/>
    </row>
    <row r="82" spans="1:13" x14ac:dyDescent="0.3">
      <c r="B82" t="s">
        <v>55</v>
      </c>
      <c r="C82" s="58"/>
      <c r="D82" s="83">
        <v>18710136</v>
      </c>
      <c r="E82" s="121">
        <v>19126731</v>
      </c>
      <c r="F82" s="121">
        <v>20149632</v>
      </c>
      <c r="G82" s="127">
        <f>G49*G27</f>
        <v>30600094.77</v>
      </c>
      <c r="H82" s="127">
        <f>H49*H27</f>
        <v>31824098.560800001</v>
      </c>
      <c r="I82" s="127">
        <f>I49*I27</f>
        <v>33097062.503231999</v>
      </c>
      <c r="J82" s="127">
        <f>J49*J27</f>
        <v>33759003.753296643</v>
      </c>
    </row>
    <row r="83" spans="1:13" x14ac:dyDescent="0.3">
      <c r="B83" s="1" t="s">
        <v>56</v>
      </c>
      <c r="C83" s="59"/>
      <c r="D83" s="10">
        <f>SUM(D81:D82)+D80</f>
        <v>473360792</v>
      </c>
      <c r="E83" s="129">
        <f>SUM(E81:E82)+E80</f>
        <v>604938635</v>
      </c>
      <c r="F83" s="129">
        <f>SUM(F81:F82)+F80</f>
        <v>633457086</v>
      </c>
      <c r="G83" s="134">
        <f t="shared" ref="G83:J83" si="27">SUM(G81:G82)+G80</f>
        <v>597455526.73821914</v>
      </c>
      <c r="H83" s="134">
        <f t="shared" si="27"/>
        <v>575357958.16774797</v>
      </c>
      <c r="I83" s="134">
        <f t="shared" si="27"/>
        <v>538557286.85445786</v>
      </c>
      <c r="J83" s="134">
        <f t="shared" si="27"/>
        <v>515291337.77154708</v>
      </c>
    </row>
    <row r="84" spans="1:13" x14ac:dyDescent="0.3">
      <c r="C84" s="39"/>
      <c r="E84" s="122"/>
      <c r="F84" s="133"/>
      <c r="G84" s="130"/>
      <c r="H84" s="130"/>
      <c r="I84" s="130"/>
      <c r="J84" s="130"/>
      <c r="K84" s="21"/>
      <c r="L84" s="21"/>
      <c r="M84" s="21"/>
    </row>
    <row r="85" spans="1:13" x14ac:dyDescent="0.3">
      <c r="B85" t="s">
        <v>57</v>
      </c>
      <c r="C85" s="58"/>
      <c r="D85" s="83">
        <f>136000000+200000000+40800000+125920325</f>
        <v>502720325</v>
      </c>
      <c r="E85" s="83">
        <f>136000000+70000000+40800000+137731220</f>
        <v>384531220</v>
      </c>
      <c r="F85" s="83">
        <f>136000000+40800000+176918300</f>
        <v>353718300</v>
      </c>
      <c r="G85" s="127">
        <f>G42</f>
        <v>415035701.70309997</v>
      </c>
      <c r="H85" s="127">
        <f>H42</f>
        <v>481088556.55738389</v>
      </c>
      <c r="I85" s="127">
        <f>I42</f>
        <v>552019791.98889923</v>
      </c>
      <c r="J85" s="127">
        <f>J42</f>
        <v>589140891.85473704</v>
      </c>
    </row>
    <row r="86" spans="1:13" x14ac:dyDescent="0.3">
      <c r="B86" s="61" t="s">
        <v>58</v>
      </c>
      <c r="C86" s="10"/>
      <c r="D86" s="10">
        <f>D83+D85</f>
        <v>976081117</v>
      </c>
      <c r="E86" s="129">
        <f>E83+E85</f>
        <v>989469855</v>
      </c>
      <c r="F86" s="129">
        <f>F83+F85</f>
        <v>987175386</v>
      </c>
      <c r="G86" s="141">
        <f>G83+G85</f>
        <v>1012491228.4413191</v>
      </c>
      <c r="H86" s="141">
        <f>H83+H85</f>
        <v>1056446514.7251319</v>
      </c>
      <c r="I86" s="134">
        <f>TRUNC(I83+I85)</f>
        <v>1090577078</v>
      </c>
      <c r="J86" s="134">
        <f>TRUNC(J83+J85)</f>
        <v>1104432229</v>
      </c>
    </row>
    <row r="87" spans="1:13" ht="15" thickBot="1" x14ac:dyDescent="0.35">
      <c r="D87" s="21"/>
      <c r="E87" s="122"/>
      <c r="F87" s="122"/>
      <c r="G87" s="127"/>
      <c r="H87" s="130"/>
      <c r="I87" s="130"/>
      <c r="J87" s="130"/>
    </row>
    <row r="88" spans="1:13" ht="15" thickBot="1" x14ac:dyDescent="0.35">
      <c r="B88" s="26" t="s">
        <v>59</v>
      </c>
      <c r="C88" s="27"/>
      <c r="D88" s="27" t="b">
        <f t="shared" ref="D88:I88" si="28">D86=D74</f>
        <v>1</v>
      </c>
      <c r="E88" s="135" t="b">
        <f t="shared" si="28"/>
        <v>1</v>
      </c>
      <c r="F88" s="135" t="b">
        <f>F86=F74</f>
        <v>1</v>
      </c>
      <c r="G88" s="136" t="b">
        <f>G86=G74</f>
        <v>1</v>
      </c>
      <c r="H88" s="136" t="b">
        <f>H86=H74</f>
        <v>1</v>
      </c>
      <c r="I88" s="136" t="b">
        <f t="shared" si="28"/>
        <v>1</v>
      </c>
      <c r="J88" s="136" t="b">
        <f>J86=J74</f>
        <v>1</v>
      </c>
      <c r="K88" s="91"/>
    </row>
    <row r="89" spans="1:13" x14ac:dyDescent="0.3">
      <c r="B89" s="28"/>
      <c r="C89" s="28"/>
      <c r="D89" s="28"/>
      <c r="E89" s="137"/>
      <c r="F89" s="143"/>
      <c r="G89" s="138">
        <f>G86-G74</f>
        <v>0</v>
      </c>
      <c r="H89" s="138">
        <f>H86-H74</f>
        <v>0</v>
      </c>
      <c r="I89" s="138">
        <f>I86-I74</f>
        <v>0</v>
      </c>
      <c r="J89" s="138">
        <f>J86-J74</f>
        <v>0</v>
      </c>
      <c r="K89" s="90"/>
    </row>
    <row r="90" spans="1:13" x14ac:dyDescent="0.3">
      <c r="B90" s="47" t="s">
        <v>45</v>
      </c>
      <c r="C90" s="19"/>
      <c r="D90" s="58">
        <f>D65</f>
        <v>235767691</v>
      </c>
      <c r="E90" s="58">
        <f>E65</f>
        <v>180189255</v>
      </c>
      <c r="F90" s="58">
        <f>F65</f>
        <v>229406482</v>
      </c>
      <c r="G90" s="58">
        <f>G65</f>
        <v>204000631.79999998</v>
      </c>
      <c r="H90" s="58">
        <f t="shared" ref="E90:J91" si="29">H65</f>
        <v>212160657.072</v>
      </c>
      <c r="I90" s="58">
        <f t="shared" si="29"/>
        <v>220647083.35488001</v>
      </c>
      <c r="J90" s="58">
        <f t="shared" si="29"/>
        <v>225060025.0219776</v>
      </c>
      <c r="K90" s="90"/>
      <c r="L90" s="111"/>
    </row>
    <row r="91" spans="1:13" x14ac:dyDescent="0.3">
      <c r="B91" s="47" t="s">
        <v>46</v>
      </c>
      <c r="C91" s="19"/>
      <c r="D91" s="58">
        <f>D66</f>
        <v>97234270</v>
      </c>
      <c r="E91" s="58">
        <f t="shared" si="29"/>
        <v>154851416</v>
      </c>
      <c r="F91" s="58">
        <f>F66</f>
        <v>155112293</v>
      </c>
      <c r="G91" s="58">
        <f t="shared" si="29"/>
        <v>152022388.62904111</v>
      </c>
      <c r="H91" s="58">
        <f t="shared" si="29"/>
        <v>158103284.17420277</v>
      </c>
      <c r="I91" s="58">
        <f t="shared" si="29"/>
        <v>164427415.54117084</v>
      </c>
      <c r="J91" s="58">
        <f t="shared" si="29"/>
        <v>167715963.85199431</v>
      </c>
      <c r="K91" s="90"/>
      <c r="L91" s="111"/>
    </row>
    <row r="92" spans="1:13" x14ac:dyDescent="0.3">
      <c r="A92" s="39"/>
      <c r="B92" t="s">
        <v>47</v>
      </c>
      <c r="C92" s="19"/>
      <c r="D92" s="58">
        <f>D68+D67</f>
        <v>111992633</v>
      </c>
      <c r="E92" s="58">
        <f t="shared" ref="E92" si="30">E68+E67</f>
        <v>67481245</v>
      </c>
      <c r="F92" s="58">
        <f>F68+F67</f>
        <v>19121067</v>
      </c>
      <c r="G92" s="58">
        <f>G68+G67</f>
        <v>45900142.155000001</v>
      </c>
      <c r="H92" s="58">
        <f t="shared" ref="H92:J92" si="31">H68+H67</f>
        <v>47736147.841200002</v>
      </c>
      <c r="I92" s="58">
        <f t="shared" si="31"/>
        <v>66194125.006463997</v>
      </c>
      <c r="J92" s="58">
        <f t="shared" si="31"/>
        <v>67518007.506593287</v>
      </c>
      <c r="K92" s="90"/>
      <c r="L92" s="111"/>
    </row>
    <row r="93" spans="1:13" x14ac:dyDescent="0.3">
      <c r="A93" s="39"/>
      <c r="B93" s="47" t="s">
        <v>52</v>
      </c>
      <c r="C93" s="19"/>
      <c r="D93" s="58">
        <f>D77</f>
        <v>37056528</v>
      </c>
      <c r="E93" s="58">
        <f t="shared" ref="E93:I94" si="32">E77</f>
        <v>42083248</v>
      </c>
      <c r="F93" s="58">
        <f t="shared" si="32"/>
        <v>52040736</v>
      </c>
      <c r="G93" s="58">
        <f>G77</f>
        <v>49183713.968219183</v>
      </c>
      <c r="H93" s="58">
        <f t="shared" si="32"/>
        <v>51151062.526947953</v>
      </c>
      <c r="I93" s="58">
        <f t="shared" si="32"/>
        <v>53197105.028025866</v>
      </c>
      <c r="J93" s="58">
        <f>J77</f>
        <v>54261047.128586389</v>
      </c>
      <c r="K93" s="6"/>
      <c r="L93" s="111"/>
    </row>
    <row r="94" spans="1:13" x14ac:dyDescent="0.3">
      <c r="A94" s="39"/>
      <c r="B94" t="s">
        <v>96</v>
      </c>
      <c r="C94" s="19"/>
      <c r="D94" s="58">
        <f>D78</f>
        <v>103103732</v>
      </c>
      <c r="E94" s="58">
        <f>E78</f>
        <v>101470435</v>
      </c>
      <c r="F94" s="58">
        <f>F78</f>
        <v>105776977</v>
      </c>
      <c r="G94" s="58">
        <f>G78</f>
        <v>105776977</v>
      </c>
      <c r="H94" s="58">
        <f t="shared" si="32"/>
        <v>110008056.08</v>
      </c>
      <c r="I94" s="58">
        <f t="shared" si="32"/>
        <v>114408378.32319999</v>
      </c>
      <c r="J94" s="58">
        <f>J78</f>
        <v>116696545.88966401</v>
      </c>
      <c r="K94" s="90"/>
      <c r="L94" s="111"/>
    </row>
    <row r="95" spans="1:13" x14ac:dyDescent="0.3">
      <c r="A95" s="39"/>
      <c r="B95" s="1" t="s">
        <v>43</v>
      </c>
      <c r="C95" s="29"/>
      <c r="D95" s="103">
        <f t="shared" ref="D95:J95" si="33">SUM(D90:D92)-SUM(D93:D94)</f>
        <v>304834334</v>
      </c>
      <c r="E95" s="103">
        <f t="shared" si="33"/>
        <v>258968233</v>
      </c>
      <c r="F95" s="103">
        <f t="shared" si="33"/>
        <v>245822129</v>
      </c>
      <c r="G95" s="103">
        <f>SUM(G90:G92)-SUM(G93:G94)</f>
        <v>246962471.61582193</v>
      </c>
      <c r="H95" s="103">
        <f t="shared" si="33"/>
        <v>256840970.4804548</v>
      </c>
      <c r="I95" s="103">
        <f t="shared" si="33"/>
        <v>283663140.55128896</v>
      </c>
      <c r="J95" s="103">
        <f t="shared" si="33"/>
        <v>289336403.36231482</v>
      </c>
      <c r="K95" s="90"/>
      <c r="L95" s="111"/>
    </row>
    <row r="96" spans="1:13" ht="15.6" x14ac:dyDescent="0.3">
      <c r="A96" s="153" t="s">
        <v>60</v>
      </c>
      <c r="D96" s="61"/>
      <c r="E96" s="61"/>
      <c r="F96" s="61"/>
      <c r="G96" s="61"/>
      <c r="H96" s="61"/>
      <c r="I96" s="61"/>
      <c r="J96" s="61"/>
      <c r="K96" s="111"/>
      <c r="L96" s="111"/>
    </row>
    <row r="97" spans="1:22" x14ac:dyDescent="0.3">
      <c r="A97" s="39"/>
      <c r="B97" t="s">
        <v>155</v>
      </c>
      <c r="C97" s="7"/>
      <c r="D97" s="40">
        <f>D60+D59</f>
        <v>152477298</v>
      </c>
      <c r="E97" s="40">
        <f>E60+E59</f>
        <v>10741300</v>
      </c>
      <c r="F97" s="40">
        <f>F60+F59</f>
        <v>40534790</v>
      </c>
      <c r="G97" s="40">
        <f>G60</f>
        <v>61317401.703099951</v>
      </c>
      <c r="H97" s="40">
        <f>H60</f>
        <v>66052854.854283907</v>
      </c>
      <c r="I97" s="40">
        <f>I60</f>
        <v>70931235.431515336</v>
      </c>
      <c r="J97" s="40">
        <f>J60</f>
        <v>74242199.731675595</v>
      </c>
      <c r="K97" s="46"/>
      <c r="L97" s="46"/>
    </row>
    <row r="98" spans="1:22" x14ac:dyDescent="0.3">
      <c r="A98" s="39"/>
      <c r="B98" t="s">
        <v>36</v>
      </c>
      <c r="C98" s="74"/>
      <c r="D98" s="109">
        <f>D35</f>
        <v>29486966</v>
      </c>
      <c r="E98" s="109">
        <f>E35</f>
        <v>37674297</v>
      </c>
      <c r="F98" s="109">
        <f>F35</f>
        <v>47946792</v>
      </c>
      <c r="G98" s="40">
        <f t="shared" ref="G98:J99" si="34">G54</f>
        <v>39422587.673823901</v>
      </c>
      <c r="H98" s="40">
        <f t="shared" si="34"/>
        <v>43449733.896391712</v>
      </c>
      <c r="I98" s="40">
        <f t="shared" si="34"/>
        <v>46808283.574731931</v>
      </c>
      <c r="J98" s="40">
        <f t="shared" si="34"/>
        <v>45542578.682771489</v>
      </c>
      <c r="L98" s="111"/>
    </row>
    <row r="99" spans="1:22" x14ac:dyDescent="0.3">
      <c r="B99" t="s">
        <v>37</v>
      </c>
      <c r="C99" s="74"/>
      <c r="D99" s="109">
        <f>D55</f>
        <v>221799</v>
      </c>
      <c r="E99" s="109">
        <f>E55</f>
        <v>869617</v>
      </c>
      <c r="F99" s="109">
        <f>F55</f>
        <v>952414</v>
      </c>
      <c r="G99" s="40">
        <f t="shared" si="34"/>
        <v>952414</v>
      </c>
      <c r="H99" s="40">
        <f t="shared" si="34"/>
        <v>952414</v>
      </c>
      <c r="I99" s="40">
        <f t="shared" si="34"/>
        <v>952414</v>
      </c>
      <c r="J99" s="40">
        <f t="shared" si="34"/>
        <v>952414</v>
      </c>
      <c r="K99" s="46"/>
      <c r="L99" s="111"/>
      <c r="N99" s="111"/>
    </row>
    <row r="100" spans="1:22" ht="16.5" customHeight="1" x14ac:dyDescent="0.3">
      <c r="B100" t="s">
        <v>61</v>
      </c>
      <c r="C100" s="7"/>
      <c r="D100" s="109"/>
      <c r="E100" s="40">
        <f>D95-E95</f>
        <v>45866101</v>
      </c>
      <c r="F100" s="40">
        <f>E95-F95</f>
        <v>13146104</v>
      </c>
      <c r="G100" s="40">
        <f>F95-G95</f>
        <v>-1140342.6158219278</v>
      </c>
      <c r="H100" s="40">
        <f>G95-H95</f>
        <v>-9878498.8646328747</v>
      </c>
      <c r="I100" s="40">
        <f t="shared" ref="I100:J100" si="35">H95-I95</f>
        <v>-26822170.07083416</v>
      </c>
      <c r="J100" s="40">
        <f t="shared" si="35"/>
        <v>-5673262.8110258579</v>
      </c>
      <c r="K100" s="89"/>
      <c r="L100" s="144"/>
      <c r="N100" s="7"/>
    </row>
    <row r="101" spans="1:22" s="87" customFormat="1" ht="16.5" customHeight="1" x14ac:dyDescent="0.3">
      <c r="B101" s="87" t="s">
        <v>148</v>
      </c>
      <c r="C101" s="7"/>
      <c r="D101" s="109">
        <f>-23773478-221799</f>
        <v>-23995277</v>
      </c>
      <c r="E101" s="109">
        <f>2463122-869617</f>
        <v>1593505</v>
      </c>
      <c r="F101" s="70">
        <f>103464592-103163032-952414</f>
        <v>-650854</v>
      </c>
      <c r="G101" s="40">
        <v>0</v>
      </c>
      <c r="H101" s="40">
        <v>0</v>
      </c>
      <c r="I101" s="40">
        <v>0</v>
      </c>
      <c r="J101" s="40">
        <v>0</v>
      </c>
      <c r="K101" s="89"/>
      <c r="N101" s="7"/>
    </row>
    <row r="102" spans="1:22" ht="14.25" customHeight="1" x14ac:dyDescent="0.3">
      <c r="B102" t="s">
        <v>62</v>
      </c>
      <c r="C102" s="21"/>
      <c r="D102" s="108"/>
      <c r="E102" s="21">
        <f t="shared" ref="E102:J102" si="36">D73-E73</f>
        <v>709509</v>
      </c>
      <c r="F102" s="21">
        <f t="shared" si="36"/>
        <v>512445</v>
      </c>
      <c r="G102" s="142">
        <f t="shared" si="36"/>
        <v>-958156.66013451107</v>
      </c>
      <c r="H102" s="142">
        <f t="shared" si="36"/>
        <v>94302.867486753035</v>
      </c>
      <c r="I102" s="142">
        <f t="shared" si="36"/>
        <v>128906.52626270615</v>
      </c>
      <c r="J102" s="142">
        <f t="shared" si="36"/>
        <v>-254287.76079461863</v>
      </c>
    </row>
    <row r="103" spans="1:22" x14ac:dyDescent="0.3">
      <c r="B103" t="s">
        <v>63</v>
      </c>
      <c r="C103" s="7"/>
      <c r="D103" s="109"/>
      <c r="E103" s="7">
        <f>E82-D82</f>
        <v>416595</v>
      </c>
      <c r="F103" s="7">
        <f>F82-E82</f>
        <v>1022901</v>
      </c>
      <c r="G103" s="40">
        <f>G82-F82</f>
        <v>10450462.77</v>
      </c>
      <c r="H103" s="40">
        <f t="shared" ref="H103:J103" si="37">H82-G82</f>
        <v>1224003.7908000015</v>
      </c>
      <c r="I103" s="40">
        <f t="shared" si="37"/>
        <v>1272963.9424319975</v>
      </c>
      <c r="J103" s="40">
        <f t="shared" si="37"/>
        <v>661941.25006464496</v>
      </c>
      <c r="K103" s="7"/>
    </row>
    <row r="104" spans="1:22" x14ac:dyDescent="0.3">
      <c r="B104" s="61" t="s">
        <v>64</v>
      </c>
      <c r="C104" s="74"/>
      <c r="D104" s="112">
        <f>SUM(D97:D103)</f>
        <v>158190786</v>
      </c>
      <c r="E104" s="98">
        <f t="shared" ref="E104:J104" si="38">SUM(E97:E103)</f>
        <v>97870924</v>
      </c>
      <c r="F104" s="98">
        <f>SUM(F97:F103)</f>
        <v>103464592</v>
      </c>
      <c r="G104" s="59">
        <f>SUM(G97:G103)</f>
        <v>110044366.87096742</v>
      </c>
      <c r="H104" s="59">
        <f>SUM(H97:H103)</f>
        <v>101894810.54432951</v>
      </c>
      <c r="I104" s="59">
        <f t="shared" si="38"/>
        <v>93271633.404107809</v>
      </c>
      <c r="J104" s="59">
        <f t="shared" si="38"/>
        <v>115471583.09269124</v>
      </c>
      <c r="K104" s="6"/>
      <c r="L104" s="7"/>
    </row>
    <row r="105" spans="1:22" x14ac:dyDescent="0.3">
      <c r="C105" s="87"/>
      <c r="D105" s="7"/>
      <c r="E105" s="87"/>
      <c r="F105" s="7"/>
      <c r="J105" s="87"/>
      <c r="K105" s="7"/>
    </row>
    <row r="106" spans="1:22" s="50" customFormat="1" ht="15" thickBot="1" x14ac:dyDescent="0.35">
      <c r="B106" s="50" t="s">
        <v>104</v>
      </c>
      <c r="C106" s="51"/>
      <c r="D106" s="51">
        <f t="shared" ref="D106:J106" si="39">D104-ABS(D109)</f>
        <v>-128344812</v>
      </c>
      <c r="E106" s="51">
        <f t="shared" si="39"/>
        <v>-7080983</v>
      </c>
      <c r="F106" s="51">
        <f t="shared" si="39"/>
        <v>61744882</v>
      </c>
      <c r="G106" s="51">
        <f t="shared" si="39"/>
        <v>43744161.535967417</v>
      </c>
      <c r="H106" s="51">
        <f t="shared" si="39"/>
        <v>32942596.995929509</v>
      </c>
      <c r="I106" s="51">
        <f t="shared" si="39"/>
        <v>38109862.565387808</v>
      </c>
      <c r="J106" s="51">
        <f t="shared" si="39"/>
        <v>59206576.837196834</v>
      </c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 s="54" customFormat="1" ht="15.6" thickTop="1" thickBot="1" x14ac:dyDescent="0.35">
      <c r="B107" s="54" t="s">
        <v>124</v>
      </c>
      <c r="C107" s="55"/>
      <c r="D107" s="96">
        <f t="shared" ref="D107:I107" si="40">D106+D114+D115+D116+D117</f>
        <v>20743626</v>
      </c>
      <c r="E107" s="96">
        <f t="shared" si="40"/>
        <v>120686842</v>
      </c>
      <c r="F107" s="96">
        <f t="shared" si="40"/>
        <v>74976402</v>
      </c>
      <c r="G107" s="96">
        <f>G106+G114+G115+G116+G117</f>
        <v>149161.53596740961</v>
      </c>
      <c r="H107" s="96">
        <f t="shared" si="40"/>
        <v>3422596.9959295094</v>
      </c>
      <c r="I107" s="96">
        <f t="shared" si="40"/>
        <v>-6410137.4346121848</v>
      </c>
      <c r="J107" s="96">
        <f>J106+J114+J115+J116+J117</f>
        <v>31926576.837196827</v>
      </c>
      <c r="K107"/>
      <c r="L107" s="162"/>
      <c r="M107" s="162"/>
      <c r="N107" s="162"/>
      <c r="O107" s="59"/>
      <c r="P107" s="59"/>
      <c r="Q107"/>
      <c r="R107"/>
      <c r="S107"/>
      <c r="T107"/>
      <c r="U107"/>
      <c r="V107"/>
    </row>
    <row r="108" spans="1:22" ht="15" thickTop="1" x14ac:dyDescent="0.3">
      <c r="D108" s="7"/>
      <c r="J108" s="87"/>
      <c r="N108" s="90"/>
      <c r="O108" s="90"/>
      <c r="P108" s="90"/>
    </row>
    <row r="109" spans="1:22" x14ac:dyDescent="0.3">
      <c r="B109" t="s">
        <v>97</v>
      </c>
      <c r="C109" s="7"/>
      <c r="D109" s="7">
        <f>D34*-1</f>
        <v>-286535598</v>
      </c>
      <c r="E109" s="7">
        <f>E34*-1</f>
        <v>-104951907</v>
      </c>
      <c r="F109" s="7">
        <f>-F34</f>
        <v>-41719710</v>
      </c>
      <c r="G109" s="7">
        <f>-G34</f>
        <v>-66300205.335000001</v>
      </c>
      <c r="H109" s="7">
        <f>-H34</f>
        <v>-68952213.5484</v>
      </c>
      <c r="I109" s="7">
        <f>-I34</f>
        <v>-55161770.838720001</v>
      </c>
      <c r="J109" s="7">
        <f>-J34</f>
        <v>-56265006.255494408</v>
      </c>
      <c r="L109" s="111"/>
    </row>
    <row r="110" spans="1:22" x14ac:dyDescent="0.3">
      <c r="B110" t="s">
        <v>65</v>
      </c>
      <c r="D110" s="7">
        <f>D72-0</f>
        <v>4015666</v>
      </c>
      <c r="E110" s="7">
        <f t="shared" ref="E110:J110" si="41">D72-E72</f>
        <v>88934</v>
      </c>
      <c r="F110" s="7">
        <f t="shared" si="41"/>
        <v>664906</v>
      </c>
      <c r="G110" s="7">
        <f t="shared" si="41"/>
        <v>952414</v>
      </c>
      <c r="H110" s="7">
        <f t="shared" si="41"/>
        <v>-130473.04000000004</v>
      </c>
      <c r="I110" s="7">
        <f t="shared" si="41"/>
        <v>-135691.96159999957</v>
      </c>
      <c r="J110" s="7">
        <f t="shared" si="41"/>
        <v>-70559.820032000542</v>
      </c>
      <c r="L110" s="111"/>
    </row>
    <row r="111" spans="1:22" s="87" customFormat="1" x14ac:dyDescent="0.3">
      <c r="B111" s="39" t="s">
        <v>151</v>
      </c>
      <c r="D111" s="70">
        <v>-8489509</v>
      </c>
      <c r="E111" s="70">
        <v>-522504</v>
      </c>
      <c r="F111" s="70">
        <f>41054804-41706887</f>
        <v>-652083</v>
      </c>
      <c r="G111" s="7"/>
      <c r="H111" s="7"/>
      <c r="I111" s="7"/>
      <c r="J111" s="7"/>
      <c r="L111" s="111"/>
    </row>
    <row r="112" spans="1:22" x14ac:dyDescent="0.3">
      <c r="B112" s="1" t="s">
        <v>66</v>
      </c>
      <c r="C112" s="10"/>
      <c r="D112" s="10">
        <f>SUM(D109:D111)</f>
        <v>-291009441</v>
      </c>
      <c r="E112" s="10">
        <f>SUM(E109:E111)</f>
        <v>-105385477</v>
      </c>
      <c r="F112" s="10">
        <f>SUM(F109:F111)</f>
        <v>-41706887</v>
      </c>
      <c r="G112" s="10">
        <f>SUM(G109:G110)</f>
        <v>-65347791.335000001</v>
      </c>
      <c r="H112" s="10">
        <f>SUM(H109:H110)</f>
        <v>-69082686.588400006</v>
      </c>
      <c r="I112" s="10">
        <f>SUM(I109:I110)</f>
        <v>-55297462.800319999</v>
      </c>
      <c r="J112" s="10">
        <f>SUM(J109:J110)</f>
        <v>-56335566.075526409</v>
      </c>
      <c r="L112" s="111"/>
    </row>
    <row r="113" spans="1:12" x14ac:dyDescent="0.3">
      <c r="E113" s="7"/>
      <c r="F113" s="7"/>
      <c r="J113" s="87"/>
      <c r="L113" s="111"/>
    </row>
    <row r="114" spans="1:12" x14ac:dyDescent="0.3">
      <c r="B114" t="s">
        <v>141</v>
      </c>
      <c r="D114" s="70">
        <v>55838438</v>
      </c>
      <c r="E114" s="70">
        <v>14802865</v>
      </c>
      <c r="F114" s="120"/>
      <c r="G114" s="7">
        <f>G140+G139</f>
        <v>200000000</v>
      </c>
      <c r="H114" s="7">
        <f>H139</f>
        <v>100000000</v>
      </c>
      <c r="I114" s="7">
        <f>I139</f>
        <v>110000000</v>
      </c>
      <c r="J114" s="7">
        <f>J139</f>
        <v>160000000</v>
      </c>
      <c r="K114" s="7"/>
      <c r="L114" s="111"/>
    </row>
    <row r="115" spans="1:12" s="87" customFormat="1" x14ac:dyDescent="0.3">
      <c r="B115" s="87" t="s">
        <v>152</v>
      </c>
      <c r="D115" s="70"/>
      <c r="E115" s="70"/>
      <c r="F115" s="70">
        <v>-21167702</v>
      </c>
      <c r="G115" s="7">
        <f>G138</f>
        <v>-214000000</v>
      </c>
      <c r="H115" s="7">
        <f>H138+H140</f>
        <v>-110000000</v>
      </c>
      <c r="I115" s="7">
        <f>I138+I140</f>
        <v>-125000000</v>
      </c>
      <c r="J115" s="7">
        <f>J138+J140</f>
        <v>-125000000</v>
      </c>
      <c r="K115" s="7"/>
      <c r="L115" s="111"/>
    </row>
    <row r="116" spans="1:12" s="87" customFormat="1" x14ac:dyDescent="0.3">
      <c r="B116" s="87" t="s">
        <v>142</v>
      </c>
      <c r="D116" s="70">
        <v>93250000</v>
      </c>
      <c r="E116" s="70">
        <v>112964960</v>
      </c>
      <c r="F116" s="70">
        <v>34399222</v>
      </c>
      <c r="G116" s="7">
        <f t="shared" ref="G116:J117" si="42">G147</f>
        <v>0</v>
      </c>
      <c r="H116" s="7">
        <f t="shared" si="42"/>
        <v>0</v>
      </c>
      <c r="I116" s="7">
        <f t="shared" si="42"/>
        <v>0</v>
      </c>
      <c r="J116" s="7">
        <f t="shared" si="42"/>
        <v>0</v>
      </c>
      <c r="K116" s="7"/>
    </row>
    <row r="117" spans="1:12" s="87" customFormat="1" x14ac:dyDescent="0.3">
      <c r="B117" s="87" t="s">
        <v>153</v>
      </c>
      <c r="D117" s="70"/>
      <c r="E117" s="119"/>
      <c r="F117" s="70"/>
      <c r="G117" s="7">
        <f t="shared" si="42"/>
        <v>-29595000</v>
      </c>
      <c r="H117" s="7">
        <f t="shared" si="42"/>
        <v>-19520000</v>
      </c>
      <c r="I117" s="7">
        <f t="shared" si="42"/>
        <v>-29520000</v>
      </c>
      <c r="J117" s="7">
        <f t="shared" si="42"/>
        <v>-62280000</v>
      </c>
    </row>
    <row r="118" spans="1:12" x14ac:dyDescent="0.3">
      <c r="B118" t="s">
        <v>67</v>
      </c>
      <c r="D118" s="7">
        <f>D40</f>
        <v>-150000000</v>
      </c>
      <c r="E118" s="7">
        <f>E40</f>
        <v>0</v>
      </c>
      <c r="F118" s="7"/>
      <c r="G118" s="7">
        <f t="shared" ref="G118:J119" si="43">G40</f>
        <v>0</v>
      </c>
      <c r="H118" s="7">
        <f t="shared" si="43"/>
        <v>0</v>
      </c>
      <c r="I118" s="7">
        <f t="shared" si="43"/>
        <v>0</v>
      </c>
      <c r="J118" s="7">
        <f t="shared" si="43"/>
        <v>-37121099.865837798</v>
      </c>
    </row>
    <row r="119" spans="1:12" x14ac:dyDescent="0.3">
      <c r="B119" t="s">
        <v>149</v>
      </c>
      <c r="D119" s="7">
        <f>D41</f>
        <v>150000000</v>
      </c>
      <c r="E119" s="7">
        <f t="shared" ref="E119:F119" si="44">E41</f>
        <v>-130000000</v>
      </c>
      <c r="F119" s="7">
        <f t="shared" si="44"/>
        <v>-70000000</v>
      </c>
      <c r="G119" s="7">
        <f t="shared" si="43"/>
        <v>0</v>
      </c>
      <c r="H119" s="7">
        <f t="shared" si="43"/>
        <v>0</v>
      </c>
      <c r="I119" s="7">
        <f t="shared" si="43"/>
        <v>0</v>
      </c>
      <c r="J119" s="7">
        <f t="shared" si="43"/>
        <v>0</v>
      </c>
    </row>
    <row r="120" spans="1:12" s="87" customFormat="1" x14ac:dyDescent="0.3">
      <c r="B120" s="87" t="s">
        <v>151</v>
      </c>
      <c r="D120" s="70">
        <v>-90000</v>
      </c>
      <c r="E120" s="70">
        <v>-871023</v>
      </c>
      <c r="F120" s="70">
        <v>-997187</v>
      </c>
      <c r="G120" s="7">
        <v>0</v>
      </c>
      <c r="H120" s="7">
        <v>0</v>
      </c>
      <c r="I120" s="7">
        <v>0</v>
      </c>
      <c r="J120" s="7">
        <v>0</v>
      </c>
    </row>
    <row r="121" spans="1:12" x14ac:dyDescent="0.3">
      <c r="B121" s="1" t="s">
        <v>68</v>
      </c>
      <c r="C121" s="10"/>
      <c r="D121" s="10">
        <f>SUM(D114:D120)</f>
        <v>148998438</v>
      </c>
      <c r="E121" s="10">
        <f t="shared" ref="E121:J121" si="45">SUM(E114:E120)</f>
        <v>-3103198</v>
      </c>
      <c r="F121" s="10">
        <f t="shared" si="45"/>
        <v>-57765667</v>
      </c>
      <c r="G121" s="10">
        <f>SUM(G114:G120)</f>
        <v>-43595000</v>
      </c>
      <c r="H121" s="10">
        <f t="shared" si="45"/>
        <v>-29520000</v>
      </c>
      <c r="I121" s="10">
        <f t="shared" si="45"/>
        <v>-44520000</v>
      </c>
      <c r="J121" s="10">
        <f t="shared" si="45"/>
        <v>-64401099.865837798</v>
      </c>
    </row>
    <row r="122" spans="1:12" x14ac:dyDescent="0.3">
      <c r="J122" s="87"/>
    </row>
    <row r="123" spans="1:12" x14ac:dyDescent="0.3">
      <c r="B123" t="s">
        <v>69</v>
      </c>
      <c r="D123" s="7">
        <f t="shared" ref="D123:I123" si="46">D104+D112+D121</f>
        <v>16179783</v>
      </c>
      <c r="E123" s="7">
        <f t="shared" si="46"/>
        <v>-10617751</v>
      </c>
      <c r="F123" s="7">
        <f>F104+F112+F121</f>
        <v>3992038</v>
      </c>
      <c r="G123" s="7">
        <f>G104+G112+G121</f>
        <v>1101575.5359674171</v>
      </c>
      <c r="H123" s="7">
        <f t="shared" si="46"/>
        <v>3292123.9559295028</v>
      </c>
      <c r="I123" s="7">
        <f t="shared" si="46"/>
        <v>-6545829.3962121904</v>
      </c>
      <c r="J123" s="7">
        <f>J104+J112+J121</f>
        <v>-5265082.8486729637</v>
      </c>
    </row>
    <row r="124" spans="1:12" ht="15" thickBot="1" x14ac:dyDescent="0.35">
      <c r="B124" t="s">
        <v>70</v>
      </c>
      <c r="D124" s="10">
        <f>D64</f>
        <v>20292379</v>
      </c>
      <c r="E124" s="10">
        <f>B127+E123</f>
        <v>9674628</v>
      </c>
      <c r="F124" s="10">
        <f t="shared" ref="F124:J124" si="47">E124+F123</f>
        <v>13666666</v>
      </c>
      <c r="G124" s="23">
        <f>F124+G123</f>
        <v>14768241.535967417</v>
      </c>
      <c r="H124" s="23">
        <f t="shared" si="47"/>
        <v>18060365.49189692</v>
      </c>
      <c r="I124" s="88">
        <f t="shared" si="47"/>
        <v>11514536.09568473</v>
      </c>
      <c r="J124" s="88">
        <f t="shared" si="47"/>
        <v>6249453.2470117658</v>
      </c>
    </row>
    <row r="125" spans="1:12" ht="15" thickBot="1" x14ac:dyDescent="0.35">
      <c r="B125" s="26" t="s">
        <v>128</v>
      </c>
      <c r="C125" s="27"/>
      <c r="D125" s="27" t="b">
        <f>D124=D64</f>
        <v>1</v>
      </c>
      <c r="E125" s="27" t="b">
        <f>E124=E64</f>
        <v>1</v>
      </c>
      <c r="F125" s="27" t="b">
        <f>F124=F64</f>
        <v>1</v>
      </c>
      <c r="G125" s="27" t="b">
        <f t="shared" ref="G125:I125" si="48">G124=G64</f>
        <v>1</v>
      </c>
      <c r="H125" s="27" t="b">
        <f t="shared" si="48"/>
        <v>1</v>
      </c>
      <c r="I125" s="27" t="b">
        <f t="shared" si="48"/>
        <v>1</v>
      </c>
      <c r="J125" s="27" t="b">
        <f>J124=J64</f>
        <v>1</v>
      </c>
    </row>
    <row r="126" spans="1:12" x14ac:dyDescent="0.3">
      <c r="B126" s="39"/>
      <c r="C126" s="39"/>
      <c r="D126" s="39"/>
      <c r="E126" s="40">
        <f>E124-E64</f>
        <v>0</v>
      </c>
      <c r="F126" s="40">
        <f>F124-F64</f>
        <v>0</v>
      </c>
      <c r="G126" s="39"/>
      <c r="J126" s="87"/>
    </row>
    <row r="127" spans="1:12" x14ac:dyDescent="0.3">
      <c r="B127" s="145">
        <v>20292379</v>
      </c>
      <c r="C127" s="39"/>
      <c r="D127" s="39"/>
      <c r="E127" s="39"/>
      <c r="F127" s="39"/>
      <c r="G127" s="39"/>
      <c r="J127" s="87"/>
    </row>
    <row r="128" spans="1:12" ht="15.6" x14ac:dyDescent="0.3">
      <c r="A128" s="18" t="s">
        <v>71</v>
      </c>
      <c r="J128" s="87"/>
    </row>
    <row r="129" spans="2:14" x14ac:dyDescent="0.3">
      <c r="B129" t="s">
        <v>72</v>
      </c>
      <c r="G129" s="7">
        <f>G104</f>
        <v>110044366.87096742</v>
      </c>
      <c r="H129" s="7">
        <f>H104</f>
        <v>101894810.54432951</v>
      </c>
      <c r="I129" s="7">
        <f>I104</f>
        <v>93271633.404107809</v>
      </c>
      <c r="J129" s="7">
        <f>J104</f>
        <v>115471583.09269124</v>
      </c>
    </row>
    <row r="130" spans="2:14" x14ac:dyDescent="0.3">
      <c r="B130" t="s">
        <v>73</v>
      </c>
      <c r="G130" s="7">
        <f>G112</f>
        <v>-65347791.335000001</v>
      </c>
      <c r="H130" s="7">
        <f>H112</f>
        <v>-69082686.588400006</v>
      </c>
      <c r="I130" s="7">
        <f>I112</f>
        <v>-55297462.800319999</v>
      </c>
      <c r="J130" s="7">
        <f>J112</f>
        <v>-56335566.075526409</v>
      </c>
    </row>
    <row r="131" spans="2:14" x14ac:dyDescent="0.3">
      <c r="B131" t="s">
        <v>41</v>
      </c>
      <c r="G131" s="7">
        <f>G118</f>
        <v>0</v>
      </c>
      <c r="H131" s="7">
        <f>H118</f>
        <v>0</v>
      </c>
      <c r="I131" s="7">
        <f>I118</f>
        <v>0</v>
      </c>
      <c r="J131" s="7">
        <f>J118</f>
        <v>-37121099.865837798</v>
      </c>
    </row>
    <row r="132" spans="2:14" x14ac:dyDescent="0.3">
      <c r="B132" s="1" t="s">
        <v>74</v>
      </c>
      <c r="G132" s="10">
        <f>SUM(G129:G131)</f>
        <v>44696575.535967417</v>
      </c>
      <c r="H132" s="10">
        <f>SUM(H129:H131)</f>
        <v>32812123.955929503</v>
      </c>
      <c r="I132" s="10">
        <f>SUM(I129:I131)</f>
        <v>37974170.60378781</v>
      </c>
      <c r="J132" s="10">
        <f>SUM(J129:J131)</f>
        <v>22014917.151327036</v>
      </c>
      <c r="N132" s="87"/>
    </row>
    <row r="133" spans="2:14" x14ac:dyDescent="0.3">
      <c r="B133" t="s">
        <v>75</v>
      </c>
      <c r="G133" s="21">
        <f>F64</f>
        <v>13666666</v>
      </c>
      <c r="H133" s="21">
        <f>G64</f>
        <v>14768241.535967417</v>
      </c>
      <c r="I133" s="21">
        <f>H64</f>
        <v>18060365.49189692</v>
      </c>
      <c r="J133" s="21">
        <f>I64</f>
        <v>11514536.09568473</v>
      </c>
    </row>
    <row r="134" spans="2:14" x14ac:dyDescent="0.3">
      <c r="B134" s="1" t="s">
        <v>76</v>
      </c>
      <c r="G134" s="10">
        <f>SUM(G132:G133)</f>
        <v>58363241.535967417</v>
      </c>
      <c r="H134" s="10">
        <f>SUM(H132:H133)</f>
        <v>47580365.49189692</v>
      </c>
      <c r="I134" s="59">
        <f>SUM(I132:I133)</f>
        <v>56034536.09568473</v>
      </c>
      <c r="J134" s="59">
        <f>SUM(J132:J133)</f>
        <v>33529453.247011766</v>
      </c>
    </row>
    <row r="135" spans="2:14" s="87" customFormat="1" x14ac:dyDescent="0.3">
      <c r="B135" s="1"/>
      <c r="G135" s="10"/>
      <c r="H135" s="10"/>
      <c r="I135" s="10"/>
      <c r="J135" s="10"/>
    </row>
    <row r="136" spans="2:14" ht="15.6" x14ac:dyDescent="0.3">
      <c r="B136" s="97" t="s">
        <v>143</v>
      </c>
      <c r="J136" s="87"/>
    </row>
    <row r="137" spans="2:14" x14ac:dyDescent="0.3">
      <c r="B137" t="s">
        <v>77</v>
      </c>
      <c r="D137" s="116">
        <v>0</v>
      </c>
      <c r="E137" s="116">
        <v>0</v>
      </c>
      <c r="F137" s="116">
        <v>0</v>
      </c>
      <c r="G137" s="7">
        <f>F141</f>
        <v>214875559</v>
      </c>
      <c r="H137" s="7">
        <f>G141</f>
        <v>200875559</v>
      </c>
      <c r="I137" s="7">
        <f>H141</f>
        <v>190875559</v>
      </c>
      <c r="J137" s="7">
        <f>I141</f>
        <v>175875559</v>
      </c>
    </row>
    <row r="138" spans="2:14" s="87" customFormat="1" x14ac:dyDescent="0.3">
      <c r="B138" s="87" t="s">
        <v>146</v>
      </c>
      <c r="D138" s="116">
        <v>0</v>
      </c>
      <c r="E138" s="116">
        <v>0</v>
      </c>
      <c r="F138" s="116">
        <f>F115</f>
        <v>-21167702</v>
      </c>
      <c r="G138" s="70">
        <v>-214000000</v>
      </c>
      <c r="H138" s="70">
        <v>-160000000</v>
      </c>
      <c r="I138" s="70">
        <v>-100000000</v>
      </c>
      <c r="J138" s="70">
        <v>-100000000</v>
      </c>
    </row>
    <row r="139" spans="2:14" x14ac:dyDescent="0.3">
      <c r="B139" t="s">
        <v>147</v>
      </c>
      <c r="D139" s="116">
        <v>0</v>
      </c>
      <c r="E139" s="116">
        <v>0</v>
      </c>
      <c r="F139" s="116">
        <v>0</v>
      </c>
      <c r="G139" s="70">
        <v>200000000</v>
      </c>
      <c r="H139" s="70">
        <v>100000000</v>
      </c>
      <c r="I139" s="70">
        <v>110000000</v>
      </c>
      <c r="J139" s="70">
        <v>160000000</v>
      </c>
    </row>
    <row r="140" spans="2:14" x14ac:dyDescent="0.3">
      <c r="B140" t="s">
        <v>156</v>
      </c>
      <c r="D140" s="116">
        <v>0</v>
      </c>
      <c r="E140" s="116">
        <v>0</v>
      </c>
      <c r="F140" s="116">
        <f>F114</f>
        <v>0</v>
      </c>
      <c r="G140" s="70"/>
      <c r="H140" s="70">
        <v>50000000</v>
      </c>
      <c r="I140" s="70">
        <v>-25000000</v>
      </c>
      <c r="J140" s="70">
        <v>-25000000</v>
      </c>
    </row>
    <row r="141" spans="2:14" x14ac:dyDescent="0.3">
      <c r="B141" t="s">
        <v>78</v>
      </c>
      <c r="D141" s="116">
        <v>0</v>
      </c>
      <c r="E141" s="116">
        <v>0</v>
      </c>
      <c r="F141" s="116">
        <f>F76</f>
        <v>214875559</v>
      </c>
      <c r="G141" s="7">
        <f>SUM(G137:G140)</f>
        <v>200875559</v>
      </c>
      <c r="H141" s="7">
        <f>SUM(H137:H140)</f>
        <v>190875559</v>
      </c>
      <c r="I141" s="7">
        <f>SUM(I137:I140)</f>
        <v>175875559</v>
      </c>
      <c r="J141" s="7">
        <f>SUM(J137:J140)</f>
        <v>210875559</v>
      </c>
    </row>
    <row r="142" spans="2:14" x14ac:dyDescent="0.3">
      <c r="B142" t="s">
        <v>79</v>
      </c>
      <c r="D142" s="116">
        <v>0</v>
      </c>
      <c r="E142" s="116">
        <v>0</v>
      </c>
      <c r="F142" s="116">
        <v>0</v>
      </c>
      <c r="G142" s="9">
        <f>G45</f>
        <v>0.05</v>
      </c>
      <c r="H142" s="9">
        <f>H45</f>
        <v>0.05</v>
      </c>
      <c r="I142" s="9">
        <f>I45</f>
        <v>0.05</v>
      </c>
      <c r="J142" s="9">
        <f>J45</f>
        <v>0.05</v>
      </c>
    </row>
    <row r="143" spans="2:14" x14ac:dyDescent="0.3">
      <c r="B143" t="s">
        <v>80</v>
      </c>
      <c r="D143" s="116">
        <v>0</v>
      </c>
      <c r="E143" s="116">
        <v>0</v>
      </c>
      <c r="F143" s="116">
        <v>0</v>
      </c>
      <c r="G143" s="7">
        <f>AVERAGE(F141,G141)*G142</f>
        <v>10393777.950000001</v>
      </c>
      <c r="H143" s="7">
        <f>AVERAGE(G141,H141)*H142</f>
        <v>9793777.9500000011</v>
      </c>
      <c r="I143" s="7">
        <f>AVERAGE(H141,I141)*I142</f>
        <v>9168777.9500000011</v>
      </c>
      <c r="J143" s="7">
        <f>AVERAGE(I141,J141)*J142</f>
        <v>9668777.9500000011</v>
      </c>
    </row>
    <row r="144" spans="2:14" s="87" customFormat="1" x14ac:dyDescent="0.3">
      <c r="G144" s="7"/>
      <c r="H144" s="7"/>
      <c r="I144" s="7"/>
      <c r="J144" s="7"/>
      <c r="K144" s="39"/>
    </row>
    <row r="145" spans="1:11" ht="15.6" x14ac:dyDescent="0.3">
      <c r="B145" s="97" t="s">
        <v>144</v>
      </c>
      <c r="J145" s="87"/>
      <c r="K145" s="39"/>
    </row>
    <row r="146" spans="1:11" x14ac:dyDescent="0.3">
      <c r="B146" t="s">
        <v>81</v>
      </c>
      <c r="D146" s="116"/>
      <c r="E146" s="116"/>
      <c r="F146" s="116"/>
      <c r="G146" s="7">
        <f>F149</f>
        <v>240614182</v>
      </c>
      <c r="H146" s="7">
        <f>G149</f>
        <v>211019182</v>
      </c>
      <c r="I146" s="7">
        <f>H149</f>
        <v>191499182</v>
      </c>
      <c r="J146" s="7">
        <f>I149</f>
        <v>161979182</v>
      </c>
      <c r="K146" s="39"/>
    </row>
    <row r="147" spans="1:11" s="87" customFormat="1" x14ac:dyDescent="0.3">
      <c r="B147" s="87" t="s">
        <v>154</v>
      </c>
      <c r="E147" s="116"/>
      <c r="F147" s="116">
        <v>0</v>
      </c>
      <c r="G147" s="150"/>
      <c r="H147" s="150"/>
      <c r="I147" s="150"/>
      <c r="J147" s="150"/>
      <c r="K147" s="39"/>
    </row>
    <row r="148" spans="1:11" x14ac:dyDescent="0.3">
      <c r="B148" t="s">
        <v>145</v>
      </c>
      <c r="D148" s="116"/>
      <c r="E148" s="116"/>
      <c r="F148" s="116"/>
      <c r="G148" s="70">
        <v>-29595000</v>
      </c>
      <c r="H148" s="70">
        <v>-19520000</v>
      </c>
      <c r="I148" s="70">
        <v>-29520000</v>
      </c>
      <c r="J148" s="70">
        <v>-62280000</v>
      </c>
      <c r="K148" s="40"/>
    </row>
    <row r="149" spans="1:11" x14ac:dyDescent="0.3">
      <c r="B149" t="s">
        <v>82</v>
      </c>
      <c r="D149" s="7"/>
      <c r="E149" s="7"/>
      <c r="F149" s="7">
        <f>F81+F79</f>
        <v>240614182</v>
      </c>
      <c r="G149" s="10">
        <f>SUM(G146:G148)</f>
        <v>211019182</v>
      </c>
      <c r="H149" s="10">
        <f>SUM(H146:H148)</f>
        <v>191499182</v>
      </c>
      <c r="I149" s="10">
        <f>SUM(I146:I148)</f>
        <v>161979182</v>
      </c>
      <c r="J149" s="10">
        <f>SUM(J146:J148)</f>
        <v>99699182</v>
      </c>
    </row>
    <row r="150" spans="1:11" x14ac:dyDescent="0.3">
      <c r="B150" t="s">
        <v>79</v>
      </c>
      <c r="E150" s="9"/>
      <c r="F150" s="9"/>
      <c r="G150" s="118">
        <f>G46</f>
        <v>0.05</v>
      </c>
      <c r="H150" s="118">
        <f>H46</f>
        <v>0.05</v>
      </c>
      <c r="I150" s="118">
        <f>I46</f>
        <v>0.05</v>
      </c>
      <c r="J150" s="118">
        <f>J46</f>
        <v>0.05</v>
      </c>
    </row>
    <row r="151" spans="1:11" x14ac:dyDescent="0.3">
      <c r="B151" t="s">
        <v>80</v>
      </c>
      <c r="E151" s="151" t="e">
        <f>AVERAGE(E149,D149)*E150</f>
        <v>#DIV/0!</v>
      </c>
      <c r="F151" s="46">
        <f>AVERAGE(F149,E149)*F150</f>
        <v>0</v>
      </c>
      <c r="G151" s="10">
        <f>AVERAGE(F149:G149)*G150</f>
        <v>11290834.100000001</v>
      </c>
      <c r="H151" s="10">
        <f>AVERAGE(G149:H149)*H150</f>
        <v>10062959.100000001</v>
      </c>
      <c r="I151" s="10">
        <f>AVERAGE(H149:I149)*I150</f>
        <v>8836959.0999999996</v>
      </c>
      <c r="J151" s="10">
        <f>AVERAGE(I149:J149)*J150</f>
        <v>6541959.1000000006</v>
      </c>
    </row>
    <row r="152" spans="1:11" x14ac:dyDescent="0.3">
      <c r="B152" t="s">
        <v>139</v>
      </c>
      <c r="E152" s="7">
        <f t="shared" ref="E152:I152" si="49">F148*-1</f>
        <v>0</v>
      </c>
      <c r="F152" s="7">
        <f t="shared" si="49"/>
        <v>29595000</v>
      </c>
      <c r="G152" s="7">
        <f t="shared" si="49"/>
        <v>19520000</v>
      </c>
      <c r="H152" s="7">
        <f t="shared" si="49"/>
        <v>29520000</v>
      </c>
      <c r="I152" s="7">
        <f t="shared" si="49"/>
        <v>62280000</v>
      </c>
      <c r="J152" s="7">
        <f>K148*-1</f>
        <v>0</v>
      </c>
    </row>
    <row r="153" spans="1:11" x14ac:dyDescent="0.3">
      <c r="B153" t="s">
        <v>140</v>
      </c>
      <c r="E153" s="7">
        <f t="shared" ref="E153:J153" si="50">E149+F148</f>
        <v>0</v>
      </c>
      <c r="F153" s="7">
        <f t="shared" si="50"/>
        <v>211019182</v>
      </c>
      <c r="G153" s="7">
        <f t="shared" si="50"/>
        <v>191499182</v>
      </c>
      <c r="H153" s="7">
        <f t="shared" si="50"/>
        <v>161979182</v>
      </c>
      <c r="I153" s="7">
        <f t="shared" si="50"/>
        <v>99699182</v>
      </c>
      <c r="J153" s="7">
        <f t="shared" si="50"/>
        <v>99699182</v>
      </c>
    </row>
    <row r="154" spans="1:11" ht="16.2" thickBot="1" x14ac:dyDescent="0.35">
      <c r="A154" s="78" t="s">
        <v>2</v>
      </c>
      <c r="B154" s="79"/>
      <c r="C154" s="79"/>
      <c r="D154" s="79"/>
      <c r="E154" s="79"/>
      <c r="F154" s="79"/>
      <c r="G154" s="79"/>
      <c r="H154" s="79"/>
      <c r="I154" s="79"/>
      <c r="J154" s="79"/>
    </row>
    <row r="155" spans="1:11" x14ac:dyDescent="0.3">
      <c r="B155" s="56" t="s">
        <v>5</v>
      </c>
      <c r="C155" s="2"/>
      <c r="D155" s="2"/>
      <c r="E155" s="2"/>
      <c r="F155" s="2"/>
      <c r="G155" s="2"/>
      <c r="H155" s="2"/>
      <c r="I155" s="2"/>
      <c r="J155" s="2"/>
    </row>
    <row r="156" spans="1:11" x14ac:dyDescent="0.3">
      <c r="B156" s="3" t="s">
        <v>23</v>
      </c>
      <c r="C156" s="37"/>
      <c r="D156" s="42">
        <f t="shared" ref="D156:I156" si="51">D9</f>
        <v>0.05</v>
      </c>
      <c r="E156" s="42">
        <f t="shared" si="51"/>
        <v>-0.24780895305874673</v>
      </c>
      <c r="F156" s="42">
        <f t="shared" si="51"/>
        <v>0.47127450152357353</v>
      </c>
      <c r="G156" s="62">
        <f t="shared" si="51"/>
        <v>0</v>
      </c>
      <c r="H156" s="62">
        <f t="shared" si="51"/>
        <v>0.04</v>
      </c>
      <c r="I156" s="62">
        <f t="shared" si="51"/>
        <v>0.04</v>
      </c>
      <c r="J156" s="62">
        <f>J9</f>
        <v>0.02</v>
      </c>
    </row>
    <row r="157" spans="1:11" x14ac:dyDescent="0.3">
      <c r="B157" s="3" t="s">
        <v>14</v>
      </c>
      <c r="C157" s="43"/>
      <c r="D157" s="43">
        <f t="shared" ref="D157:I157" si="52">D56/D49</f>
        <v>0.19996579242536577</v>
      </c>
      <c r="E157" s="43">
        <f t="shared" si="52"/>
        <v>6.9346135124299269E-2</v>
      </c>
      <c r="F157" s="43">
        <f t="shared" si="52"/>
        <v>9.6095788660199633E-2</v>
      </c>
      <c r="G157" s="43">
        <f t="shared" si="52"/>
        <v>0.11958321238279995</v>
      </c>
      <c r="H157" s="43">
        <f t="shared" si="52"/>
        <v>0.1218570987752202</v>
      </c>
      <c r="I157" s="43">
        <f t="shared" si="52"/>
        <v>0.12329148325782807</v>
      </c>
      <c r="J157" s="43">
        <f>J56/J49</f>
        <v>0.12131785969385819</v>
      </c>
    </row>
    <row r="158" spans="1:11" x14ac:dyDescent="0.3">
      <c r="B158" s="3" t="s">
        <v>3</v>
      </c>
      <c r="C158" s="43"/>
      <c r="D158" s="43">
        <f t="shared" ref="D158:I158" si="53">D51/D49</f>
        <v>0.302245506416911</v>
      </c>
      <c r="E158" s="43">
        <f t="shared" si="53"/>
        <v>0.14535314345810016</v>
      </c>
      <c r="F158" s="43">
        <f t="shared" si="53"/>
        <v>0.18476079347122884</v>
      </c>
      <c r="G158" s="43">
        <f t="shared" si="53"/>
        <v>0.19999999999999996</v>
      </c>
      <c r="H158" s="43">
        <f t="shared" si="53"/>
        <v>0.1999999999999999</v>
      </c>
      <c r="I158" s="43">
        <f t="shared" si="53"/>
        <v>0.19999999999999998</v>
      </c>
      <c r="J158" s="43">
        <f>J51/J49</f>
        <v>0.19999999999999993</v>
      </c>
    </row>
    <row r="159" spans="1:11" x14ac:dyDescent="0.3">
      <c r="B159" s="3" t="s">
        <v>4</v>
      </c>
      <c r="C159" s="43"/>
      <c r="D159" s="43">
        <f t="shared" ref="D159:I159" si="54">D60/D49</f>
        <v>0.16228899985013978</v>
      </c>
      <c r="E159" s="43">
        <f t="shared" si="54"/>
        <v>1.6937237969527352E-2</v>
      </c>
      <c r="F159" s="43">
        <f>F60/F49</f>
        <v>3.8628386247968473E-2</v>
      </c>
      <c r="G159" s="43">
        <f t="shared" si="54"/>
        <v>6.0114913529498146E-2</v>
      </c>
      <c r="H159" s="43">
        <f t="shared" si="54"/>
        <v>6.2266827192063084E-2</v>
      </c>
      <c r="I159" s="43">
        <f t="shared" si="54"/>
        <v>6.4293834618636095E-2</v>
      </c>
      <c r="J159" s="43">
        <f>J60/J49</f>
        <v>6.5975465633602126E-2</v>
      </c>
    </row>
    <row r="160" spans="1:11" x14ac:dyDescent="0.3">
      <c r="B160" s="3"/>
      <c r="C160" s="37"/>
      <c r="D160" s="37"/>
      <c r="E160" s="37"/>
      <c r="F160" s="37"/>
      <c r="G160" s="37"/>
      <c r="H160" s="37"/>
      <c r="I160" s="37"/>
      <c r="J160" s="37"/>
    </row>
    <row r="161" spans="2:10" x14ac:dyDescent="0.3">
      <c r="B161" s="57" t="s">
        <v>6</v>
      </c>
      <c r="C161" s="37"/>
      <c r="D161" s="37"/>
      <c r="E161" s="37"/>
      <c r="F161" s="37"/>
      <c r="G161" s="37"/>
      <c r="H161" s="37"/>
      <c r="I161" s="37"/>
      <c r="J161" s="37"/>
    </row>
    <row r="162" spans="2:10" x14ac:dyDescent="0.3">
      <c r="B162" s="3" t="s">
        <v>7</v>
      </c>
      <c r="C162" s="44"/>
      <c r="D162" s="44">
        <f t="shared" ref="D162:I162" si="55">D69/D80</f>
        <v>1.2874546995841645</v>
      </c>
      <c r="E162" s="44">
        <f t="shared" si="55"/>
        <v>1.040628528339683</v>
      </c>
      <c r="F162" s="44">
        <f>F69/F80</f>
        <v>0.97014200551220842</v>
      </c>
      <c r="G162" s="44">
        <f t="shared" si="55"/>
        <v>1.1101224614090992</v>
      </c>
      <c r="H162" s="44">
        <f t="shared" si="55"/>
        <v>1.142851811735617</v>
      </c>
      <c r="I162" s="44">
        <f t="shared" si="55"/>
        <v>1.1405312775138612</v>
      </c>
      <c r="J162" s="44">
        <f>J69/J80</f>
        <v>1.2218516049787047</v>
      </c>
    </row>
    <row r="163" spans="2:10" x14ac:dyDescent="0.3">
      <c r="B163" s="3" t="s">
        <v>8</v>
      </c>
      <c r="C163" s="45"/>
      <c r="D163" s="12">
        <f>365/(D49/D65)</f>
        <v>93.367881766008566</v>
      </c>
      <c r="E163" s="12">
        <f>365/(E49/((E65+D65)/2))</f>
        <v>109.49730777217013</v>
      </c>
      <c r="F163" s="12">
        <f>365/(F49/((F65+E65)/2))</f>
        <v>73.285284798318941</v>
      </c>
      <c r="G163" s="12">
        <f t="shared" ref="G163:J164" si="56">365/(G49/G65)</f>
        <v>73</v>
      </c>
      <c r="H163" s="12">
        <f t="shared" si="56"/>
        <v>73</v>
      </c>
      <c r="I163" s="12">
        <f t="shared" si="56"/>
        <v>73</v>
      </c>
      <c r="J163" s="12">
        <f t="shared" si="56"/>
        <v>73</v>
      </c>
    </row>
    <row r="164" spans="2:10" x14ac:dyDescent="0.3">
      <c r="B164" s="3" t="s">
        <v>9</v>
      </c>
      <c r="C164" s="45"/>
      <c r="D164" s="12">
        <f>365/(D50/D66)</f>
        <v>55.186129004608468</v>
      </c>
      <c r="E164" s="12">
        <f>365/(E50/((E66+D66)/2))</f>
        <v>77.645545756360121</v>
      </c>
      <c r="F164" s="12">
        <f>365/(F50/((F66+E66)/2))</f>
        <v>68.027912332813358</v>
      </c>
      <c r="G164" s="12">
        <f t="shared" si="56"/>
        <v>68</v>
      </c>
      <c r="H164" s="12">
        <f t="shared" si="56"/>
        <v>68</v>
      </c>
      <c r="I164" s="12">
        <f t="shared" si="56"/>
        <v>68</v>
      </c>
      <c r="J164" s="12">
        <f t="shared" si="56"/>
        <v>68</v>
      </c>
    </row>
    <row r="165" spans="2:10" ht="15" thickBot="1" x14ac:dyDescent="0.35">
      <c r="B165" s="3" t="s">
        <v>10</v>
      </c>
      <c r="C165" s="45"/>
      <c r="D165" s="12">
        <f t="shared" ref="D165:I165" si="57">365/(D50/D77)</f>
        <v>21.031744617107588</v>
      </c>
      <c r="E165" s="12">
        <f>365/(E50/((E77+D77)/2))</f>
        <v>24.376041321743635</v>
      </c>
      <c r="F165" s="12">
        <f>365/(F50/((F77+E77)/2))</f>
        <v>20.657444552539946</v>
      </c>
      <c r="G165" s="12">
        <f t="shared" si="57"/>
        <v>22</v>
      </c>
      <c r="H165" s="12">
        <f t="shared" si="57"/>
        <v>22</v>
      </c>
      <c r="I165" s="12">
        <f t="shared" si="57"/>
        <v>22</v>
      </c>
      <c r="J165" s="12">
        <f>365/(J50/J77)</f>
        <v>22</v>
      </c>
    </row>
    <row r="166" spans="2:10" ht="15" thickBot="1" x14ac:dyDescent="0.35">
      <c r="B166" s="63" t="s">
        <v>11</v>
      </c>
      <c r="C166" s="65"/>
      <c r="D166" s="65">
        <f t="shared" ref="D166:J166" si="58">D163+D164-D165</f>
        <v>127.52226615350943</v>
      </c>
      <c r="E166" s="65">
        <f t="shared" si="58"/>
        <v>162.76681220678662</v>
      </c>
      <c r="F166" s="65">
        <f t="shared" si="58"/>
        <v>120.65575257859237</v>
      </c>
      <c r="G166" s="65">
        <f t="shared" si="58"/>
        <v>119</v>
      </c>
      <c r="H166" s="65">
        <f t="shared" si="58"/>
        <v>119</v>
      </c>
      <c r="I166" s="65">
        <f t="shared" si="58"/>
        <v>119</v>
      </c>
      <c r="J166" s="65">
        <f t="shared" si="58"/>
        <v>119</v>
      </c>
    </row>
    <row r="167" spans="2:10" x14ac:dyDescent="0.3">
      <c r="B167" s="3" t="s">
        <v>102</v>
      </c>
      <c r="C167" s="44"/>
      <c r="D167" s="44">
        <f t="shared" ref="D167:I167" si="59">(D69-D66)/D80</f>
        <v>1.0184062947578048</v>
      </c>
      <c r="E167" s="44">
        <f t="shared" si="59"/>
        <v>0.64969172042846468</v>
      </c>
      <c r="F167" s="44">
        <f t="shared" si="59"/>
        <v>0.60954146819536092</v>
      </c>
      <c r="G167" s="44">
        <f t="shared" si="59"/>
        <v>0.70511418289525363</v>
      </c>
      <c r="H167" s="44">
        <f t="shared" si="59"/>
        <v>0.7284858153185314</v>
      </c>
      <c r="I167" s="44">
        <f t="shared" si="59"/>
        <v>0.73529913746320841</v>
      </c>
      <c r="J167" s="44">
        <f>(J69-J66)/J80</f>
        <v>0.78261273070731074</v>
      </c>
    </row>
    <row r="168" spans="2:10" x14ac:dyDescent="0.3">
      <c r="B168" s="3"/>
      <c r="C168" s="44"/>
      <c r="D168" s="44"/>
      <c r="E168" s="44"/>
      <c r="F168" s="44"/>
      <c r="G168" s="44"/>
      <c r="H168" s="44"/>
      <c r="I168" s="44"/>
      <c r="J168" s="44"/>
    </row>
    <row r="169" spans="2:10" x14ac:dyDescent="0.3">
      <c r="B169" s="57" t="s">
        <v>12</v>
      </c>
      <c r="C169" s="37"/>
      <c r="D169" s="37"/>
      <c r="E169" s="37"/>
      <c r="F169" s="158"/>
      <c r="G169" s="158"/>
      <c r="H169" s="37"/>
      <c r="I169" s="37"/>
      <c r="J169" s="37"/>
    </row>
    <row r="170" spans="2:10" x14ac:dyDescent="0.3">
      <c r="B170" s="3" t="s">
        <v>21</v>
      </c>
      <c r="C170" s="38"/>
      <c r="D170" s="38">
        <f>(D76+D81)/D56</f>
        <v>1.7063653761695885</v>
      </c>
      <c r="E170" s="38">
        <f>(E76+E81)/E56</f>
        <v>8.855770276985119</v>
      </c>
      <c r="F170" s="159">
        <f>(F76+F81)/F56</f>
        <v>4.0608159574106013</v>
      </c>
      <c r="G170" s="159">
        <f t="shared" ref="G170:J170" si="60">(G76+G81)/G56</f>
        <v>3.2168388821976306</v>
      </c>
      <c r="H170" s="38">
        <f t="shared" si="60"/>
        <v>2.7296707553065458</v>
      </c>
      <c r="I170" s="38">
        <f t="shared" si="60"/>
        <v>2.0259939079542768</v>
      </c>
      <c r="J170" s="38">
        <f t="shared" si="60"/>
        <v>2.2749561224211536</v>
      </c>
    </row>
    <row r="171" spans="2:10" x14ac:dyDescent="0.3">
      <c r="B171" s="3" t="s">
        <v>22</v>
      </c>
      <c r="C171" s="38"/>
      <c r="D171" s="38">
        <f>(D81+D76-D64)/D56</f>
        <v>1.5962627677398198</v>
      </c>
      <c r="E171" s="38">
        <f>(E81+E76-E64)/E56</f>
        <v>8.6545349587060691</v>
      </c>
      <c r="F171" s="159">
        <f>(F81+F76-F64)/F56</f>
        <v>3.9213858029026665</v>
      </c>
      <c r="G171" s="159">
        <f t="shared" ref="G171:J171" si="61">(G81+G76-G64)/G56</f>
        <v>3.0957631639352616</v>
      </c>
      <c r="H171" s="38">
        <f t="shared" si="61"/>
        <v>2.589956459917842</v>
      </c>
      <c r="I171" s="38">
        <f t="shared" si="61"/>
        <v>1.9413403584376434</v>
      </c>
      <c r="J171" s="38">
        <f t="shared" si="61"/>
        <v>2.2291789549660765</v>
      </c>
    </row>
    <row r="172" spans="2:10" x14ac:dyDescent="0.3">
      <c r="B172" s="3" t="s">
        <v>105</v>
      </c>
      <c r="C172" s="44"/>
      <c r="D172" s="44">
        <f t="shared" ref="D172:I172" si="62">D83/D85</f>
        <v>0.94159867516794749</v>
      </c>
      <c r="E172" s="44">
        <f t="shared" si="62"/>
        <v>1.5731847078632524</v>
      </c>
      <c r="F172" s="160">
        <f>F83/F85</f>
        <v>1.7908518897665175</v>
      </c>
      <c r="G172" s="160">
        <f t="shared" si="62"/>
        <v>1.4395280316526</v>
      </c>
      <c r="H172" s="44">
        <f t="shared" si="62"/>
        <v>1.1959502056855091</v>
      </c>
      <c r="I172" s="44">
        <f t="shared" si="62"/>
        <v>0.97561227816499718</v>
      </c>
      <c r="J172" s="44">
        <f>J83/J85</f>
        <v>0.87464873835069179</v>
      </c>
    </row>
    <row r="173" spans="2:10" x14ac:dyDescent="0.3">
      <c r="B173" s="3" t="s">
        <v>106</v>
      </c>
      <c r="C173" s="44"/>
      <c r="D173" s="44">
        <f t="shared" ref="D173:I173" si="63">D83/D74</f>
        <v>0.48496050559289738</v>
      </c>
      <c r="E173" s="44">
        <f t="shared" si="63"/>
        <v>0.61137651838822316</v>
      </c>
      <c r="F173" s="160">
        <f t="shared" si="63"/>
        <v>0.64168646725152445</v>
      </c>
      <c r="G173" s="160">
        <f t="shared" si="63"/>
        <v>0.59008464464227772</v>
      </c>
      <c r="H173" s="44">
        <f t="shared" si="63"/>
        <v>0.54461626797779317</v>
      </c>
      <c r="I173" s="44">
        <f t="shared" si="63"/>
        <v>0.49382780705616286</v>
      </c>
      <c r="J173" s="44">
        <f>J83/J74</f>
        <v>0.46656673378511765</v>
      </c>
    </row>
    <row r="174" spans="2:10" x14ac:dyDescent="0.3">
      <c r="B174" s="3" t="s">
        <v>13</v>
      </c>
      <c r="C174" s="44"/>
      <c r="D174" s="44">
        <f t="shared" ref="D174:I174" si="64">D56/(D57+D76+D79)</f>
        <v>0.81840489931782756</v>
      </c>
      <c r="E174" s="44">
        <f t="shared" si="64"/>
        <v>0.18549657576609554</v>
      </c>
      <c r="F174" s="160">
        <f>F56/(F57+F76+F79)</f>
        <v>0.33882066311703846</v>
      </c>
      <c r="G174" s="160">
        <f>G56/(G57+G76+G79)</f>
        <v>0.50386305439544121</v>
      </c>
      <c r="H174" s="44">
        <f t="shared" si="64"/>
        <v>0.53804443433202154</v>
      </c>
      <c r="I174" s="44">
        <f t="shared" si="64"/>
        <v>0.53099173455983106</v>
      </c>
      <c r="J174" s="44">
        <f>J56/(J57+J76+J79)</f>
        <v>0.60117675556037797</v>
      </c>
    </row>
    <row r="175" spans="2:10" x14ac:dyDescent="0.3">
      <c r="B175" s="3" t="s">
        <v>150</v>
      </c>
      <c r="C175" s="44"/>
      <c r="D175" s="44">
        <f>D56/(D57+D79)</f>
        <v>46.553751292007284</v>
      </c>
      <c r="E175" s="44">
        <f t="shared" ref="E175" si="65">E56/(E57+E79)</f>
        <v>2.0783076964643707</v>
      </c>
      <c r="F175" s="160">
        <f>F56/(F57+F79-25000000)</f>
        <v>1.9835218236759369</v>
      </c>
      <c r="G175" s="160">
        <f>G56/(G57+G79)</f>
        <v>2.9602330497812281</v>
      </c>
      <c r="H175" s="44">
        <f>H56/(H57+H79)</f>
        <v>2.6179617862211817</v>
      </c>
      <c r="I175" s="44">
        <f>I56/(I57+I79+25000000)</f>
        <v>1.2919084267994296</v>
      </c>
      <c r="J175" s="44">
        <f>J56/(J57+J79+25000000)</f>
        <v>3.3127047091132402</v>
      </c>
    </row>
    <row r="176" spans="2:10" x14ac:dyDescent="0.3">
      <c r="B176" s="57" t="s">
        <v>107</v>
      </c>
      <c r="C176" s="44"/>
      <c r="D176" s="44"/>
      <c r="E176" s="44"/>
      <c r="F176" s="160"/>
      <c r="G176" s="160"/>
      <c r="H176" s="44"/>
      <c r="I176" s="44"/>
      <c r="J176" s="44"/>
    </row>
    <row r="177" spans="1:10" x14ac:dyDescent="0.3">
      <c r="B177" s="3" t="s">
        <v>108</v>
      </c>
      <c r="C177" s="44"/>
      <c r="D177" s="44">
        <f>D49/D65</f>
        <v>3.9092672244052302</v>
      </c>
      <c r="E177" s="44">
        <f>E49/E65</f>
        <v>3.847502571671102</v>
      </c>
      <c r="F177" s="160">
        <f t="shared" ref="D177:J178" si="66">F49/F65</f>
        <v>4.4462700012112126</v>
      </c>
      <c r="G177" s="160">
        <f t="shared" si="66"/>
        <v>5</v>
      </c>
      <c r="H177" s="44">
        <f t="shared" si="66"/>
        <v>5</v>
      </c>
      <c r="I177" s="44">
        <f t="shared" si="66"/>
        <v>5</v>
      </c>
      <c r="J177" s="44">
        <f t="shared" si="66"/>
        <v>5</v>
      </c>
    </row>
    <row r="178" spans="1:10" x14ac:dyDescent="0.3">
      <c r="B178" s="3" t="s">
        <v>109</v>
      </c>
      <c r="C178" s="44"/>
      <c r="D178" s="44">
        <f t="shared" si="66"/>
        <v>6.6139808423511584</v>
      </c>
      <c r="E178" s="44">
        <f t="shared" si="66"/>
        <v>3.8263027249295543</v>
      </c>
      <c r="F178" s="160">
        <f t="shared" si="66"/>
        <v>5.3609327147268724</v>
      </c>
      <c r="G178" s="160">
        <f t="shared" si="66"/>
        <v>5.367647058823529</v>
      </c>
      <c r="H178" s="44">
        <f t="shared" si="66"/>
        <v>5.367647058823529</v>
      </c>
      <c r="I178" s="44">
        <f t="shared" si="66"/>
        <v>5.3676470588235299</v>
      </c>
      <c r="J178" s="44">
        <f t="shared" si="66"/>
        <v>5.367647058823529</v>
      </c>
    </row>
    <row r="179" spans="1:10" x14ac:dyDescent="0.3">
      <c r="B179" s="3" t="s">
        <v>110</v>
      </c>
      <c r="C179" s="44"/>
      <c r="D179" s="44">
        <f t="shared" ref="D179:J179" si="67">D50/D77</f>
        <v>17.354718148446072</v>
      </c>
      <c r="E179" s="44">
        <f t="shared" si="67"/>
        <v>14.079435955133501</v>
      </c>
      <c r="F179" s="160">
        <f t="shared" si="67"/>
        <v>15.978762598591995</v>
      </c>
      <c r="G179" s="160">
        <f t="shared" si="67"/>
        <v>16.59090909090909</v>
      </c>
      <c r="H179" s="44">
        <f t="shared" si="67"/>
        <v>16.59090909090909</v>
      </c>
      <c r="I179" s="44">
        <f t="shared" si="67"/>
        <v>16.59090909090909</v>
      </c>
      <c r="J179" s="44">
        <f t="shared" si="67"/>
        <v>16.59090909090909</v>
      </c>
    </row>
    <row r="180" spans="1:10" x14ac:dyDescent="0.3">
      <c r="B180" s="3" t="s">
        <v>111</v>
      </c>
      <c r="C180" s="44"/>
      <c r="D180" s="44">
        <f t="shared" ref="D180:J180" si="68">D49/D95</f>
        <v>3.0235403437199433</v>
      </c>
      <c r="E180" s="44">
        <f t="shared" si="68"/>
        <v>2.6770797868478331</v>
      </c>
      <c r="F180" s="44">
        <f t="shared" si="68"/>
        <v>4.1493545074617755</v>
      </c>
      <c r="G180" s="44">
        <f t="shared" si="68"/>
        <v>4.1301949738611716</v>
      </c>
      <c r="H180" s="44">
        <f t="shared" si="68"/>
        <v>4.1301949738611716</v>
      </c>
      <c r="I180" s="44">
        <f t="shared" si="68"/>
        <v>3.889244879085461</v>
      </c>
      <c r="J180" s="44">
        <f t="shared" si="68"/>
        <v>3.8892448790854601</v>
      </c>
    </row>
    <row r="181" spans="1:10" ht="15" thickBot="1" x14ac:dyDescent="0.35">
      <c r="B181" s="4" t="s">
        <v>112</v>
      </c>
      <c r="C181" s="32"/>
      <c r="D181" s="32">
        <f t="shared" ref="D181:J181" si="69">D49/D74</f>
        <v>0.94426466299521705</v>
      </c>
      <c r="E181" s="32">
        <f t="shared" si="69"/>
        <v>0.70065663799328182</v>
      </c>
      <c r="F181" s="32">
        <f t="shared" si="69"/>
        <v>1.0332542458671068</v>
      </c>
      <c r="G181" s="32">
        <f t="shared" si="69"/>
        <v>1.007419254950233</v>
      </c>
      <c r="H181" s="32">
        <f t="shared" si="69"/>
        <v>1.004123985998479</v>
      </c>
      <c r="I181" s="32">
        <f t="shared" si="69"/>
        <v>1.0116070097471828</v>
      </c>
      <c r="J181" s="32">
        <f t="shared" si="69"/>
        <v>1.0188946823190617</v>
      </c>
    </row>
    <row r="182" spans="1:10" x14ac:dyDescent="0.3">
      <c r="B182" s="37"/>
      <c r="C182" s="38"/>
      <c r="D182" s="38"/>
      <c r="E182" s="38"/>
      <c r="F182" s="38"/>
      <c r="G182" s="38"/>
      <c r="H182" s="38"/>
      <c r="I182" s="38"/>
    </row>
    <row r="184" spans="1:10" ht="15.6" x14ac:dyDescent="0.3">
      <c r="A184" s="30" t="s">
        <v>100</v>
      </c>
    </row>
  </sheetData>
  <mergeCells count="1">
    <mergeCell ref="B4:C4"/>
  </mergeCells>
  <pageMargins left="0.7" right="0.7" top="0.75" bottom="0.75" header="0.3" footer="0.3"/>
  <pageSetup orientation="portrait" r:id="rId1"/>
  <headerFooter>
    <oddFooter>&amp;L&amp;"Arial,Regular"&amp;12&amp;B&amp;K000000Classification: &amp;B&amp;"Times New Roman,Regular"&amp;12&amp;U&amp;KFFCC00Confidential</oddFooter>
    <evenFooter>&amp;L&amp;"Arial,Regular"&amp;12&amp;B&amp;K000000Classification: &amp;B&amp;"Times New Roman,Regular"&amp;12&amp;U&amp;KFFCC00Confidential</evenFooter>
    <firstFooter>&amp;L&amp;"Arial,Regular"&amp;12&amp;B&amp;K000000Classification: &amp;B&amp;"Times New Roman,Regular"&amp;12&amp;U&amp;KFFCC00Confidential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F551-6F0F-4741-9A64-A98C3D8F4CD2}">
  <sheetPr codeName="Sheet1">
    <pageSetUpPr autoPageBreaks="0"/>
  </sheetPr>
  <dimension ref="A1:Q5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C7" sqref="C7"/>
    </sheetView>
  </sheetViews>
  <sheetFormatPr defaultRowHeight="14.4" x14ac:dyDescent="0.3"/>
  <cols>
    <col min="1" max="1" width="52.33203125" bestFit="1" customWidth="1"/>
    <col min="2" max="2" width="14.33203125" bestFit="1" customWidth="1"/>
    <col min="3" max="3" width="18.21875" bestFit="1" customWidth="1"/>
    <col min="4" max="4" width="14.5546875" customWidth="1"/>
    <col min="5" max="8" width="14.5546875" bestFit="1" customWidth="1"/>
    <col min="9" max="9" width="18.77734375" bestFit="1" customWidth="1"/>
    <col min="10" max="10" width="31.33203125" bestFit="1" customWidth="1"/>
    <col min="11" max="12" width="14.33203125" bestFit="1" customWidth="1"/>
    <col min="13" max="17" width="15.21875" bestFit="1" customWidth="1"/>
  </cols>
  <sheetData>
    <row r="1" spans="1:9" ht="21" customHeight="1" thickBot="1" x14ac:dyDescent="0.4">
      <c r="A1" s="178" t="s">
        <v>182</v>
      </c>
      <c r="B1" s="179"/>
    </row>
    <row r="2" spans="1:9" x14ac:dyDescent="0.3">
      <c r="I2" s="87"/>
    </row>
    <row r="3" spans="1:9" x14ac:dyDescent="0.3">
      <c r="A3" s="67" t="s">
        <v>120</v>
      </c>
      <c r="B3" s="47"/>
      <c r="C3" s="47"/>
      <c r="D3" s="47"/>
      <c r="E3" s="47"/>
      <c r="F3" s="47"/>
      <c r="G3" s="47"/>
      <c r="H3" s="47"/>
      <c r="I3" s="87"/>
    </row>
    <row r="4" spans="1:9" ht="15" thickBot="1" x14ac:dyDescent="0.35">
      <c r="A4" s="1"/>
      <c r="B4" s="52" t="str">
        <f>'Main Model'!D3</f>
        <v>2022A</v>
      </c>
      <c r="C4" s="52" t="str">
        <f>'Main Model'!E3</f>
        <v>2023A</v>
      </c>
      <c r="D4" s="52" t="str">
        <f>'Main Model'!F3</f>
        <v>2024A</v>
      </c>
      <c r="E4" s="52" t="str">
        <f>'Main Model'!G3</f>
        <v>2025E</v>
      </c>
      <c r="F4" s="52" t="str">
        <f>'Main Model'!H3</f>
        <v>2026E</v>
      </c>
      <c r="G4" s="52" t="str">
        <f>'Main Model'!I3</f>
        <v>2027E</v>
      </c>
      <c r="H4" s="52" t="str">
        <f>'Main Model'!J3</f>
        <v>2028E</v>
      </c>
      <c r="I4" s="87"/>
    </row>
    <row r="5" spans="1:9" ht="15" thickTop="1" x14ac:dyDescent="0.3">
      <c r="A5" t="s">
        <v>116</v>
      </c>
      <c r="B5" s="5">
        <f t="shared" ref="B5:G5" si="0">B7-B6</f>
        <v>129035046.98000002</v>
      </c>
      <c r="C5" s="5">
        <f t="shared" si="0"/>
        <v>214916372.82000005</v>
      </c>
      <c r="D5" s="5">
        <f t="shared" si="0"/>
        <v>132600410.66999996</v>
      </c>
      <c r="E5" s="5">
        <f t="shared" si="0"/>
        <v>153000473.85000002</v>
      </c>
      <c r="F5" s="5">
        <f t="shared" si="0"/>
        <v>159120492.80400002</v>
      </c>
      <c r="G5" s="5">
        <f t="shared" si="0"/>
        <v>165485312.51616001</v>
      </c>
      <c r="H5" s="5">
        <f>H7-H6</f>
        <v>168795018.76648319</v>
      </c>
      <c r="I5" s="87"/>
    </row>
    <row r="6" spans="1:9" ht="15" thickBot="1" x14ac:dyDescent="0.4">
      <c r="A6" t="s">
        <v>117</v>
      </c>
      <c r="B6" s="7">
        <f>B7*B10</f>
        <v>792643860.01999998</v>
      </c>
      <c r="C6" s="7">
        <f>C7*C10</f>
        <v>478362249.17999995</v>
      </c>
      <c r="D6" s="7">
        <f>D7*D10</f>
        <v>887402748.33000004</v>
      </c>
      <c r="E6" s="7">
        <f>E10*E7</f>
        <v>867002685.14999998</v>
      </c>
      <c r="F6" s="7">
        <f>F10*F7</f>
        <v>901682792.55599999</v>
      </c>
      <c r="G6" s="7">
        <f>G10*G7</f>
        <v>937750104.25823998</v>
      </c>
      <c r="H6" s="7">
        <f>H10*H7</f>
        <v>956505106.34340489</v>
      </c>
      <c r="I6" s="87"/>
    </row>
    <row r="7" spans="1:9" ht="15" thickBot="1" x14ac:dyDescent="0.4">
      <c r="A7" s="63" t="s">
        <v>118</v>
      </c>
      <c r="B7" s="99">
        <f>'Main Model'!D49</f>
        <v>921678907</v>
      </c>
      <c r="C7" s="99">
        <f>'Main Model'!E49</f>
        <v>693278622</v>
      </c>
      <c r="D7" s="99">
        <f>'Main Model'!F49</f>
        <v>1020003159</v>
      </c>
      <c r="E7" s="66">
        <f>(1+E8)*D7</f>
        <v>1020003159</v>
      </c>
      <c r="F7" s="66">
        <f>(1+F8)*E7</f>
        <v>1060803285.36</v>
      </c>
      <c r="G7" s="66">
        <f>(1+G8)*F7</f>
        <v>1103235416.7744</v>
      </c>
      <c r="H7" s="66">
        <f>(1+H8)*G7</f>
        <v>1125300125.1098881</v>
      </c>
    </row>
    <row r="8" spans="1:9" ht="14.55" x14ac:dyDescent="0.35">
      <c r="A8" s="28" t="s">
        <v>119</v>
      </c>
      <c r="B8" s="100">
        <f>'Main Model'!D9</f>
        <v>0.05</v>
      </c>
      <c r="C8" s="100">
        <f>'Main Model'!E9</f>
        <v>-0.24780895305874673</v>
      </c>
      <c r="D8" s="100">
        <f>'Main Model'!F9</f>
        <v>0.47127450152357353</v>
      </c>
      <c r="E8" s="100">
        <f>'Main Model'!G9</f>
        <v>0</v>
      </c>
      <c r="F8" s="100">
        <f>'Main Model'!H9</f>
        <v>0.04</v>
      </c>
      <c r="G8" s="100">
        <f>'Main Model'!I9</f>
        <v>0.04</v>
      </c>
      <c r="H8" s="100">
        <f>'Main Model'!J9</f>
        <v>0.02</v>
      </c>
    </row>
    <row r="9" spans="1:9" ht="14.55" x14ac:dyDescent="0.35">
      <c r="E9" s="49"/>
      <c r="F9" s="49"/>
      <c r="G9" s="49"/>
      <c r="H9" s="49"/>
    </row>
    <row r="10" spans="1:9" ht="15" thickBot="1" x14ac:dyDescent="0.4">
      <c r="A10" s="50" t="s">
        <v>166</v>
      </c>
      <c r="B10" s="69">
        <v>0.86</v>
      </c>
      <c r="C10" s="69">
        <v>0.69</v>
      </c>
      <c r="D10" s="69">
        <v>0.87</v>
      </c>
      <c r="E10" s="69">
        <v>0.85</v>
      </c>
      <c r="F10" s="69">
        <v>0.85</v>
      </c>
      <c r="G10" s="69">
        <v>0.85</v>
      </c>
      <c r="H10" s="69">
        <v>0.85</v>
      </c>
    </row>
    <row r="11" spans="1:9" ht="15" thickTop="1" x14ac:dyDescent="0.35">
      <c r="H11" s="87"/>
    </row>
    <row r="12" spans="1:9" ht="14.55" x14ac:dyDescent="0.35">
      <c r="A12" t="s">
        <v>15</v>
      </c>
      <c r="B12" s="101">
        <f>'Main Model'!D50</f>
        <v>643105599</v>
      </c>
      <c r="C12" s="101">
        <f>'Main Model'!E50</f>
        <v>592508395</v>
      </c>
      <c r="D12" s="101">
        <f>'Main Model'!F50</f>
        <v>831546566</v>
      </c>
      <c r="E12" s="5">
        <f>'Main Model'!G50</f>
        <v>816002527.20000005</v>
      </c>
      <c r="F12" s="5">
        <f>'Main Model'!H50</f>
        <v>848642628.28800011</v>
      </c>
      <c r="G12" s="5">
        <f>'Main Model'!I50</f>
        <v>882588333.41952002</v>
      </c>
      <c r="H12" s="5">
        <f>'Main Model'!J50</f>
        <v>900240100.08791053</v>
      </c>
    </row>
    <row r="13" spans="1:9" ht="14.55" x14ac:dyDescent="0.35">
      <c r="A13" t="s">
        <v>122</v>
      </c>
      <c r="B13" s="101">
        <f>'Main Model'!D54</f>
        <v>29486966</v>
      </c>
      <c r="C13" s="101">
        <f>'Main Model'!E54</f>
        <v>37674297</v>
      </c>
      <c r="D13" s="101">
        <f>'Main Model'!F54</f>
        <v>47946792</v>
      </c>
      <c r="E13" s="5">
        <f>'Main Model'!G54</f>
        <v>39422587.673823901</v>
      </c>
      <c r="F13" s="5">
        <f>'Main Model'!H54</f>
        <v>43449733.896391712</v>
      </c>
      <c r="G13" s="5">
        <f>'Main Model'!I54</f>
        <v>46808283.574731931</v>
      </c>
      <c r="H13" s="5">
        <f>'Main Model'!J54</f>
        <v>45542578.682771489</v>
      </c>
    </row>
    <row r="14" spans="1:9" ht="14.55" x14ac:dyDescent="0.35">
      <c r="A14" t="s">
        <v>123</v>
      </c>
      <c r="B14" s="101">
        <f>'Main Model'!D55</f>
        <v>221799</v>
      </c>
      <c r="C14" s="101">
        <f>'Main Model'!E55</f>
        <v>869617</v>
      </c>
      <c r="D14" s="101">
        <f>'Main Model'!F55</f>
        <v>952414</v>
      </c>
      <c r="E14" s="5">
        <f>'Main Model'!G55</f>
        <v>952414</v>
      </c>
      <c r="F14" s="5">
        <f>'Main Model'!H55</f>
        <v>952414</v>
      </c>
      <c r="G14" s="5">
        <f>'Main Model'!I55</f>
        <v>952414</v>
      </c>
      <c r="H14" s="5">
        <f>'Main Model'!J55</f>
        <v>952414</v>
      </c>
    </row>
    <row r="15" spans="1:9" ht="15" thickBot="1" x14ac:dyDescent="0.4">
      <c r="A15" s="1" t="s">
        <v>121</v>
      </c>
      <c r="B15" s="10">
        <f t="shared" ref="B15:G15" si="1">B12-B13-B14</f>
        <v>613396834</v>
      </c>
      <c r="C15" s="10">
        <f t="shared" si="1"/>
        <v>553964481</v>
      </c>
      <c r="D15" s="10">
        <f t="shared" si="1"/>
        <v>782647360</v>
      </c>
      <c r="E15" s="10">
        <f>E12-E13-E14</f>
        <v>775627525.5261761</v>
      </c>
      <c r="F15" s="10">
        <f t="shared" si="1"/>
        <v>804240480.39160836</v>
      </c>
      <c r="G15" s="10">
        <f t="shared" si="1"/>
        <v>834827635.84478807</v>
      </c>
      <c r="H15" s="10">
        <f>H12-H13-H14</f>
        <v>853745107.40513909</v>
      </c>
    </row>
    <row r="16" spans="1:9" ht="15" thickBot="1" x14ac:dyDescent="0.4">
      <c r="A16" s="169" t="s">
        <v>159</v>
      </c>
      <c r="B16" s="170">
        <f t="shared" ref="B16:H16" si="2">B15*(1-B10)</f>
        <v>85875556.760000005</v>
      </c>
      <c r="C16" s="170">
        <f t="shared" si="2"/>
        <v>171728989.11000004</v>
      </c>
      <c r="D16" s="170">
        <f t="shared" si="2"/>
        <v>101744156.8</v>
      </c>
      <c r="E16" s="170">
        <f t="shared" si="2"/>
        <v>116344128.82892643</v>
      </c>
      <c r="F16" s="170">
        <f t="shared" si="2"/>
        <v>120636072.05874127</v>
      </c>
      <c r="G16" s="170">
        <f t="shared" si="2"/>
        <v>125224145.37671822</v>
      </c>
      <c r="H16" s="170">
        <f t="shared" si="2"/>
        <v>128061766.11077088</v>
      </c>
    </row>
    <row r="17" spans="1:17" ht="14.55" x14ac:dyDescent="0.35">
      <c r="A17" s="1"/>
      <c r="B17" s="184" t="s">
        <v>11</v>
      </c>
      <c r="C17" s="184"/>
      <c r="D17" s="184"/>
      <c r="E17" s="184"/>
      <c r="F17" s="184"/>
      <c r="G17" s="184"/>
      <c r="H17" s="184"/>
    </row>
    <row r="18" spans="1:17" ht="14.55" x14ac:dyDescent="0.35">
      <c r="A18" t="s">
        <v>27</v>
      </c>
      <c r="B18" s="53">
        <f>'Main Model'!D163</f>
        <v>93.367881766008566</v>
      </c>
      <c r="C18" s="53">
        <f>'Main Model'!E163</f>
        <v>109.49730777217013</v>
      </c>
      <c r="D18" s="53">
        <f>'Main Model'!F163</f>
        <v>73.285284798318941</v>
      </c>
      <c r="E18" s="53">
        <f>'Main Model'!G163</f>
        <v>73</v>
      </c>
      <c r="F18" s="53">
        <f>'Main Model'!H163</f>
        <v>73</v>
      </c>
      <c r="G18" s="53">
        <f>'Main Model'!I163</f>
        <v>73</v>
      </c>
      <c r="H18" s="53">
        <f>'Main Model'!J163</f>
        <v>73</v>
      </c>
    </row>
    <row r="19" spans="1:17" ht="15" thickBot="1" x14ac:dyDescent="0.4">
      <c r="A19" t="s">
        <v>28</v>
      </c>
      <c r="B19" s="53">
        <f>'Main Model'!D164</f>
        <v>55.186129004608468</v>
      </c>
      <c r="C19" s="53">
        <f>'Main Model'!E164</f>
        <v>77.645545756360121</v>
      </c>
      <c r="D19" s="53">
        <f>'Main Model'!F164</f>
        <v>68.027912332813358</v>
      </c>
      <c r="E19" s="53">
        <f>'Main Model'!G164</f>
        <v>68</v>
      </c>
      <c r="F19" s="53">
        <f>'Main Model'!H164</f>
        <v>68</v>
      </c>
      <c r="G19" s="53">
        <f>'Main Model'!I164</f>
        <v>68</v>
      </c>
      <c r="H19" s="53">
        <f>'Main Model'!J164</f>
        <v>68</v>
      </c>
    </row>
    <row r="20" spans="1:17" ht="15" thickBot="1" x14ac:dyDescent="0.4">
      <c r="A20" t="s">
        <v>31</v>
      </c>
      <c r="B20" s="53">
        <f>'Main Model'!D165</f>
        <v>21.031744617107588</v>
      </c>
      <c r="C20" s="53">
        <f>'Main Model'!E165</f>
        <v>24.376041321743635</v>
      </c>
      <c r="D20" s="53">
        <f>'Main Model'!F165</f>
        <v>20.657444552539946</v>
      </c>
      <c r="E20" s="53">
        <f>'Main Model'!G165</f>
        <v>22</v>
      </c>
      <c r="F20" s="53">
        <f>'Main Model'!H165</f>
        <v>22</v>
      </c>
      <c r="G20" s="53">
        <f>'Main Model'!I165</f>
        <v>22</v>
      </c>
      <c r="H20" s="53">
        <f>'Main Model'!J165</f>
        <v>22</v>
      </c>
      <c r="J20" s="181" t="s">
        <v>175</v>
      </c>
      <c r="K20" s="182"/>
      <c r="L20" s="182"/>
      <c r="M20" s="182"/>
      <c r="N20" s="182"/>
      <c r="O20" s="182"/>
      <c r="P20" s="182"/>
      <c r="Q20" s="183"/>
    </row>
    <row r="21" spans="1:17" ht="15" thickBot="1" x14ac:dyDescent="0.4">
      <c r="A21" s="63" t="s">
        <v>174</v>
      </c>
      <c r="B21" s="68">
        <f t="shared" ref="B21:G21" si="3">B18+B19-B20</f>
        <v>127.52226615350943</v>
      </c>
      <c r="C21" s="68">
        <f t="shared" si="3"/>
        <v>162.76681220678662</v>
      </c>
      <c r="D21" s="68">
        <f t="shared" si="3"/>
        <v>120.65575257859237</v>
      </c>
      <c r="E21" s="68">
        <f t="shared" si="3"/>
        <v>119</v>
      </c>
      <c r="F21" s="68">
        <f>F18+F19-F20</f>
        <v>119</v>
      </c>
      <c r="G21" s="68">
        <f t="shared" si="3"/>
        <v>119</v>
      </c>
      <c r="H21" s="68">
        <f>H18+H19-H20</f>
        <v>119</v>
      </c>
      <c r="J21" s="54"/>
      <c r="K21" s="52" t="s">
        <v>157</v>
      </c>
      <c r="L21" s="52" t="s">
        <v>161</v>
      </c>
      <c r="M21" s="52" t="s">
        <v>162</v>
      </c>
      <c r="N21" s="52" t="s">
        <v>158</v>
      </c>
      <c r="O21" s="52" t="s">
        <v>163</v>
      </c>
      <c r="P21" s="52" t="s">
        <v>164</v>
      </c>
      <c r="Q21" s="52" t="s">
        <v>165</v>
      </c>
    </row>
    <row r="22" spans="1:17" ht="15" thickBot="1" x14ac:dyDescent="0.4">
      <c r="A22" s="166" t="s">
        <v>173</v>
      </c>
      <c r="B22" s="165">
        <v>127.52226615350943</v>
      </c>
      <c r="C22" s="165">
        <v>162.76681220678662</v>
      </c>
      <c r="D22" s="165">
        <v>120.65575257859237</v>
      </c>
      <c r="E22" s="165">
        <v>166</v>
      </c>
      <c r="F22" s="165">
        <v>166</v>
      </c>
      <c r="G22" s="165">
        <v>166</v>
      </c>
      <c r="H22" s="171">
        <v>166</v>
      </c>
      <c r="J22" s="87" t="s">
        <v>176</v>
      </c>
      <c r="K22" s="53">
        <v>93.367881766008566</v>
      </c>
      <c r="L22" s="53">
        <v>109.49730777217013</v>
      </c>
      <c r="M22" s="53">
        <v>73.285284798318941</v>
      </c>
      <c r="N22" s="53">
        <v>120</v>
      </c>
      <c r="O22" s="53">
        <v>120</v>
      </c>
      <c r="P22" s="53">
        <v>120</v>
      </c>
      <c r="Q22" s="53">
        <v>120</v>
      </c>
    </row>
    <row r="23" spans="1:17" ht="15" thickBot="1" x14ac:dyDescent="0.4">
      <c r="A23" s="1"/>
      <c r="B23" s="48"/>
      <c r="C23" s="48"/>
      <c r="D23" s="48"/>
      <c r="E23" s="48"/>
      <c r="F23" s="48"/>
      <c r="G23" s="48"/>
      <c r="H23" s="48"/>
      <c r="J23" s="87" t="s">
        <v>177</v>
      </c>
      <c r="K23" s="53">
        <v>55.186129004608468</v>
      </c>
      <c r="L23" s="53">
        <v>77.645545756360121</v>
      </c>
      <c r="M23" s="53">
        <v>68.027912332813358</v>
      </c>
      <c r="N23" s="53">
        <v>68</v>
      </c>
      <c r="O23" s="53">
        <v>68</v>
      </c>
      <c r="P23" s="53">
        <v>68</v>
      </c>
      <c r="Q23" s="53">
        <v>68</v>
      </c>
    </row>
    <row r="24" spans="1:17" s="87" customFormat="1" ht="16.05" thickBot="1" x14ac:dyDescent="0.4">
      <c r="A24" s="172" t="s">
        <v>129</v>
      </c>
      <c r="B24" s="173">
        <f t="shared" ref="B24:H24" si="4">B15*(B21/365)</f>
        <v>214306176.22758371</v>
      </c>
      <c r="C24" s="173">
        <f t="shared" si="4"/>
        <v>247032966.1593343</v>
      </c>
      <c r="D24" s="173">
        <f t="shared" si="4"/>
        <v>258714811.57383153</v>
      </c>
      <c r="E24" s="173">
        <f t="shared" si="4"/>
        <v>252875823.39072591</v>
      </c>
      <c r="F24" s="173">
        <f t="shared" si="4"/>
        <v>262204430.59342846</v>
      </c>
      <c r="G24" s="173">
        <f t="shared" si="4"/>
        <v>272176681.27542406</v>
      </c>
      <c r="H24" s="174">
        <f t="shared" si="4"/>
        <v>278344295.29099053</v>
      </c>
      <c r="J24" s="87" t="s">
        <v>178</v>
      </c>
      <c r="K24" s="53">
        <v>21.031744617107588</v>
      </c>
      <c r="L24" s="53">
        <v>24.376041321743635</v>
      </c>
      <c r="M24" s="53">
        <v>20.657444552539946</v>
      </c>
      <c r="N24" s="53">
        <v>22</v>
      </c>
      <c r="O24" s="53">
        <v>22</v>
      </c>
      <c r="P24" s="53">
        <v>22</v>
      </c>
      <c r="Q24" s="53">
        <v>22</v>
      </c>
    </row>
    <row r="25" spans="1:17" ht="16.05" thickBot="1" x14ac:dyDescent="0.4">
      <c r="A25" s="49" t="s">
        <v>180</v>
      </c>
      <c r="B25" s="149">
        <f t="shared" ref="B25:H25" si="5">B24*(1-B10)</f>
        <v>30002864.671861723</v>
      </c>
      <c r="C25" s="149">
        <f t="shared" si="5"/>
        <v>76580219.509393647</v>
      </c>
      <c r="D25" s="149">
        <f t="shared" si="5"/>
        <v>33632925.504598103</v>
      </c>
      <c r="E25" s="163">
        <f t="shared" si="5"/>
        <v>37931373.508608893</v>
      </c>
      <c r="F25" s="161">
        <f t="shared" si="5"/>
        <v>39330664.589014277</v>
      </c>
      <c r="G25" s="149">
        <f t="shared" si="5"/>
        <v>40826502.191313617</v>
      </c>
      <c r="H25" s="149">
        <f t="shared" si="5"/>
        <v>41751644.293648586</v>
      </c>
      <c r="J25" s="63" t="s">
        <v>174</v>
      </c>
      <c r="K25" s="68">
        <f t="shared" ref="K25:Q25" si="6">K22+K23-K24</f>
        <v>127.52226615350943</v>
      </c>
      <c r="L25" s="68">
        <f t="shared" si="6"/>
        <v>162.76681220678662</v>
      </c>
      <c r="M25" s="68">
        <f t="shared" si="6"/>
        <v>120.65575257859237</v>
      </c>
      <c r="N25" s="68">
        <f t="shared" si="6"/>
        <v>166</v>
      </c>
      <c r="O25" s="68">
        <f t="shared" si="6"/>
        <v>166</v>
      </c>
      <c r="P25" s="68">
        <f t="shared" si="6"/>
        <v>166</v>
      </c>
      <c r="Q25" s="68">
        <f t="shared" si="6"/>
        <v>166</v>
      </c>
    </row>
    <row r="26" spans="1:17" s="87" customFormat="1" ht="16.05" thickBot="1" x14ac:dyDescent="0.4">
      <c r="A26" s="49"/>
      <c r="B26" s="149"/>
      <c r="C26" s="149"/>
      <c r="D26" s="149"/>
      <c r="E26" s="163"/>
      <c r="F26" s="149"/>
      <c r="G26" s="149"/>
      <c r="H26" s="149"/>
    </row>
    <row r="27" spans="1:17" s="37" customFormat="1" ht="16.05" thickBot="1" x14ac:dyDescent="0.4">
      <c r="A27" s="172" t="s">
        <v>181</v>
      </c>
      <c r="B27" s="173">
        <f t="shared" ref="B27:H27" si="7">B15*(B22/365)</f>
        <v>214306176.22758371</v>
      </c>
      <c r="C27" s="173">
        <f t="shared" si="7"/>
        <v>247032966.1593343</v>
      </c>
      <c r="D27" s="173">
        <f t="shared" si="7"/>
        <v>258714811.57383153</v>
      </c>
      <c r="E27" s="173">
        <f t="shared" si="7"/>
        <v>352751148.59546638</v>
      </c>
      <c r="F27" s="173">
        <f t="shared" si="7"/>
        <v>365764163.68495065</v>
      </c>
      <c r="G27" s="173">
        <f t="shared" si="7"/>
        <v>379675034.38420498</v>
      </c>
      <c r="H27" s="173">
        <f t="shared" si="7"/>
        <v>388278596.79247421</v>
      </c>
    </row>
    <row r="28" spans="1:17" s="37" customFormat="1" ht="16.2" thickBot="1" x14ac:dyDescent="0.35">
      <c r="A28" s="167" t="s">
        <v>179</v>
      </c>
      <c r="B28" s="168">
        <f t="shared" ref="B28:E28" si="8">B27*(1-B10)</f>
        <v>30002864.671861723</v>
      </c>
      <c r="C28" s="168">
        <f t="shared" si="8"/>
        <v>76580219.509393647</v>
      </c>
      <c r="D28" s="168">
        <f t="shared" si="8"/>
        <v>33632925.504598103</v>
      </c>
      <c r="E28" s="168">
        <f t="shared" si="8"/>
        <v>52912672.289319962</v>
      </c>
      <c r="F28" s="175">
        <f>F27*(1-F10)</f>
        <v>54864624.552742608</v>
      </c>
      <c r="G28" s="168">
        <f t="shared" ref="G28:H28" si="9">G27*(1-G10)</f>
        <v>56951255.157630756</v>
      </c>
      <c r="H28" s="168">
        <f t="shared" si="9"/>
        <v>58241789.518871143</v>
      </c>
      <c r="J28" s="1"/>
      <c r="K28"/>
      <c r="L28" s="48"/>
      <c r="M28" s="48"/>
      <c r="N28" s="48"/>
      <c r="O28" s="48"/>
      <c r="P28" s="48"/>
      <c r="Q28" s="48"/>
    </row>
    <row r="29" spans="1:17" s="37" customFormat="1" ht="16.2" thickBot="1" x14ac:dyDescent="0.35">
      <c r="A29" s="93" t="s">
        <v>136</v>
      </c>
      <c r="B29" s="94">
        <f>'Main Model'!D104</f>
        <v>158190786</v>
      </c>
      <c r="C29" s="94">
        <f>'Main Model'!E104</f>
        <v>97870924</v>
      </c>
      <c r="D29" s="94">
        <f>'Main Model'!F104</f>
        <v>103464592</v>
      </c>
      <c r="E29" s="94">
        <f>'Main Model'!G104</f>
        <v>110044366.87096742</v>
      </c>
      <c r="F29" s="164">
        <f>'Main Model'!H104</f>
        <v>101894810.54432951</v>
      </c>
      <c r="G29" s="110">
        <f>'Main Model'!I104</f>
        <v>93271633.404107809</v>
      </c>
      <c r="H29" s="110">
        <f>'Main Model'!J104</f>
        <v>115471583.09269124</v>
      </c>
      <c r="J29" s="1"/>
      <c r="K29" s="87"/>
      <c r="L29" s="48"/>
      <c r="M29" s="48"/>
      <c r="N29" s="48"/>
      <c r="O29" s="48"/>
      <c r="P29" s="48"/>
      <c r="Q29" s="48"/>
    </row>
    <row r="30" spans="1:17" s="37" customFormat="1" ht="15" thickTop="1" x14ac:dyDescent="0.3"/>
    <row r="31" spans="1:17" s="37" customFormat="1" x14ac:dyDescent="0.3">
      <c r="A31" s="87"/>
      <c r="B31" s="87"/>
      <c r="C31" s="87"/>
      <c r="D31" s="87"/>
      <c r="E31" s="87"/>
      <c r="F31" s="87"/>
      <c r="G31" s="87"/>
      <c r="J31" s="87"/>
      <c r="K31" s="87"/>
      <c r="L31" s="87"/>
      <c r="M31" s="87"/>
      <c r="N31" s="87"/>
      <c r="O31" s="87"/>
      <c r="P31" s="87"/>
      <c r="Q31" s="87"/>
    </row>
    <row r="32" spans="1:17" ht="14.55" hidden="1" x14ac:dyDescent="0.35">
      <c r="A32" s="49"/>
      <c r="B32" s="5"/>
      <c r="C32" s="5"/>
      <c r="D32" s="5"/>
      <c r="E32" s="5"/>
      <c r="F32" s="9"/>
      <c r="G32" s="87"/>
      <c r="H32" s="9"/>
      <c r="J32" s="87"/>
      <c r="K32" s="87"/>
      <c r="L32" s="87"/>
      <c r="M32" s="87"/>
      <c r="N32" s="87"/>
      <c r="O32" s="87"/>
      <c r="P32" s="87"/>
      <c r="Q32" s="87"/>
    </row>
    <row r="33" spans="1:17" ht="15" hidden="1" thickBot="1" x14ac:dyDescent="0.4">
      <c r="A33" s="75" t="s">
        <v>125</v>
      </c>
      <c r="B33" s="107">
        <v>2027</v>
      </c>
      <c r="C33" s="87"/>
      <c r="D33" s="87"/>
      <c r="E33" s="7"/>
      <c r="G33" s="87"/>
      <c r="J33" s="87"/>
      <c r="K33" s="87"/>
      <c r="L33" s="87"/>
      <c r="M33" s="87"/>
      <c r="N33" s="87"/>
      <c r="O33" s="87"/>
      <c r="P33" s="87"/>
      <c r="Q33" s="87"/>
    </row>
    <row r="34" spans="1:17" x14ac:dyDescent="0.3">
      <c r="A34" s="76" t="s">
        <v>131</v>
      </c>
      <c r="B34" s="105">
        <v>50000000</v>
      </c>
      <c r="C34" s="7"/>
      <c r="D34" s="7"/>
      <c r="E34" s="7"/>
      <c r="G34" s="87"/>
      <c r="K34" s="87"/>
      <c r="L34" s="87"/>
      <c r="M34" s="87"/>
      <c r="N34" s="87"/>
      <c r="O34" s="87"/>
      <c r="P34" s="87"/>
      <c r="Q34" s="87"/>
    </row>
    <row r="35" spans="1:17" x14ac:dyDescent="0.3">
      <c r="A35" s="76" t="s">
        <v>130</v>
      </c>
      <c r="B35" s="105">
        <f>ROUNDDOWN(F24,-5)</f>
        <v>262200000</v>
      </c>
      <c r="C35" s="87"/>
      <c r="D35" s="87"/>
      <c r="E35" s="87"/>
      <c r="F35" s="5"/>
      <c r="G35" s="87"/>
    </row>
    <row r="36" spans="1:17" x14ac:dyDescent="0.3">
      <c r="A36" s="76" t="s">
        <v>172</v>
      </c>
      <c r="B36" s="105">
        <f>ROUNDDOWN(F28,-5)</f>
        <v>54800000</v>
      </c>
      <c r="C36" s="87"/>
      <c r="D36" s="87"/>
      <c r="E36" s="87"/>
      <c r="F36" s="5"/>
      <c r="G36" s="87"/>
      <c r="H36" s="87"/>
    </row>
    <row r="37" spans="1:17" ht="15" thickBot="1" x14ac:dyDescent="0.35">
      <c r="A37" s="77" t="s">
        <v>126</v>
      </c>
      <c r="B37" s="106">
        <f>ROUNDDOWN(G29+F29,-5)</f>
        <v>195100000</v>
      </c>
      <c r="D37" s="39"/>
      <c r="F37" s="7"/>
      <c r="G37" s="87"/>
    </row>
    <row r="38" spans="1:17" s="87" customFormat="1" ht="15" thickBot="1" x14ac:dyDescent="0.35">
      <c r="A38" s="139" t="s">
        <v>160</v>
      </c>
      <c r="B38" s="140">
        <f>B37*0.7</f>
        <v>136570000</v>
      </c>
      <c r="F38" s="7"/>
    </row>
    <row r="39" spans="1:17" x14ac:dyDescent="0.3">
      <c r="A39" s="73"/>
      <c r="D39" s="87"/>
      <c r="E39" s="7"/>
      <c r="F39" s="7"/>
    </row>
    <row r="40" spans="1:17" s="87" customFormat="1" ht="24" thickBot="1" x14ac:dyDescent="0.5">
      <c r="A40" s="180" t="s">
        <v>113</v>
      </c>
      <c r="B40" s="180" t="e">
        <f>#REF!</f>
        <v>#REF!</v>
      </c>
      <c r="C40" s="102">
        <v>50000000</v>
      </c>
      <c r="D40"/>
      <c r="E40"/>
      <c r="F40"/>
      <c r="G40"/>
      <c r="H40"/>
    </row>
    <row r="41" spans="1:17" ht="15" thickTop="1" x14ac:dyDescent="0.3"/>
    <row r="45" spans="1:17" x14ac:dyDescent="0.3">
      <c r="D45" s="39"/>
      <c r="E45" s="39"/>
      <c r="F45" s="39"/>
      <c r="G45" s="40"/>
    </row>
    <row r="46" spans="1:17" ht="18" x14ac:dyDescent="0.35">
      <c r="A46" s="60"/>
      <c r="C46" s="39"/>
      <c r="D46" s="87"/>
      <c r="E46" s="39"/>
      <c r="F46" s="39"/>
      <c r="G46" s="39"/>
    </row>
    <row r="53" spans="2:3" ht="14.55" hidden="1" x14ac:dyDescent="0.35">
      <c r="B53" s="61" t="s">
        <v>114</v>
      </c>
      <c r="C53" s="61" t="s">
        <v>115</v>
      </c>
    </row>
  </sheetData>
  <mergeCells count="4">
    <mergeCell ref="A1:B1"/>
    <mergeCell ref="A40:B40"/>
    <mergeCell ref="J20:Q20"/>
    <mergeCell ref="B17:H17"/>
  </mergeCells>
  <pageMargins left="0.7" right="0.7" top="0.75" bottom="0.75" header="0.3" footer="0.3"/>
  <pageSetup orientation="portrait" r:id="rId1"/>
  <headerFooter>
    <oddFooter>&amp;L&amp;"Arial,Regular"&amp;12&amp;B&amp;K000000Classification: &amp;B&amp;"Times New Roman,Regular"&amp;12&amp;U&amp;KFFCC00Confidential</oddFooter>
    <evenFooter>&amp;L&amp;"Arial,Regular"&amp;12&amp;B&amp;K000000Classification: &amp;B&amp;"Times New Roman,Regular"&amp;12&amp;U&amp;KFFCC00Confidential</evenFooter>
    <firstFooter>&amp;L&amp;"Arial,Regular"&amp;12&amp;B&amp;K000000Classification: &amp;B&amp;"Times New Roman,Regular"&amp;12&amp;U&amp;KFFCC00Confidential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9a89176b-3108-49bf-ba58-98a2778373cd" origin="userSelected">
  <element uid="id_classification_generalbusiness" value=""/>
</sisl>
</file>

<file path=customXml/itemProps1.xml><?xml version="1.0" encoding="utf-8"?>
<ds:datastoreItem xmlns:ds="http://schemas.openxmlformats.org/officeDocument/2006/customXml" ds:itemID="{33B13078-8E94-4001-A1D2-754CC26250B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Model</vt:lpstr>
      <vt:lpstr>Recommended Loan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  AL-Issa</dc:creator>
  <cp:lastModifiedBy>Modhy Alrasheed</cp:lastModifiedBy>
  <dcterms:created xsi:type="dcterms:W3CDTF">2019-01-16T14:17:45Z</dcterms:created>
  <dcterms:modified xsi:type="dcterms:W3CDTF">2026-01-26T12:50:44Z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e3e9ba94-f722-4b8a-8cc4-8484f5950712</vt:lpwstr>
  </property>
  <property fmtid="{D5CDD505-2E9C-101B-9397-08002B2CF9AE}" pid="3" name="bjSaver">
    <vt:lpwstr>MG1pFFr75m/O9fPZ9HLwsvgHC/02Iw36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policy="9a89176b-3108-49bf-ba58-98a2778373cd" origin="userSelected" xmlns="http://www.boldonj</vt:lpwstr>
  </property>
  <property fmtid="{D5CDD505-2E9C-101B-9397-08002B2CF9AE}" pid="6" name="bjDocumentLabelXML-0">
    <vt:lpwstr>ames.com/2008/01/sie/internal/label"&gt;&lt;element uid="id_classification_generalbusiness" value="" /&gt;&lt;/sisl&gt;</vt:lpwstr>
  </property>
  <property fmtid="{D5CDD505-2E9C-101B-9397-08002B2CF9AE}" pid="7" name="bjDocumentSecurityLabel">
    <vt:lpwstr>Confidential</vt:lpwstr>
  </property>
  <property fmtid="{D5CDD505-2E9C-101B-9397-08002B2CF9AE}" pid="8" name="bjLeftFooterLabel-first">
    <vt:lpwstr>&amp;"Arial,Regular"&amp;12&amp;B&amp;K000000Classification: &amp;B&amp;"Times New Roman,Regular"&amp;12&amp;U&amp;KFFCC00Confidential</vt:lpwstr>
  </property>
  <property fmtid="{D5CDD505-2E9C-101B-9397-08002B2CF9AE}" pid="9" name="bjLeftFooterLabel-even">
    <vt:lpwstr>&amp;"Arial,Regular"&amp;12&amp;B&amp;K000000Classification: &amp;B&amp;"Times New Roman,Regular"&amp;12&amp;U&amp;KFFCC00Confidential</vt:lpwstr>
  </property>
  <property fmtid="{D5CDD505-2E9C-101B-9397-08002B2CF9AE}" pid="10" name="bjLeftFooterLabel">
    <vt:lpwstr>&amp;"Arial,Regular"&amp;12&amp;B&amp;K000000Classification: &amp;B&amp;"Times New Roman,Regular"&amp;12&amp;U&amp;KFFCC00Confidential</vt:lpwstr>
  </property>
</Properties>
</file>