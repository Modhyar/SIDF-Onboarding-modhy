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xr:revisionPtr revIDLastSave="0" documentId="8_{A509522B-6ABF-4F08-9C91-D4872727962B}" xr6:coauthVersionLast="47" xr6:coauthVersionMax="47" xr10:uidLastSave="{00000000-0000-0000-0000-000000000000}"/>
  <bookViews>
    <workbookView xWindow="1788" yWindow="612" windowWidth="17280" windowHeight="8880" tabRatio="904" firstSheet="5" activeTab="6" xr2:uid="{00000000-000D-0000-FFFF-FFFF00000000}"/>
  </bookViews>
  <sheets>
    <sheet name="BSL_AC" sheetId="26" state="hidden" r:id="rId1"/>
    <sheet name="BSA_AC" sheetId="25" state="hidden" r:id="rId2"/>
    <sheet name="IS_AC" sheetId="24" state="hidden" r:id="rId3"/>
    <sheet name="FS" sheetId="15" state="hidden" r:id="rId4"/>
    <sheet name="GAV" sheetId="27" state="hidden" r:id="rId5"/>
    <sheet name="Assumptions" sheetId="32" r:id="rId6"/>
    <sheet name="Financial Stat." sheetId="33" r:id="rId7"/>
    <sheet name="Attachment &quot;A&quot;" sheetId="31" r:id="rId8"/>
    <sheet name="IS" sheetId="11" state="hidden" r:id="rId9"/>
    <sheet name="BSA" sheetId="12" state="hidden" r:id="rId10"/>
    <sheet name="BSL" sheetId="13" state="hidden" r:id="rId11"/>
    <sheet name="SA" sheetId="23" state="hidden" r:id="rId12"/>
    <sheet name="NPV" sheetId="19" state="hidden" r:id="rId13"/>
    <sheet name="IRR" sheetId="16" state="hidden" r:id="rId14"/>
    <sheet name="LIRR" sheetId="17" state="hidden" r:id="rId15"/>
    <sheet name="ULIRR" sheetId="18" state="hidden" r:id="rId16"/>
    <sheet name="SAC" sheetId="14" state="hidden" r:id="rId17"/>
    <sheet name="ATT_D" sheetId="6" state="hidden" r:id="rId18"/>
    <sheet name="ATT_C" sheetId="5" state="hidden" r:id="rId19"/>
    <sheet name="ATT_B" sheetId="4" state="hidden" r:id="rId20"/>
    <sheet name="WC" sheetId="22" state="hidden" r:id="rId21"/>
    <sheet name="AA" sheetId="20" state="hidden" r:id="rId22"/>
    <sheet name="SF" sheetId="21" state="hidden" r:id="rId23"/>
    <sheet name="Attachment E" sheetId="10" state="hidden" r:id="rId24"/>
    <sheet name="Summ." sheetId="9" state="hidden" r:id="rId25"/>
  </sheets>
  <externalReferences>
    <externalReference r:id="rId26"/>
  </externalReferences>
  <definedNames>
    <definedName name="\0" localSheetId="5">#REF!</definedName>
    <definedName name="\0" localSheetId="1">#REF!</definedName>
    <definedName name="\0" localSheetId="0">#REF!</definedName>
    <definedName name="\0" localSheetId="6">#REF!</definedName>
    <definedName name="\0" localSheetId="2">#REF!</definedName>
    <definedName name="\0">#REF!</definedName>
    <definedName name="\BASE_YEAR" localSheetId="5">#REF!</definedName>
    <definedName name="\BASE_YEAR" localSheetId="1">#REF!</definedName>
    <definedName name="\BASE_YEAR" localSheetId="0">#REF!</definedName>
    <definedName name="\BASE_YEAR" localSheetId="6">#REF!</definedName>
    <definedName name="\BASE_YEAR" localSheetId="2">#REF!</definedName>
    <definedName name="\BASE_YEAR">#REF!</definedName>
    <definedName name="\L" localSheetId="5">#REF!</definedName>
    <definedName name="\L" localSheetId="1">#REF!</definedName>
    <definedName name="\L" localSheetId="0">#REF!</definedName>
    <definedName name="\L" localSheetId="6">#REF!</definedName>
    <definedName name="\L" localSheetId="2">#REF!</definedName>
    <definedName name="\L">#REF!</definedName>
    <definedName name="\M" localSheetId="5">#REF!</definedName>
    <definedName name="\M" localSheetId="1">#REF!</definedName>
    <definedName name="\M" localSheetId="0">#REF!</definedName>
    <definedName name="\M" localSheetId="6">#REF!</definedName>
    <definedName name="\M" localSheetId="2">#REF!</definedName>
    <definedName name="\M">#REF!</definedName>
    <definedName name="\N" localSheetId="5">#REF!</definedName>
    <definedName name="\N" localSheetId="1">#REF!</definedName>
    <definedName name="\N" localSheetId="0">#REF!</definedName>
    <definedName name="\N" localSheetId="6">#REF!</definedName>
    <definedName name="\N" localSheetId="2">#REF!</definedName>
    <definedName name="\N">#REF!</definedName>
    <definedName name="\T" localSheetId="5">Assumptions!$AB$406:$AJ$414</definedName>
    <definedName name="\T" localSheetId="6">Assumptions!$AB$406:$AJ$414</definedName>
    <definedName name="\T">#REF!</definedName>
    <definedName name="\W" localSheetId="5">#REF!</definedName>
    <definedName name="\W" localSheetId="1">#REF!</definedName>
    <definedName name="\W" localSheetId="0">#REF!</definedName>
    <definedName name="\W" localSheetId="6">#REF!</definedName>
    <definedName name="\W" localSheetId="2">#REF!</definedName>
    <definedName name="\W">#REF!</definedName>
    <definedName name="_1_1" localSheetId="5">Assumptions!$A$5:$A$5</definedName>
    <definedName name="_1_1" localSheetId="6">Assumptions!$A$5:$A$5</definedName>
    <definedName name="_1_1">#REF!</definedName>
    <definedName name="_10_19" localSheetId="5">Assumptions!$A$382:$A$382</definedName>
    <definedName name="_10_19" localSheetId="6">Assumptions!$A$382:$A$382</definedName>
    <definedName name="_10_19">#REF!</definedName>
    <definedName name="_11_2" localSheetId="5">Assumptions!$A$91:$A$91</definedName>
    <definedName name="_11_2" localSheetId="6">Assumptions!$A$91:$A$91</definedName>
    <definedName name="_11_2">#REF!</definedName>
    <definedName name="_12_20" localSheetId="5">Assumptions!$A$403:$A$403</definedName>
    <definedName name="_12_20" localSheetId="6">Assumptions!$A$403:$A$403</definedName>
    <definedName name="_12_20">#REF!</definedName>
    <definedName name="_13_5" localSheetId="5">Assumptions!$A$134:$A$134</definedName>
    <definedName name="_13_5" localSheetId="6">Assumptions!$A$134:$A$134</definedName>
    <definedName name="_13_5">#REF!</definedName>
    <definedName name="_14_6" localSheetId="5">Assumptions!$A$162:$A$162</definedName>
    <definedName name="_14_6" localSheetId="6">Assumptions!$A$162:$A$162</definedName>
    <definedName name="_14_6">#REF!</definedName>
    <definedName name="_15_9" localSheetId="5">Assumptions!$A$196:$A$196</definedName>
    <definedName name="_15_9" localSheetId="6">Assumptions!$A$196:$A$196</definedName>
    <definedName name="_15_9">#REF!</definedName>
    <definedName name="_16GO_TO" localSheetId="5">#REF!</definedName>
    <definedName name="_16GO_TO" localSheetId="1">#REF!</definedName>
    <definedName name="_16GO_TO" localSheetId="0">#REF!</definedName>
    <definedName name="_16GO_TO" localSheetId="6">#REF!</definedName>
    <definedName name="_16GO_TO" localSheetId="2">#REF!</definedName>
    <definedName name="_16GO_TO">#REF!</definedName>
    <definedName name="_17PRT_DEP_AMORT" localSheetId="5">#REF!</definedName>
    <definedName name="_17PRT_DEP_AMORT" localSheetId="1">#REF!</definedName>
    <definedName name="_17PRT_DEP_AMORT" localSheetId="0">#REF!</definedName>
    <definedName name="_17PRT_DEP_AMORT" localSheetId="6">#REF!</definedName>
    <definedName name="_17PRT_DEP_AMORT" localSheetId="2">#REF!</definedName>
    <definedName name="_17PRT_DEP_AMORT">#REF!</definedName>
    <definedName name="_18PRT_SRC_APPL" localSheetId="5">#REF!</definedName>
    <definedName name="_18PRT_SRC_APPL" localSheetId="1">#REF!</definedName>
    <definedName name="_18PRT_SRC_APPL" localSheetId="0">#REF!</definedName>
    <definedName name="_18PRT_SRC_APPL" localSheetId="6">#REF!</definedName>
    <definedName name="_18PRT_SRC_APPL" localSheetId="2">#REF!</definedName>
    <definedName name="_18PRT_SRC_APPL">#REF!</definedName>
    <definedName name="_19PRT_VA_CI" localSheetId="5">#REF!</definedName>
    <definedName name="_19PRT_VA_CI" localSheetId="1">#REF!</definedName>
    <definedName name="_19PRT_VA_CI" localSheetId="0">#REF!</definedName>
    <definedName name="_19PRT_VA_CI" localSheetId="6">#REF!</definedName>
    <definedName name="_19PRT_VA_CI" localSheetId="2">#REF!</definedName>
    <definedName name="_19PRT_VA_CI">#REF!</definedName>
    <definedName name="_2_10" localSheetId="5">Assumptions!$A$218:$A$218</definedName>
    <definedName name="_2_10" localSheetId="6">Assumptions!$A$218:$A$218</definedName>
    <definedName name="_2_10">#REF!</definedName>
    <definedName name="_20PRT_VA_CI_STAT" localSheetId="5">#REF!</definedName>
    <definedName name="_20PRT_VA_CI_STAT" localSheetId="1">#REF!</definedName>
    <definedName name="_20PRT_VA_CI_STAT" localSheetId="0">#REF!</definedName>
    <definedName name="_20PRT_VA_CI_STAT" localSheetId="6">#REF!</definedName>
    <definedName name="_20PRT_VA_CI_STAT" localSheetId="2">#REF!</definedName>
    <definedName name="_20PRT_VA_CI_STAT">#REF!</definedName>
    <definedName name="_21SOURCE_APPL" localSheetId="6">'Financial Stat.'!$A$124:$U$160</definedName>
    <definedName name="_21SOURCE_APPL">#REF!</definedName>
    <definedName name="_22VA_CI" localSheetId="5">Assumptions!$A$368:$I$385</definedName>
    <definedName name="_22VA_CI" localSheetId="6">Assumptions!$A$368:$I$385</definedName>
    <definedName name="_22VA_CI">#REF!</definedName>
    <definedName name="_23VA_CI_STAT" localSheetId="6">'Financial Stat.'!$B$281:$F$307</definedName>
    <definedName name="_23VA_CI_STAT">#REF!</definedName>
    <definedName name="_3_12" localSheetId="5">Assumptions!$A$261:$A$261</definedName>
    <definedName name="_3_12" localSheetId="6">Assumptions!$A$261:$A$261</definedName>
    <definedName name="_3_12">#REF!</definedName>
    <definedName name="_4_13" localSheetId="5">Assumptions!$A$272:$A$272</definedName>
    <definedName name="_4_13" localSheetId="6">Assumptions!$A$272:$A$272</definedName>
    <definedName name="_4_13">#REF!</definedName>
    <definedName name="_5_14" localSheetId="5">Assumptions!$A$286:$A$286</definedName>
    <definedName name="_5_14" localSheetId="6">Assumptions!$A$286:$A$286</definedName>
    <definedName name="_5_14">#REF!</definedName>
    <definedName name="_6_15" localSheetId="5">Assumptions!$A$300:$A$300</definedName>
    <definedName name="_6_15" localSheetId="6">Assumptions!$A$300:$A$300</definedName>
    <definedName name="_6_15">#REF!</definedName>
    <definedName name="_7_16" localSheetId="5">Assumptions!$A$322:$A$322</definedName>
    <definedName name="_7_16" localSheetId="6">Assumptions!$A$322:$A$322</definedName>
    <definedName name="_7_16">#REF!</definedName>
    <definedName name="_8_17" localSheetId="5">Assumptions!$A$351:$A$351</definedName>
    <definedName name="_8_17" localSheetId="6">Assumptions!$A$351:$A$351</definedName>
    <definedName name="_8_17">#REF!</definedName>
    <definedName name="_9_18" localSheetId="5">Assumptions!$A$368:$A$368</definedName>
    <definedName name="_9_18" localSheetId="6">Assumptions!$A$368:$A$368</definedName>
    <definedName name="_9_18">#REF!</definedName>
    <definedName name="_R" localSheetId="5">Assumptions!$AB$406:$AB$406</definedName>
    <definedName name="_R" localSheetId="6">Assumptions!$AB$406:$AB$406</definedName>
    <definedName name="_R">#REF!</definedName>
    <definedName name="ADDRESS" localSheetId="5">#REF!</definedName>
    <definedName name="ADDRESS" localSheetId="1">#REF!</definedName>
    <definedName name="ADDRESS" localSheetId="0">#REF!</definedName>
    <definedName name="ADDRESS" localSheetId="6">#REF!</definedName>
    <definedName name="ADDRESS" localSheetId="2">#REF!</definedName>
    <definedName name="ADDRESS">#REF!</definedName>
    <definedName name="APL_NM" localSheetId="5">#REF!</definedName>
    <definedName name="APL_NM" localSheetId="1">#REF!</definedName>
    <definedName name="APL_NM" localSheetId="0">#REF!</definedName>
    <definedName name="APL_NM" localSheetId="6">#REF!</definedName>
    <definedName name="APL_NM" localSheetId="2">#REF!</definedName>
    <definedName name="APL_NM" localSheetId="24">'[1]Print Menu'!$AQ$6:$AQ$6</definedName>
    <definedName name="APL_NM">#REF!</definedName>
    <definedName name="ASSUM_1" localSheetId="5">#REF!</definedName>
    <definedName name="ASSUM_1" localSheetId="1">#REF!</definedName>
    <definedName name="ASSUM_1" localSheetId="0">#REF!</definedName>
    <definedName name="ASSUM_1" localSheetId="6">#REF!</definedName>
    <definedName name="ASSUM_1" localSheetId="2">#REF!</definedName>
    <definedName name="ASSUM_1">#REF!</definedName>
    <definedName name="ASSUM_2" localSheetId="5">#REF!</definedName>
    <definedName name="ASSUM_2" localSheetId="1">#REF!</definedName>
    <definedName name="ASSUM_2" localSheetId="0">#REF!</definedName>
    <definedName name="ASSUM_2" localSheetId="6">#REF!</definedName>
    <definedName name="ASSUM_2" localSheetId="2">#REF!</definedName>
    <definedName name="ASSUM_2">#REF!</definedName>
    <definedName name="BASE_YEAR" localSheetId="5">#REF!</definedName>
    <definedName name="BASE_YEAR" localSheetId="1">#REF!</definedName>
    <definedName name="BASE_YEAR" localSheetId="0">#REF!</definedName>
    <definedName name="BASE_YEAR" localSheetId="6">#REF!</definedName>
    <definedName name="BASE_YEAR" localSheetId="2">#REF!</definedName>
    <definedName name="BASE_YEAR">#REF!</definedName>
    <definedName name="BASEYEAR" localSheetId="5">'Financial Stat.'!$B$320:$B$320</definedName>
    <definedName name="BASEYEAR" localSheetId="6">'Financial Stat.'!$B$320:$B$320</definedName>
    <definedName name="BASEYEAR" localSheetId="24">'[1]Financial Stat.'!$B$320:$B$320</definedName>
    <definedName name="BASEYEAR">#REF!</definedName>
    <definedName name="BS" localSheetId="5">Assumptions!$A$286:$J$296</definedName>
    <definedName name="BS" localSheetId="6">Assumptions!$A$286:$J$296</definedName>
    <definedName name="BS">#REF!</definedName>
    <definedName name="BS_ASSETS" localSheetId="6">'Financial Stat.'!$A$45:$U$80</definedName>
    <definedName name="BS_ASSETS">#REF!</definedName>
    <definedName name="BS_LIABILITIES" localSheetId="6">'Financial Stat.'!$A$84:$U$120</definedName>
    <definedName name="BS_LIABILITIES">#REF!</definedName>
    <definedName name="CHOICE" localSheetId="5">#REF!</definedName>
    <definedName name="CHOICE" localSheetId="1">#REF!</definedName>
    <definedName name="CHOICE" localSheetId="0">#REF!</definedName>
    <definedName name="CHOICE" localSheetId="6">#REF!</definedName>
    <definedName name="CHOICE" localSheetId="2">#REF!</definedName>
    <definedName name="CHOICE">#REF!</definedName>
    <definedName name="CHOICE1" localSheetId="5">#REF!</definedName>
    <definedName name="CHOICE1" localSheetId="1">#REF!</definedName>
    <definedName name="CHOICE1" localSheetId="0">#REF!</definedName>
    <definedName name="CHOICE1" localSheetId="6">#REF!</definedName>
    <definedName name="CHOICE1" localSheetId="2">#REF!</definedName>
    <definedName name="CHOICE1">#REF!</definedName>
    <definedName name="CHOICE11" localSheetId="5">#REF!</definedName>
    <definedName name="CHOICE11" localSheetId="1">#REF!</definedName>
    <definedName name="CHOICE11" localSheetId="0">#REF!</definedName>
    <definedName name="CHOICE11" localSheetId="6">#REF!</definedName>
    <definedName name="CHOICE11" localSheetId="2">#REF!</definedName>
    <definedName name="CHOICE11">#REF!</definedName>
    <definedName name="CHOICE12" localSheetId="5">#REF!</definedName>
    <definedName name="CHOICE12" localSheetId="1">#REF!</definedName>
    <definedName name="CHOICE12" localSheetId="0">#REF!</definedName>
    <definedName name="CHOICE12" localSheetId="6">#REF!</definedName>
    <definedName name="CHOICE12" localSheetId="2">#REF!</definedName>
    <definedName name="CHOICE12">#REF!</definedName>
    <definedName name="DA" localSheetId="6">'Financial Stat.'!$A$199:$A$199</definedName>
    <definedName name="DA">#REF!</definedName>
    <definedName name="DIR_LAB" localSheetId="5">Assumptions!$A$165:$R$191</definedName>
    <definedName name="DIR_LAB" localSheetId="6">Assumptions!$A$165:$R$191</definedName>
    <definedName name="DIR_LAB">#REF!</definedName>
    <definedName name="ECONO" localSheetId="5">#REF!</definedName>
    <definedName name="ECONO" localSheetId="1">#REF!</definedName>
    <definedName name="ECONO" localSheetId="0">#REF!</definedName>
    <definedName name="ECONO" localSheetId="6">#REF!</definedName>
    <definedName name="ECONO" localSheetId="2">#REF!</definedName>
    <definedName name="ECONO">#REF!</definedName>
    <definedName name="ESCKEY" localSheetId="5">#REF!</definedName>
    <definedName name="ESCKEY" localSheetId="1">#REF!</definedName>
    <definedName name="ESCKEY" localSheetId="0">#REF!</definedName>
    <definedName name="ESCKEY" localSheetId="6">#REF!</definedName>
    <definedName name="ESCKEY" localSheetId="2">#REF!</definedName>
    <definedName name="ESCKEY">#REF!</definedName>
    <definedName name="F_STAT" localSheetId="5">#REF!</definedName>
    <definedName name="F_STAT" localSheetId="1">#REF!</definedName>
    <definedName name="F_STAT" localSheetId="0">#REF!</definedName>
    <definedName name="F_STAT" localSheetId="6">#REF!</definedName>
    <definedName name="F_STAT" localSheetId="2">#REF!</definedName>
    <definedName name="F_STAT">#REF!</definedName>
    <definedName name="FINANCE" localSheetId="5">Assumptions!$A$272:$K$282</definedName>
    <definedName name="FINANCE" localSheetId="6">Assumptions!$A$272:$K$282</definedName>
    <definedName name="FINANCE">#REF!</definedName>
    <definedName name="FIX_INTANG" localSheetId="5">Assumptions!$A$322:$M$356</definedName>
    <definedName name="FIX_INTANG" localSheetId="6">Assumptions!$A$322:$M$356</definedName>
    <definedName name="FIX_INTANG">#REF!</definedName>
    <definedName name="FORECAST" localSheetId="6">'Financial Stat.'!$A$164:$U$197</definedName>
    <definedName name="FORECAST">#REF!</definedName>
    <definedName name="G_INFO" localSheetId="5">#REF!</definedName>
    <definedName name="G_INFO" localSheetId="1">#REF!</definedName>
    <definedName name="G_INFO" localSheetId="0">#REF!</definedName>
    <definedName name="G_INFO" localSheetId="6">#REF!</definedName>
    <definedName name="G_INFO" localSheetId="2">#REF!</definedName>
    <definedName name="G_INFO">#REF!</definedName>
    <definedName name="GET_AGN" localSheetId="5">#REF!</definedName>
    <definedName name="GET_AGN" localSheetId="1">#REF!</definedName>
    <definedName name="GET_AGN" localSheetId="0">#REF!</definedName>
    <definedName name="GET_AGN" localSheetId="6">#REF!</definedName>
    <definedName name="GET_AGN" localSheetId="2">#REF!</definedName>
    <definedName name="GET_AGN">#REF!</definedName>
    <definedName name="GET_RANGE" localSheetId="5">#REF!</definedName>
    <definedName name="GET_RANGE" localSheetId="1">#REF!</definedName>
    <definedName name="GET_RANGE" localSheetId="0">#REF!</definedName>
    <definedName name="GET_RANGE" localSheetId="6">#REF!</definedName>
    <definedName name="GET_RANGE" localSheetId="2">#REF!</definedName>
    <definedName name="GET_RANGE">#REF!</definedName>
    <definedName name="H_1" localSheetId="5">'Financial Stat.'!$B$327:$B$327</definedName>
    <definedName name="H_1" localSheetId="6">'Financial Stat.'!$B$327:$B$327</definedName>
    <definedName name="H_1" localSheetId="24">'[1]Financial Stat.'!$B$327:$B$327</definedName>
    <definedName name="H_1">#REF!</definedName>
    <definedName name="H_2" localSheetId="5">'Financial Stat.'!$C$327:$C$327</definedName>
    <definedName name="H_2" localSheetId="6">'Financial Stat.'!$C$327:$C$327</definedName>
    <definedName name="H_2" localSheetId="24">'[1]Financial Stat.'!$C$327:$C$327</definedName>
    <definedName name="H_2">#REF!</definedName>
    <definedName name="H_3" localSheetId="5">'Financial Stat.'!$D$327:$D$327</definedName>
    <definedName name="H_3" localSheetId="6">'Financial Stat.'!$D$327:$D$327</definedName>
    <definedName name="H_3" localSheetId="24">'[1]Financial Stat.'!$D$327:$D$327</definedName>
    <definedName name="H_3">#REF!</definedName>
    <definedName name="H_4" localSheetId="5">'Financial Stat.'!$E$327:$E$327</definedName>
    <definedName name="H_4" localSheetId="6">'Financial Stat.'!$E$327:$E$327</definedName>
    <definedName name="H_4" localSheetId="24">'[1]Financial Stat.'!$E$327:$E$327</definedName>
    <definedName name="H_4">#REF!</definedName>
    <definedName name="H_5" localSheetId="5">'Financial Stat.'!$F$327:$F$327</definedName>
    <definedName name="H_5" localSheetId="6">'Financial Stat.'!$F$327:$F$327</definedName>
    <definedName name="H_5" localSheetId="24">'[1]Financial Stat.'!$F$327:$F$327</definedName>
    <definedName name="H_5">#REF!</definedName>
    <definedName name="HY_2" localSheetId="5">#REF!</definedName>
    <definedName name="HY_2" localSheetId="1">#REF!</definedName>
    <definedName name="HY_2" localSheetId="0">#REF!</definedName>
    <definedName name="HY_2" localSheetId="6">#REF!</definedName>
    <definedName name="HY_2" localSheetId="2">#REF!</definedName>
    <definedName name="HY_2">#REF!</definedName>
    <definedName name="HY_3" localSheetId="5">#REF!</definedName>
    <definedName name="HY_3" localSheetId="1">#REF!</definedName>
    <definedName name="HY_3" localSheetId="0">#REF!</definedName>
    <definedName name="HY_3" localSheetId="6">#REF!</definedName>
    <definedName name="HY_3" localSheetId="2">#REF!</definedName>
    <definedName name="HY_3">#REF!</definedName>
    <definedName name="HY_4" localSheetId="5">#REF!</definedName>
    <definedName name="HY_4" localSheetId="1">#REF!</definedName>
    <definedName name="HY_4" localSheetId="0">#REF!</definedName>
    <definedName name="HY_4" localSheetId="6">#REF!</definedName>
    <definedName name="HY_4" localSheetId="2">#REF!</definedName>
    <definedName name="HY_4">#REF!</definedName>
    <definedName name="HY_5" localSheetId="5">#REF!</definedName>
    <definedName name="HY_5" localSheetId="1">#REF!</definedName>
    <definedName name="HY_5" localSheetId="0">#REF!</definedName>
    <definedName name="HY_5" localSheetId="6">#REF!</definedName>
    <definedName name="HY_5" localSheetId="2">#REF!</definedName>
    <definedName name="HY_5">#REF!</definedName>
    <definedName name="HYEARS" localSheetId="5">#REF!</definedName>
    <definedName name="HYEARS" localSheetId="1">#REF!</definedName>
    <definedName name="HYEARS" localSheetId="0">#REF!</definedName>
    <definedName name="HYEARS" localSheetId="6">#REF!</definedName>
    <definedName name="HYEARS" localSheetId="2">#REF!</definedName>
    <definedName name="HYEARS">#REF!</definedName>
    <definedName name="INCOME" localSheetId="6">'Financial Stat.'!$A$1:$U$42</definedName>
    <definedName name="INCOME">#REF!</definedName>
    <definedName name="IR" localSheetId="6">'Financial Stat.'!$A$201:$A$201</definedName>
    <definedName name="IR">#REF!</definedName>
    <definedName name="IRR" localSheetId="5">Assumptions!$A$351:$H$363</definedName>
    <definedName name="IRR" localSheetId="6">Assumptions!$A$351:$H$363</definedName>
    <definedName name="IRR">#REF!</definedName>
    <definedName name="IRR_STAT" localSheetId="6">'Financial Stat.'!$A$202:$Q$231</definedName>
    <definedName name="IRR_STAT">#REF!</definedName>
    <definedName name="IS" localSheetId="6">'Financial Stat.'!$A$1:$A$1</definedName>
    <definedName name="IS">#REF!</definedName>
    <definedName name="MAXP" localSheetId="5">Assumptions!$AB$404:$AB$404</definedName>
    <definedName name="MAXP" localSheetId="6">Assumptions!$AB$404:$AB$404</definedName>
    <definedName name="MAXP">#REF!</definedName>
    <definedName name="MAXP1" localSheetId="5">Assumptions!$AB$404:$AB$404</definedName>
    <definedName name="MAXP1" localSheetId="6">Assumptions!$AB$404:$AB$404</definedName>
    <definedName name="MAXP1">#REF!</definedName>
    <definedName name="MAXP2" localSheetId="5">Assumptions!$AC$406:$AC$406</definedName>
    <definedName name="MAXP2" localSheetId="6">Assumptions!$AC$406:$AC$406</definedName>
    <definedName name="MAXP2">#REF!</definedName>
    <definedName name="No" localSheetId="7">'Attachment "A"'!#REF!</definedName>
    <definedName name="No">#REF!</definedName>
    <definedName name="OBS" localSheetId="5">Assumptions!$A$403:$I$457</definedName>
    <definedName name="OBS" localSheetId="6">Assumptions!$A$403:$I$457</definedName>
    <definedName name="OBS">#REF!</definedName>
    <definedName name="OTH_INP_1" localSheetId="5">#REF!</definedName>
    <definedName name="OTH_INP_1" localSheetId="1">#REF!</definedName>
    <definedName name="OTH_INP_1" localSheetId="0">#REF!</definedName>
    <definedName name="OTH_INP_1" localSheetId="6">#REF!</definedName>
    <definedName name="OTH_INP_1" localSheetId="2">#REF!</definedName>
    <definedName name="OTH_INP_1">#REF!</definedName>
    <definedName name="P_MGR" localSheetId="5">#REF!</definedName>
    <definedName name="P_MGR" localSheetId="1">#REF!</definedName>
    <definedName name="P_MGR" localSheetId="0">#REF!</definedName>
    <definedName name="P_MGR" localSheetId="6">#REF!</definedName>
    <definedName name="P_MGR" localSheetId="2">#REF!</definedName>
    <definedName name="P_MGR" localSheetId="24">'[1]Print Menu'!$AQ$5:$AQ$5</definedName>
    <definedName name="P_MGR">#REF!</definedName>
    <definedName name="P_NAME" localSheetId="5">#REF!</definedName>
    <definedName name="P_NAME" localSheetId="1">#REF!</definedName>
    <definedName name="P_NAME" localSheetId="0">#REF!</definedName>
    <definedName name="P_NAME" localSheetId="6">#REF!</definedName>
    <definedName name="P_NAME" localSheetId="2">#REF!</definedName>
    <definedName name="P_NAME" localSheetId="24">'[1]Print Menu'!$AQ$3:$AQ$3</definedName>
    <definedName name="P_NAME">#REF!</definedName>
    <definedName name="_xlnm.Print_Area" localSheetId="5">Assumptions!$A$260:$K$390</definedName>
    <definedName name="_xlnm.Print_Area" localSheetId="18">ATT_C!$A$1:$I$7</definedName>
    <definedName name="_xlnm.Print_Area" localSheetId="7">'Attachment "A"'!$A$1:$G$56</definedName>
    <definedName name="_xlnm.Print_Area" localSheetId="6">'Financial Stat.'!$A$1:$V$40</definedName>
    <definedName name="_xlnm.Print_Titles" localSheetId="6">'Financial Stat.'!$A:$A</definedName>
    <definedName name="PRODUCT" localSheetId="5">Assumptions!$A$49:$S$86</definedName>
    <definedName name="PRODUCT" localSheetId="6">Assumptions!$A$49:$S$86</definedName>
    <definedName name="PRODUCT">#REF!</definedName>
    <definedName name="PRT_ALL" localSheetId="5">#REF!</definedName>
    <definedName name="PRT_ALL" localSheetId="1">#REF!</definedName>
    <definedName name="PRT_ALL" localSheetId="0">#REF!</definedName>
    <definedName name="PRT_ALL" localSheetId="6">#REF!</definedName>
    <definedName name="PRT_ALL" localSheetId="2">#REF!</definedName>
    <definedName name="PRT_ALL">#REF!</definedName>
    <definedName name="PRT_ALL_ASSUME" localSheetId="5">#REF!</definedName>
    <definedName name="PRT_ALL_ASSUME" localSheetId="1">#REF!</definedName>
    <definedName name="PRT_ALL_ASSUME" localSheetId="0">#REF!</definedName>
    <definedName name="PRT_ALL_ASSUME" localSheetId="6">#REF!</definedName>
    <definedName name="PRT_ALL_ASSUME" localSheetId="2">#REF!</definedName>
    <definedName name="PRT_ALL_ASSUME">#REF!</definedName>
    <definedName name="PRT_ALL_CONT" localSheetId="5">#REF!</definedName>
    <definedName name="PRT_ALL_CONT" localSheetId="1">#REF!</definedName>
    <definedName name="PRT_ALL_CONT" localSheetId="0">#REF!</definedName>
    <definedName name="PRT_ALL_CONT" localSheetId="6">#REF!</definedName>
    <definedName name="PRT_ALL_CONT" localSheetId="2">#REF!</definedName>
    <definedName name="PRT_ALL_CONT">#REF!</definedName>
    <definedName name="PRT_ALL_CUR_10" localSheetId="5">#REF!</definedName>
    <definedName name="PRT_ALL_CUR_10" localSheetId="1">#REF!</definedName>
    <definedName name="PRT_ALL_CUR_10" localSheetId="0">#REF!</definedName>
    <definedName name="PRT_ALL_CUR_10" localSheetId="6">#REF!</definedName>
    <definedName name="PRT_ALL_CUR_10" localSheetId="2">#REF!</definedName>
    <definedName name="PRT_ALL_CUR_10">#REF!</definedName>
    <definedName name="PRT_ALL_CUR_15" localSheetId="5">#REF!</definedName>
    <definedName name="PRT_ALL_CUR_15" localSheetId="1">#REF!</definedName>
    <definedName name="PRT_ALL_CUR_15" localSheetId="0">#REF!</definedName>
    <definedName name="PRT_ALL_CUR_15" localSheetId="6">#REF!</definedName>
    <definedName name="PRT_ALL_CUR_15" localSheetId="2">#REF!</definedName>
    <definedName name="PRT_ALL_CUR_15">#REF!</definedName>
    <definedName name="PRT_ALL_H10" localSheetId="5">#REF!</definedName>
    <definedName name="PRT_ALL_H10" localSheetId="1">#REF!</definedName>
    <definedName name="PRT_ALL_H10" localSheetId="0">#REF!</definedName>
    <definedName name="PRT_ALL_H10" localSheetId="6">#REF!</definedName>
    <definedName name="PRT_ALL_H10" localSheetId="2">#REF!</definedName>
    <definedName name="PRT_ALL_H10">#REF!</definedName>
    <definedName name="PRT_ALL_ST_H10" localSheetId="5">#REF!</definedName>
    <definedName name="PRT_ALL_ST_H10" localSheetId="1">#REF!</definedName>
    <definedName name="PRT_ALL_ST_H10" localSheetId="0">#REF!</definedName>
    <definedName name="PRT_ALL_ST_H10" localSheetId="6">#REF!</definedName>
    <definedName name="PRT_ALL_ST_H10" localSheetId="2">#REF!</definedName>
    <definedName name="PRT_ALL_ST_H10">#REF!</definedName>
    <definedName name="PRT_ALL_STAT" localSheetId="5">#REF!</definedName>
    <definedName name="PRT_ALL_STAT" localSheetId="1">#REF!</definedName>
    <definedName name="PRT_ALL_STAT" localSheetId="0">#REF!</definedName>
    <definedName name="PRT_ALL_STAT" localSheetId="6">#REF!</definedName>
    <definedName name="PRT_ALL_STAT" localSheetId="2">#REF!</definedName>
    <definedName name="PRT_ALL_STAT">#REF!</definedName>
    <definedName name="PRT_ALL_STCR10" localSheetId="5">#REF!</definedName>
    <definedName name="PRT_ALL_STCR10" localSheetId="1">#REF!</definedName>
    <definedName name="PRT_ALL_STCR10" localSheetId="0">#REF!</definedName>
    <definedName name="PRT_ALL_STCR10" localSheetId="6">#REF!</definedName>
    <definedName name="PRT_ALL_STCR10" localSheetId="2">#REF!</definedName>
    <definedName name="PRT_ALL_STCR10">#REF!</definedName>
    <definedName name="PRT_ALL_STCR15" localSheetId="5">#REF!</definedName>
    <definedName name="PRT_ALL_STCR15" localSheetId="1">#REF!</definedName>
    <definedName name="PRT_ALL_STCR15" localSheetId="0">#REF!</definedName>
    <definedName name="PRT_ALL_STCR15" localSheetId="6">#REF!</definedName>
    <definedName name="PRT_ALL_STCR15" localSheetId="2">#REF!</definedName>
    <definedName name="PRT_ALL_STCR15">#REF!</definedName>
    <definedName name="PRT_ALL_STH10" localSheetId="5">#REF!</definedName>
    <definedName name="PRT_ALL_STH10" localSheetId="1">#REF!</definedName>
    <definedName name="PRT_ALL_STH10" localSheetId="0">#REF!</definedName>
    <definedName name="PRT_ALL_STH10" localSheetId="6">#REF!</definedName>
    <definedName name="PRT_ALL_STH10" localSheetId="2">#REF!</definedName>
    <definedName name="PRT_ALL_STH10">#REF!</definedName>
    <definedName name="PRT_ALLST_CONT" localSheetId="5">#REF!</definedName>
    <definedName name="PRT_ALLST_CONT" localSheetId="1">#REF!</definedName>
    <definedName name="PRT_ALLST_CONT" localSheetId="0">#REF!</definedName>
    <definedName name="PRT_ALLST_CONT" localSheetId="6">#REF!</definedName>
    <definedName name="PRT_ALLST_CONT" localSheetId="2">#REF!</definedName>
    <definedName name="PRT_ALLST_CONT">#REF!</definedName>
    <definedName name="PRT_ASSUME" localSheetId="5">#REF!</definedName>
    <definedName name="PRT_ASSUME" localSheetId="1">#REF!</definedName>
    <definedName name="PRT_ASSUME" localSheetId="0">#REF!</definedName>
    <definedName name="PRT_ASSUME" localSheetId="6">#REF!</definedName>
    <definedName name="PRT_ASSUME" localSheetId="2">#REF!</definedName>
    <definedName name="PRT_ASSUME">#REF!</definedName>
    <definedName name="PRT_BS" localSheetId="5">#REF!</definedName>
    <definedName name="PRT_BS" localSheetId="1">#REF!</definedName>
    <definedName name="PRT_BS" localSheetId="0">#REF!</definedName>
    <definedName name="PRT_BS" localSheetId="6">#REF!</definedName>
    <definedName name="PRT_BS" localSheetId="2">#REF!</definedName>
    <definedName name="PRT_BS">#REF!</definedName>
    <definedName name="PRT_BS_ASS_RNG" localSheetId="5">#REF!</definedName>
    <definedName name="PRT_BS_ASS_RNG" localSheetId="1">#REF!</definedName>
    <definedName name="PRT_BS_ASS_RNG" localSheetId="0">#REF!</definedName>
    <definedName name="PRT_BS_ASS_RNG" localSheetId="6">#REF!</definedName>
    <definedName name="PRT_BS_ASS_RNG" localSheetId="2">#REF!</definedName>
    <definedName name="PRT_BS_ASS_RNG">#REF!</definedName>
    <definedName name="PRT_BS_ASSETS" localSheetId="5">#REF!</definedName>
    <definedName name="PRT_BS_ASSETS" localSheetId="1">#REF!</definedName>
    <definedName name="PRT_BS_ASSETS" localSheetId="0">#REF!</definedName>
    <definedName name="PRT_BS_ASSETS" localSheetId="6">#REF!</definedName>
    <definedName name="PRT_BS_ASSETS" localSheetId="2">#REF!</definedName>
    <definedName name="PRT_BS_ASSETS">#REF!</definedName>
    <definedName name="PRT_BS_LIA_RNG" localSheetId="5">#REF!</definedName>
    <definedName name="PRT_BS_LIA_RNG" localSheetId="1">#REF!</definedName>
    <definedName name="PRT_BS_LIA_RNG" localSheetId="0">#REF!</definedName>
    <definedName name="PRT_BS_LIA_RNG" localSheetId="6">#REF!</definedName>
    <definedName name="PRT_BS_LIA_RNG" localSheetId="2">#REF!</definedName>
    <definedName name="PRT_BS_LIA_RNG">#REF!</definedName>
    <definedName name="PRT_BS_LIAB" localSheetId="5">#REF!</definedName>
    <definedName name="PRT_BS_LIAB" localSheetId="1">#REF!</definedName>
    <definedName name="PRT_BS_LIAB" localSheetId="0">#REF!</definedName>
    <definedName name="PRT_BS_LIAB" localSheetId="6">#REF!</definedName>
    <definedName name="PRT_BS_LIAB" localSheetId="2">#REF!</definedName>
    <definedName name="PRT_BS_LIAB">#REF!</definedName>
    <definedName name="PRT_CAP_EXP" localSheetId="5">#REF!</definedName>
    <definedName name="PRT_CAP_EXP" localSheetId="1">#REF!</definedName>
    <definedName name="PRT_CAP_EXP" localSheetId="0">#REF!</definedName>
    <definedName name="PRT_CAP_EXP" localSheetId="6">#REF!</definedName>
    <definedName name="PRT_CAP_EXP" localSheetId="2">#REF!</definedName>
    <definedName name="PRT_CAP_EXP">#REF!</definedName>
    <definedName name="PRT_DIR_LAB" localSheetId="5">#REF!</definedName>
    <definedName name="PRT_DIR_LAB" localSheetId="1">#REF!</definedName>
    <definedName name="PRT_DIR_LAB" localSheetId="0">#REF!</definedName>
    <definedName name="PRT_DIR_LAB" localSheetId="6">#REF!</definedName>
    <definedName name="PRT_DIR_LAB" localSheetId="2">#REF!</definedName>
    <definedName name="PRT_DIR_LAB">#REF!</definedName>
    <definedName name="PRT_FC_RNG" localSheetId="5">#REF!</definedName>
    <definedName name="PRT_FC_RNG" localSheetId="1">#REF!</definedName>
    <definedName name="PRT_FC_RNG" localSheetId="0">#REF!</definedName>
    <definedName name="PRT_FC_RNG" localSheetId="6">#REF!</definedName>
    <definedName name="PRT_FC_RNG" localSheetId="2">#REF!</definedName>
    <definedName name="PRT_FC_RNG">#REF!</definedName>
    <definedName name="PRT_FINANCE" localSheetId="5">#REF!</definedName>
    <definedName name="PRT_FINANCE" localSheetId="1">#REF!</definedName>
    <definedName name="PRT_FINANCE" localSheetId="0">#REF!</definedName>
    <definedName name="PRT_FINANCE" localSheetId="6">#REF!</definedName>
    <definedName name="PRT_FINANCE" localSheetId="2">#REF!</definedName>
    <definedName name="PRT_FINANCE">#REF!</definedName>
    <definedName name="PRT_FIXED" localSheetId="5">#REF!</definedName>
    <definedName name="PRT_FIXED" localSheetId="1">#REF!</definedName>
    <definedName name="PRT_FIXED" localSheetId="0">#REF!</definedName>
    <definedName name="PRT_FIXED" localSheetId="6">#REF!</definedName>
    <definedName name="PRT_FIXED" localSheetId="2">#REF!</definedName>
    <definedName name="PRT_FIXED">#REF!</definedName>
    <definedName name="PRT_FORECAST" localSheetId="5">#REF!</definedName>
    <definedName name="PRT_FORECAST" localSheetId="1">#REF!</definedName>
    <definedName name="PRT_FORECAST" localSheetId="0">#REF!</definedName>
    <definedName name="PRT_FORECAST" localSheetId="6">#REF!</definedName>
    <definedName name="PRT_FORECAST" localSheetId="2">#REF!</definedName>
    <definedName name="PRT_FORECAST">#REF!</definedName>
    <definedName name="PRT_INCOME" localSheetId="5">#REF!</definedName>
    <definedName name="PRT_INCOME" localSheetId="1">#REF!</definedName>
    <definedName name="PRT_INCOME" localSheetId="0">#REF!</definedName>
    <definedName name="PRT_INCOME" localSheetId="6">#REF!</definedName>
    <definedName name="PRT_INCOME" localSheetId="2">#REF!</definedName>
    <definedName name="PRT_INCOME">#REF!</definedName>
    <definedName name="PRT_INCOME_MG" localSheetId="5">#REF!</definedName>
    <definedName name="PRT_INCOME_MG" localSheetId="1">#REF!</definedName>
    <definedName name="PRT_INCOME_MG" localSheetId="0">#REF!</definedName>
    <definedName name="PRT_INCOME_MG" localSheetId="6">#REF!</definedName>
    <definedName name="PRT_INCOME_MG" localSheetId="2">#REF!</definedName>
    <definedName name="PRT_INCOME_MG">#REF!</definedName>
    <definedName name="PRT_INCOME_RNG" localSheetId="5">#REF!</definedName>
    <definedName name="PRT_INCOME_RNG" localSheetId="1">#REF!</definedName>
    <definedName name="PRT_INCOME_RNG" localSheetId="0">#REF!</definedName>
    <definedName name="PRT_INCOME_RNG" localSheetId="6">#REF!</definedName>
    <definedName name="PRT_INCOME_RNG" localSheetId="2">#REF!</definedName>
    <definedName name="PRT_INCOME_RNG">#REF!</definedName>
    <definedName name="PRT_INDIR_LAB" localSheetId="5">#REF!</definedName>
    <definedName name="PRT_INDIR_LAB" localSheetId="1">#REF!</definedName>
    <definedName name="PRT_INDIR_LAB" localSheetId="0">#REF!</definedName>
    <definedName name="PRT_INDIR_LAB" localSheetId="6">#REF!</definedName>
    <definedName name="PRT_INDIR_LAB" localSheetId="2">#REF!</definedName>
    <definedName name="PRT_INDIR_LAB">#REF!</definedName>
    <definedName name="PRT_INTANG" localSheetId="5">#REF!</definedName>
    <definedName name="PRT_INTANG" localSheetId="1">#REF!</definedName>
    <definedName name="PRT_INTANG" localSheetId="0">#REF!</definedName>
    <definedName name="PRT_INTANG" localSheetId="6">#REF!</definedName>
    <definedName name="PRT_INTANG" localSheetId="2">#REF!</definedName>
    <definedName name="PRT_INTANG">#REF!</definedName>
    <definedName name="PRT_IRR" localSheetId="5">#REF!</definedName>
    <definedName name="PRT_IRR" localSheetId="1">#REF!</definedName>
    <definedName name="PRT_IRR" localSheetId="0">#REF!</definedName>
    <definedName name="PRT_IRR" localSheetId="6">#REF!</definedName>
    <definedName name="PRT_IRR" localSheetId="2">#REF!</definedName>
    <definedName name="PRT_IRR">#REF!</definedName>
    <definedName name="PRT_IRR_STAT" localSheetId="5">#REF!</definedName>
    <definedName name="PRT_IRR_STAT" localSheetId="1">#REF!</definedName>
    <definedName name="PRT_IRR_STAT" localSheetId="0">#REF!</definedName>
    <definedName name="PRT_IRR_STAT" localSheetId="6">#REF!</definedName>
    <definedName name="PRT_IRR_STAT" localSheetId="2">#REF!</definedName>
    <definedName name="PRT_IRR_STAT">#REF!</definedName>
    <definedName name="PRT_LAB_CHOICE" localSheetId="5">#REF!</definedName>
    <definedName name="PRT_LAB_CHOICE" localSheetId="1">#REF!</definedName>
    <definedName name="PRT_LAB_CHOICE" localSheetId="0">#REF!</definedName>
    <definedName name="PRT_LAB_CHOICE" localSheetId="6">#REF!</definedName>
    <definedName name="PRT_LAB_CHOICE" localSheetId="2">#REF!</definedName>
    <definedName name="PRT_LAB_CHOICE">#REF!</definedName>
    <definedName name="PRT_OBS" localSheetId="5">#REF!</definedName>
    <definedName name="PRT_OBS" localSheetId="1">#REF!</definedName>
    <definedName name="PRT_OBS" localSheetId="0">#REF!</definedName>
    <definedName name="PRT_OBS" localSheetId="6">#REF!</definedName>
    <definedName name="PRT_OBS" localSheetId="2">#REF!</definedName>
    <definedName name="PRT_OBS">#REF!</definedName>
    <definedName name="PRT_PRODUCT" localSheetId="5">#REF!</definedName>
    <definedName name="PRT_PRODUCT" localSheetId="1">#REF!</definedName>
    <definedName name="PRT_PRODUCT" localSheetId="0">#REF!</definedName>
    <definedName name="PRT_PRODUCT" localSheetId="6">#REF!</definedName>
    <definedName name="PRT_PRODUCT" localSheetId="2">#REF!</definedName>
    <definedName name="PRT_PRODUCT">#REF!</definedName>
    <definedName name="PRT_RAW" localSheetId="5">#REF!</definedName>
    <definedName name="PRT_RAW" localSheetId="1">#REF!</definedName>
    <definedName name="PRT_RAW" localSheetId="0">#REF!</definedName>
    <definedName name="PRT_RAW" localSheetId="6">#REF!</definedName>
    <definedName name="PRT_RAW" localSheetId="2">#REF!</definedName>
    <definedName name="PRT_RAW">#REF!</definedName>
    <definedName name="PRT_RM" localSheetId="5">#REF!</definedName>
    <definedName name="PRT_RM" localSheetId="1">#REF!</definedName>
    <definedName name="PRT_RM" localSheetId="0">#REF!</definedName>
    <definedName name="PRT_RM" localSheetId="6">#REF!</definedName>
    <definedName name="PRT_RM" localSheetId="2">#REF!</definedName>
    <definedName name="PRT_RM">#REF!</definedName>
    <definedName name="PRT_SA_RNG" localSheetId="5">#REF!</definedName>
    <definedName name="PRT_SA_RNG" localSheetId="1">#REF!</definedName>
    <definedName name="PRT_SA_RNG" localSheetId="0">#REF!</definedName>
    <definedName name="PRT_SA_RNG" localSheetId="6">#REF!</definedName>
    <definedName name="PRT_SA_RNG" localSheetId="2">#REF!</definedName>
    <definedName name="PRT_SA_RNG">#REF!</definedName>
    <definedName name="PRT_SALES" localSheetId="5">#REF!</definedName>
    <definedName name="PRT_SALES" localSheetId="1">#REF!</definedName>
    <definedName name="PRT_SALES" localSheetId="0">#REF!</definedName>
    <definedName name="PRT_SALES" localSheetId="6">#REF!</definedName>
    <definedName name="PRT_SALES" localSheetId="2">#REF!</definedName>
    <definedName name="PRT_SALES">#REF!</definedName>
    <definedName name="PRT_SEL_ASSUME" localSheetId="5">#REF!</definedName>
    <definedName name="PRT_SEL_ASSUME" localSheetId="1">#REF!</definedName>
    <definedName name="PRT_SEL_ASSUME" localSheetId="0">#REF!</definedName>
    <definedName name="PRT_SEL_ASSUME" localSheetId="6">#REF!</definedName>
    <definedName name="PRT_SEL_ASSUME" localSheetId="2">#REF!</definedName>
    <definedName name="PRT_SEL_ASSUME">#REF!</definedName>
    <definedName name="PRT_SEL_ASSUME2" localSheetId="5">#REF!</definedName>
    <definedName name="PRT_SEL_ASSUME2" localSheetId="1">#REF!</definedName>
    <definedName name="PRT_SEL_ASSUME2" localSheetId="0">#REF!</definedName>
    <definedName name="PRT_SEL_ASSUME2" localSheetId="6">#REF!</definedName>
    <definedName name="PRT_SEL_ASSUME2" localSheetId="2">#REF!</definedName>
    <definedName name="PRT_SEL_ASSUME2">#REF!</definedName>
    <definedName name="PRT_SEL_ASSUME3" localSheetId="5">#REF!</definedName>
    <definedName name="PRT_SEL_ASSUME3" localSheetId="1">#REF!</definedName>
    <definedName name="PRT_SEL_ASSUME3" localSheetId="0">#REF!</definedName>
    <definedName name="PRT_SEL_ASSUME3" localSheetId="6">#REF!</definedName>
    <definedName name="PRT_SEL_ASSUME3" localSheetId="2">#REF!</definedName>
    <definedName name="PRT_SEL_ASSUME3">#REF!</definedName>
    <definedName name="PRT_SEL_STAT" localSheetId="5">#REF!</definedName>
    <definedName name="PRT_SEL_STAT" localSheetId="1">#REF!</definedName>
    <definedName name="PRT_SEL_STAT" localSheetId="0">#REF!</definedName>
    <definedName name="PRT_SEL_STAT" localSheetId="6">#REF!</definedName>
    <definedName name="PRT_SEL_STAT" localSheetId="2">#REF!</definedName>
    <definedName name="PRT_SEL_STAT">#REF!</definedName>
    <definedName name="PRT_SEL_STAT2" localSheetId="5">#REF!</definedName>
    <definedName name="PRT_SEL_STAT2" localSheetId="1">#REF!</definedName>
    <definedName name="PRT_SEL_STAT2" localSheetId="0">#REF!</definedName>
    <definedName name="PRT_SEL_STAT2" localSheetId="6">#REF!</definedName>
    <definedName name="PRT_SEL_STAT2" localSheetId="2">#REF!</definedName>
    <definedName name="PRT_SEL_STAT2">#REF!</definedName>
    <definedName name="PRT_SELLING" localSheetId="5">#REF!</definedName>
    <definedName name="PRT_SELLING" localSheetId="1">#REF!</definedName>
    <definedName name="PRT_SELLING" localSheetId="0">#REF!</definedName>
    <definedName name="PRT_SELLING" localSheetId="6">#REF!</definedName>
    <definedName name="PRT_SELLING" localSheetId="2">#REF!</definedName>
    <definedName name="PRT_SELLING">#REF!</definedName>
    <definedName name="PRT_SENS_ANAL" localSheetId="5">#REF!</definedName>
    <definedName name="PRT_SENS_ANAL" localSheetId="1">#REF!</definedName>
    <definedName name="PRT_SENS_ANAL" localSheetId="0">#REF!</definedName>
    <definedName name="PRT_SENS_ANAL" localSheetId="6">#REF!</definedName>
    <definedName name="PRT_SENS_ANAL" localSheetId="2">#REF!</definedName>
    <definedName name="PRT_SENS_ANAL">#REF!</definedName>
    <definedName name="PRT_SENS_ANAL_S" localSheetId="5">#REF!</definedName>
    <definedName name="PRT_SENS_ANAL_S" localSheetId="1">#REF!</definedName>
    <definedName name="PRT_SENS_ANAL_S" localSheetId="0">#REF!</definedName>
    <definedName name="PRT_SENS_ANAL_S" localSheetId="6">#REF!</definedName>
    <definedName name="PRT_SENS_ANAL_S" localSheetId="2">#REF!</definedName>
    <definedName name="PRT_SENS_ANAL_S">#REF!</definedName>
    <definedName name="PRT_STAT" localSheetId="5">#REF!</definedName>
    <definedName name="PRT_STAT" localSheetId="1">#REF!</definedName>
    <definedName name="PRT_STAT" localSheetId="0">#REF!</definedName>
    <definedName name="PRT_STAT" localSheetId="6">#REF!</definedName>
    <definedName name="PRT_STAT" localSheetId="2">#REF!</definedName>
    <definedName name="PRT_STAT">#REF!</definedName>
    <definedName name="PRT_TERMLOAN" localSheetId="5">#REF!</definedName>
    <definedName name="PRT_TERMLOAN" localSheetId="1">#REF!</definedName>
    <definedName name="PRT_TERMLOAN" localSheetId="0">#REF!</definedName>
    <definedName name="PRT_TERMLOAN" localSheetId="6">#REF!</definedName>
    <definedName name="PRT_TERMLOAN" localSheetId="2">#REF!</definedName>
    <definedName name="PRT_TERMLOAN">#REF!</definedName>
    <definedName name="PRT_UTIL" localSheetId="5">#REF!</definedName>
    <definedName name="PRT_UTIL" localSheetId="1">#REF!</definedName>
    <definedName name="PRT_UTIL" localSheetId="0">#REF!</definedName>
    <definedName name="PRT_UTIL" localSheetId="6">#REF!</definedName>
    <definedName name="PRT_UTIL" localSheetId="2">#REF!</definedName>
    <definedName name="PRT_UTIL">#REF!</definedName>
    <definedName name="PRTSENS_ANAL_S" localSheetId="5">#REF!</definedName>
    <definedName name="PRTSENS_ANAL_S" localSheetId="1">#REF!</definedName>
    <definedName name="PRTSENS_ANAL_S" localSheetId="0">#REF!</definedName>
    <definedName name="PRTSENS_ANAL_S" localSheetId="6">#REF!</definedName>
    <definedName name="PRTSENS_ANAL_S" localSheetId="2">#REF!</definedName>
    <definedName name="PRTSENS_ANAL_S">#REF!</definedName>
    <definedName name="RANGE_DATA" localSheetId="5">#REF!</definedName>
    <definedName name="RANGE_DATA" localSheetId="1">#REF!</definedName>
    <definedName name="RANGE_DATA" localSheetId="0">#REF!</definedName>
    <definedName name="RANGE_DATA" localSheetId="6">#REF!</definedName>
    <definedName name="RANGE_DATA" localSheetId="2">#REF!</definedName>
    <definedName name="RANGE_DATA">#REF!</definedName>
    <definedName name="RAWMAT" localSheetId="5">Assumptions!$A$91:$S$132</definedName>
    <definedName name="RAWMAT" localSheetId="6">Assumptions!$A$91:$S$132</definedName>
    <definedName name="RAWMAT">#REF!</definedName>
    <definedName name="SALES" localSheetId="5">Assumptions!$A$5:$S$42</definedName>
    <definedName name="SALES" localSheetId="6">Assumptions!$A$5:$S$42</definedName>
    <definedName name="SALES">#REF!</definedName>
    <definedName name="SELLING" localSheetId="5">Assumptions!$A$261:$N$268</definedName>
    <definedName name="SELLING" localSheetId="6">Assumptions!$A$261:$N$268</definedName>
    <definedName name="SELLING">#REF!</definedName>
    <definedName name="SENS_ANAL" localSheetId="5">Assumptions!$A$382:$I$399</definedName>
    <definedName name="SENS_ANAL" localSheetId="6">Assumptions!$A$382:$I$399</definedName>
    <definedName name="SENS_ANAL">#REF!</definedName>
    <definedName name="SENS_ANAL_STAT" localSheetId="6">'Financial Stat.'!$A$238:$G$280</definedName>
    <definedName name="SENS_ANAL_STAT">#REF!</definedName>
    <definedName name="SIGKEYS" localSheetId="5">#REF!</definedName>
    <definedName name="SIGKEYS" localSheetId="1">#REF!</definedName>
    <definedName name="SIGKEYS" localSheetId="0">#REF!</definedName>
    <definedName name="SIGKEYS" localSheetId="6">#REF!</definedName>
    <definedName name="SIGKEYS" localSheetId="2">#REF!</definedName>
    <definedName name="SIGKEYS">#REF!</definedName>
    <definedName name="SU" localSheetId="6">'Financial Stat.'!$A$162:$A$162</definedName>
    <definedName name="SU">#REF!</definedName>
    <definedName name="SY" localSheetId="6">'Financial Stat.'!$A$238:$A$238</definedName>
    <definedName name="SY">#REF!</definedName>
    <definedName name="T" localSheetId="5">Assumptions!$AB$406:$AB$406</definedName>
    <definedName name="T" localSheetId="6">Assumptions!$AB$406:$AB$406</definedName>
    <definedName name="T">#REF!</definedName>
    <definedName name="TARIQ" localSheetId="5">#REF!</definedName>
    <definedName name="TARIQ" localSheetId="1">#REF!</definedName>
    <definedName name="TARIQ" localSheetId="0">#REF!</definedName>
    <definedName name="TARIQ" localSheetId="6">#REF!</definedName>
    <definedName name="TARIQ" localSheetId="2">#REF!</definedName>
    <definedName name="TARIQ">#REF!</definedName>
    <definedName name="TERM_LOAN" localSheetId="5">Assumptions!$A$300:$E$318</definedName>
    <definedName name="TERM_LOAN" localSheetId="6">Assumptions!$A$300:$E$318</definedName>
    <definedName name="TERM_LOAN">#REF!</definedName>
    <definedName name="TRY" localSheetId="5">Assumptions!$AB$406:$AB$406</definedName>
    <definedName name="TRY" localSheetId="6">Assumptions!$AB$406:$AB$406</definedName>
    <definedName name="TRY">#REF!</definedName>
    <definedName name="Turki" localSheetId="7">'Attachment "A"'!$AC$2</definedName>
    <definedName name="Turki">#REF!</definedName>
    <definedName name="UTILITY" localSheetId="5">Assumptions!$A$196:$T$211</definedName>
    <definedName name="UTILITY" localSheetId="6">Assumptions!$A$196:$T$211</definedName>
    <definedName name="UTILITY">#REF!</definedName>
    <definedName name="VA" localSheetId="6">'Financial Stat.'!$B$281:$B$281</definedName>
    <definedName name="VA">#REF!</definedName>
    <definedName name="YEAR" localSheetId="5">#REF!</definedName>
    <definedName name="YEAR" localSheetId="1">#REF!</definedName>
    <definedName name="YEAR" localSheetId="0">#REF!</definedName>
    <definedName name="YEAR" localSheetId="6">#REF!</definedName>
    <definedName name="YEAR" localSheetId="2">#REF!</definedName>
    <definedName name="YEAR">#REF!</definedName>
    <definedName name="Yes" localSheetId="7">'Attachment "A"'!$AC$1:$AC$2</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0" i="9" l="1"/>
  <c r="O20" i="9"/>
  <c r="N20" i="9"/>
  <c r="M20" i="9"/>
  <c r="L20" i="9"/>
  <c r="K20" i="9"/>
  <c r="J20" i="9"/>
  <c r="I20" i="9"/>
  <c r="H20" i="9"/>
  <c r="G20" i="9"/>
  <c r="F20" i="9"/>
  <c r="E20" i="9"/>
  <c r="D20" i="9"/>
  <c r="C20" i="9"/>
  <c r="B20" i="9"/>
  <c r="P19" i="9"/>
  <c r="O19" i="9"/>
  <c r="N19" i="9"/>
  <c r="M19" i="9"/>
  <c r="L19" i="9"/>
  <c r="K19" i="9"/>
  <c r="J19" i="9"/>
  <c r="I19" i="9"/>
  <c r="H19" i="9"/>
  <c r="G19" i="9"/>
  <c r="F19" i="9"/>
  <c r="E19" i="9"/>
  <c r="D19" i="9"/>
  <c r="C19" i="9"/>
  <c r="B19" i="9"/>
  <c r="P18" i="9"/>
  <c r="O18" i="9"/>
  <c r="N18" i="9"/>
  <c r="M18" i="9"/>
  <c r="L18" i="9"/>
  <c r="K18" i="9"/>
  <c r="J18" i="9"/>
  <c r="I18" i="9"/>
  <c r="H18" i="9"/>
  <c r="G18" i="9"/>
  <c r="F18" i="9"/>
  <c r="E18" i="9"/>
  <c r="D18" i="9"/>
  <c r="C18" i="9"/>
  <c r="B18" i="9"/>
  <c r="P17" i="9"/>
  <c r="O17" i="9"/>
  <c r="N17" i="9"/>
  <c r="M17" i="9"/>
  <c r="L17" i="9"/>
  <c r="K17" i="9"/>
  <c r="J17" i="9"/>
  <c r="I17" i="9"/>
  <c r="F22" i="9" s="1"/>
  <c r="H17" i="9"/>
  <c r="G17" i="9"/>
  <c r="F17" i="9"/>
  <c r="E17" i="9"/>
  <c r="D17" i="9"/>
  <c r="C17" i="9"/>
  <c r="B17" i="9"/>
  <c r="P16" i="9"/>
  <c r="O16" i="9"/>
  <c r="N16" i="9"/>
  <c r="M16" i="9"/>
  <c r="L16" i="9"/>
  <c r="K16" i="9"/>
  <c r="J16" i="9"/>
  <c r="I16" i="9"/>
  <c r="H16" i="9"/>
  <c r="G16" i="9"/>
  <c r="F16" i="9"/>
  <c r="E16" i="9"/>
  <c r="D16" i="9"/>
  <c r="C16" i="9"/>
  <c r="B16" i="9"/>
  <c r="P15" i="9"/>
  <c r="O15" i="9"/>
  <c r="N15" i="9"/>
  <c r="M15" i="9"/>
  <c r="L15" i="9"/>
  <c r="K15" i="9"/>
  <c r="J15" i="9"/>
  <c r="I15" i="9"/>
  <c r="H15" i="9"/>
  <c r="G15" i="9"/>
  <c r="F15" i="9"/>
  <c r="E15" i="9"/>
  <c r="D15" i="9"/>
  <c r="C15" i="9"/>
  <c r="B15" i="9"/>
  <c r="P13" i="9"/>
  <c r="O13" i="9"/>
  <c r="N13" i="9"/>
  <c r="M13" i="9"/>
  <c r="L13" i="9"/>
  <c r="K13" i="9"/>
  <c r="J13" i="9"/>
  <c r="I13" i="9"/>
  <c r="H13" i="9"/>
  <c r="G13" i="9"/>
  <c r="F13" i="9"/>
  <c r="E13" i="9"/>
  <c r="D13" i="9"/>
  <c r="C13" i="9"/>
  <c r="B13" i="9"/>
  <c r="P12" i="9"/>
  <c r="O12" i="9"/>
  <c r="N12" i="9"/>
  <c r="M12" i="9"/>
  <c r="L12" i="9"/>
  <c r="K12" i="9"/>
  <c r="J12" i="9"/>
  <c r="I12" i="9"/>
  <c r="H12" i="9"/>
  <c r="G12" i="9"/>
  <c r="F12" i="9"/>
  <c r="E12" i="9"/>
  <c r="D12" i="9"/>
  <c r="C12" i="9"/>
  <c r="B12" i="9"/>
  <c r="P11" i="9"/>
  <c r="O11" i="9"/>
  <c r="N11" i="9"/>
  <c r="M11" i="9"/>
  <c r="L11" i="9"/>
  <c r="K11" i="9"/>
  <c r="J11" i="9"/>
  <c r="I11" i="9"/>
  <c r="H11" i="9"/>
  <c r="G11" i="9"/>
  <c r="F11" i="9"/>
  <c r="E11" i="9"/>
  <c r="D11" i="9"/>
  <c r="C11" i="9"/>
  <c r="B11" i="9"/>
  <c r="P10" i="9"/>
  <c r="O10" i="9"/>
  <c r="N10" i="9"/>
  <c r="M10" i="9"/>
  <c r="L10" i="9"/>
  <c r="K10" i="9"/>
  <c r="J10" i="9"/>
  <c r="I10" i="9"/>
  <c r="H10" i="9"/>
  <c r="G10" i="9"/>
  <c r="F10" i="9"/>
  <c r="E10" i="9"/>
  <c r="D10" i="9"/>
  <c r="C10" i="9"/>
  <c r="B10" i="9"/>
  <c r="P9" i="9"/>
  <c r="O9" i="9"/>
  <c r="N9" i="9"/>
  <c r="M9" i="9"/>
  <c r="L9" i="9"/>
  <c r="K9" i="9"/>
  <c r="J9" i="9"/>
  <c r="I9" i="9"/>
  <c r="H9" i="9"/>
  <c r="G9" i="9"/>
  <c r="F9" i="9"/>
  <c r="E9" i="9"/>
  <c r="D9" i="9"/>
  <c r="C9" i="9"/>
  <c r="B9" i="9"/>
  <c r="P8" i="9"/>
  <c r="O8" i="9"/>
  <c r="N8" i="9"/>
  <c r="M8" i="9"/>
  <c r="L8" i="9"/>
  <c r="K8" i="9"/>
  <c r="J8" i="9"/>
  <c r="I8" i="9"/>
  <c r="H8" i="9"/>
  <c r="G8" i="9"/>
  <c r="F8" i="9"/>
  <c r="E8" i="9"/>
  <c r="D8" i="9"/>
  <c r="C8" i="9"/>
  <c r="B8" i="9"/>
  <c r="P7" i="9"/>
  <c r="O7" i="9"/>
  <c r="N7" i="9"/>
  <c r="M7" i="9"/>
  <c r="L7" i="9"/>
  <c r="K7" i="9"/>
  <c r="J7" i="9"/>
  <c r="I7" i="9"/>
  <c r="H7" i="9"/>
  <c r="G7" i="9"/>
  <c r="F7" i="9"/>
  <c r="E7" i="9"/>
  <c r="D7" i="9"/>
  <c r="C7" i="9"/>
  <c r="B7" i="9"/>
  <c r="P6" i="9"/>
  <c r="O6" i="9"/>
  <c r="N6" i="9"/>
  <c r="M6" i="9"/>
  <c r="L6" i="9"/>
  <c r="K6" i="9"/>
  <c r="J6" i="9"/>
  <c r="I6" i="9"/>
  <c r="H6" i="9"/>
  <c r="G6" i="9"/>
  <c r="F6" i="9"/>
  <c r="E6" i="9"/>
  <c r="D6" i="9"/>
  <c r="C6" i="9"/>
  <c r="B6" i="9"/>
  <c r="N5" i="9"/>
  <c r="K5" i="9"/>
  <c r="F5" i="9"/>
  <c r="C5" i="9"/>
  <c r="P4" i="9"/>
  <c r="O4" i="9"/>
  <c r="N4" i="9"/>
  <c r="M4" i="9"/>
  <c r="L4" i="9"/>
  <c r="K4" i="9"/>
  <c r="J4" i="9"/>
  <c r="I4" i="9"/>
  <c r="H4" i="9"/>
  <c r="G4" i="9"/>
  <c r="F4" i="9"/>
  <c r="E4" i="9"/>
  <c r="D4" i="9"/>
  <c r="C4" i="9"/>
  <c r="B4" i="9"/>
  <c r="B5" i="9" s="1"/>
  <c r="P3" i="9"/>
  <c r="P5" i="9" s="1"/>
  <c r="O3" i="9"/>
  <c r="O5" i="9" s="1"/>
  <c r="N3" i="9"/>
  <c r="M3" i="9"/>
  <c r="M5" i="9" s="1"/>
  <c r="L3" i="9"/>
  <c r="L5" i="9" s="1"/>
  <c r="K3" i="9"/>
  <c r="J3" i="9"/>
  <c r="J5" i="9" s="1"/>
  <c r="I3" i="9"/>
  <c r="I5" i="9" s="1"/>
  <c r="H3" i="9"/>
  <c r="H5" i="9" s="1"/>
  <c r="G3" i="9"/>
  <c r="G5" i="9" s="1"/>
  <c r="F3" i="9"/>
  <c r="E3" i="9"/>
  <c r="E5" i="9" s="1"/>
  <c r="D3" i="9"/>
  <c r="D5" i="9" s="1"/>
  <c r="C3" i="9"/>
  <c r="B3" i="9"/>
  <c r="P2" i="9"/>
  <c r="O2" i="9"/>
  <c r="N2" i="9"/>
  <c r="M2" i="9"/>
  <c r="L2" i="9"/>
  <c r="K2" i="9"/>
  <c r="J2" i="9"/>
  <c r="I2" i="9"/>
  <c r="H2" i="9"/>
  <c r="G2" i="9"/>
  <c r="F2" i="9"/>
  <c r="E2" i="9"/>
  <c r="D2" i="9"/>
  <c r="C2" i="9"/>
  <c r="B2" i="9"/>
  <c r="C19" i="10"/>
  <c r="C18" i="10"/>
  <c r="C17" i="10"/>
  <c r="C16" i="10"/>
  <c r="C15" i="10"/>
  <c r="C14" i="10"/>
  <c r="C13" i="10"/>
  <c r="C4" i="21"/>
  <c r="B4" i="21"/>
  <c r="A4" i="21"/>
  <c r="C3" i="21"/>
  <c r="B3" i="21"/>
  <c r="A3" i="21"/>
  <c r="C2" i="21"/>
  <c r="B2" i="21"/>
  <c r="A2" i="21"/>
  <c r="C1" i="21"/>
  <c r="B1" i="21"/>
  <c r="A1" i="21"/>
  <c r="D11" i="20"/>
  <c r="C11" i="20"/>
  <c r="B11" i="20"/>
  <c r="A11" i="20"/>
  <c r="D10" i="20"/>
  <c r="C10" i="20"/>
  <c r="B10" i="20"/>
  <c r="A10" i="20"/>
  <c r="D9" i="20"/>
  <c r="C9" i="20"/>
  <c r="B9" i="20"/>
  <c r="A9" i="20"/>
  <c r="D8" i="20"/>
  <c r="C8" i="20"/>
  <c r="B8" i="20"/>
  <c r="A8" i="20"/>
  <c r="D7" i="20"/>
  <c r="C7" i="20"/>
  <c r="B7" i="20"/>
  <c r="A7" i="20"/>
  <c r="D6" i="20"/>
  <c r="C6" i="20"/>
  <c r="B6" i="20"/>
  <c r="A6" i="20"/>
  <c r="D5" i="20"/>
  <c r="C5" i="20"/>
  <c r="B5" i="20"/>
  <c r="A5" i="20"/>
  <c r="D4" i="20"/>
  <c r="C4" i="20"/>
  <c r="B4" i="20"/>
  <c r="A4" i="20"/>
  <c r="D3" i="20"/>
  <c r="C3" i="20"/>
  <c r="B3" i="20"/>
  <c r="A3" i="20"/>
  <c r="D2" i="20"/>
  <c r="C2" i="20"/>
  <c r="B2" i="20"/>
  <c r="A2" i="20"/>
  <c r="D1" i="20"/>
  <c r="C1" i="20"/>
  <c r="B1" i="20"/>
  <c r="A1" i="20"/>
  <c r="C8" i="22"/>
  <c r="B8" i="22"/>
  <c r="A8" i="22"/>
  <c r="C7" i="22"/>
  <c r="B7" i="22"/>
  <c r="A7" i="22"/>
  <c r="C6" i="22"/>
  <c r="B6" i="22"/>
  <c r="A6" i="22"/>
  <c r="C5" i="22"/>
  <c r="B5" i="22"/>
  <c r="A5" i="22"/>
  <c r="C4" i="22"/>
  <c r="B4" i="22"/>
  <c r="A4" i="22"/>
  <c r="C3" i="22"/>
  <c r="B3" i="22"/>
  <c r="A3" i="22"/>
  <c r="F2" i="22"/>
  <c r="C2" i="22"/>
  <c r="B2" i="22"/>
  <c r="A2" i="22"/>
  <c r="F1" i="22"/>
  <c r="C1" i="22"/>
  <c r="B1" i="22"/>
  <c r="A1" i="22"/>
  <c r="Q26" i="14"/>
  <c r="P26" i="14"/>
  <c r="O26" i="14"/>
  <c r="N26" i="14"/>
  <c r="M26" i="14"/>
  <c r="L26" i="14"/>
  <c r="K26" i="14"/>
  <c r="J26" i="14"/>
  <c r="I26" i="14"/>
  <c r="H26" i="14"/>
  <c r="G26" i="14"/>
  <c r="F26" i="14"/>
  <c r="E26" i="14"/>
  <c r="D26" i="14"/>
  <c r="C26" i="14"/>
  <c r="B26" i="14"/>
  <c r="A26" i="14"/>
  <c r="Q25" i="14"/>
  <c r="P25" i="14"/>
  <c r="O25" i="14"/>
  <c r="N25" i="14"/>
  <c r="M25" i="14"/>
  <c r="L25" i="14"/>
  <c r="K25" i="14"/>
  <c r="J25" i="14"/>
  <c r="I25" i="14"/>
  <c r="H25" i="14"/>
  <c r="G25" i="14"/>
  <c r="F25" i="14"/>
  <c r="E25" i="14"/>
  <c r="D25" i="14"/>
  <c r="C25" i="14"/>
  <c r="B25" i="14"/>
  <c r="A25" i="14"/>
  <c r="Q24" i="14"/>
  <c r="P24" i="14"/>
  <c r="O24" i="14"/>
  <c r="N24" i="14"/>
  <c r="M24" i="14"/>
  <c r="L24" i="14"/>
  <c r="K24" i="14"/>
  <c r="J24" i="14"/>
  <c r="I24" i="14"/>
  <c r="H24" i="14"/>
  <c r="G24" i="14"/>
  <c r="F24" i="14"/>
  <c r="E24" i="14"/>
  <c r="D24" i="14"/>
  <c r="C24" i="14"/>
  <c r="B24" i="14"/>
  <c r="A24" i="14"/>
  <c r="Q23" i="14"/>
  <c r="P23" i="14"/>
  <c r="O23" i="14"/>
  <c r="N23" i="14"/>
  <c r="M23" i="14"/>
  <c r="L23" i="14"/>
  <c r="K23" i="14"/>
  <c r="J23" i="14"/>
  <c r="I23" i="14"/>
  <c r="H23" i="14"/>
  <c r="G23" i="14"/>
  <c r="F23" i="14"/>
  <c r="E23" i="14"/>
  <c r="D23" i="14"/>
  <c r="C23" i="14"/>
  <c r="B23" i="14"/>
  <c r="A23" i="14"/>
  <c r="Q22" i="14"/>
  <c r="P22" i="14"/>
  <c r="O22" i="14"/>
  <c r="N22" i="14"/>
  <c r="M22" i="14"/>
  <c r="L22" i="14"/>
  <c r="K22" i="14"/>
  <c r="J22" i="14"/>
  <c r="I22" i="14"/>
  <c r="H22" i="14"/>
  <c r="G22" i="14"/>
  <c r="F22" i="14"/>
  <c r="E22" i="14"/>
  <c r="D22" i="14"/>
  <c r="C22" i="14"/>
  <c r="B22" i="14"/>
  <c r="A22" i="14"/>
  <c r="Q21" i="14"/>
  <c r="P21" i="14"/>
  <c r="O21" i="14"/>
  <c r="N21" i="14"/>
  <c r="M21" i="14"/>
  <c r="L21" i="14"/>
  <c r="K21" i="14"/>
  <c r="J21" i="14"/>
  <c r="I21" i="14"/>
  <c r="H21" i="14"/>
  <c r="G21" i="14"/>
  <c r="F21" i="14"/>
  <c r="E21" i="14"/>
  <c r="D21" i="14"/>
  <c r="C21" i="14"/>
  <c r="B21" i="14"/>
  <c r="A21" i="14"/>
  <c r="Q20" i="14"/>
  <c r="P20" i="14"/>
  <c r="O20" i="14"/>
  <c r="N20" i="14"/>
  <c r="M20" i="14"/>
  <c r="L20" i="14"/>
  <c r="K20" i="14"/>
  <c r="J20" i="14"/>
  <c r="I20" i="14"/>
  <c r="H20" i="14"/>
  <c r="G20" i="14"/>
  <c r="F20" i="14"/>
  <c r="E20" i="14"/>
  <c r="D20" i="14"/>
  <c r="C20" i="14"/>
  <c r="B20" i="14"/>
  <c r="A20" i="14"/>
  <c r="Q19" i="14"/>
  <c r="P19" i="14"/>
  <c r="O19" i="14"/>
  <c r="N19" i="14"/>
  <c r="M19" i="14"/>
  <c r="L19" i="14"/>
  <c r="K19" i="14"/>
  <c r="J19" i="14"/>
  <c r="I19" i="14"/>
  <c r="H19" i="14"/>
  <c r="G19" i="14"/>
  <c r="F19" i="14"/>
  <c r="E19" i="14"/>
  <c r="D19" i="14"/>
  <c r="C19" i="14"/>
  <c r="B19" i="14"/>
  <c r="A19" i="14"/>
  <c r="Q18" i="14"/>
  <c r="P18" i="14"/>
  <c r="O18" i="14"/>
  <c r="N18" i="14"/>
  <c r="M18" i="14"/>
  <c r="L18" i="14"/>
  <c r="K18" i="14"/>
  <c r="J18" i="14"/>
  <c r="I18" i="14"/>
  <c r="H18" i="14"/>
  <c r="G18" i="14"/>
  <c r="F18" i="14"/>
  <c r="E18" i="14"/>
  <c r="D18" i="14"/>
  <c r="C18" i="14"/>
  <c r="B18" i="14"/>
  <c r="A18" i="14"/>
  <c r="Q17" i="14"/>
  <c r="P17" i="14"/>
  <c r="O17" i="14"/>
  <c r="N17" i="14"/>
  <c r="M17" i="14"/>
  <c r="L17" i="14"/>
  <c r="K17" i="14"/>
  <c r="J17" i="14"/>
  <c r="I17" i="14"/>
  <c r="H17" i="14"/>
  <c r="G17" i="14"/>
  <c r="F17" i="14"/>
  <c r="E17" i="14"/>
  <c r="D17" i="14"/>
  <c r="C17" i="14"/>
  <c r="B17" i="14"/>
  <c r="A17" i="14"/>
  <c r="Q16" i="14"/>
  <c r="P16" i="14"/>
  <c r="O16" i="14"/>
  <c r="N16" i="14"/>
  <c r="M16" i="14"/>
  <c r="L16" i="14"/>
  <c r="K16" i="14"/>
  <c r="J16" i="14"/>
  <c r="I16" i="14"/>
  <c r="H16" i="14"/>
  <c r="G16" i="14"/>
  <c r="F16" i="14"/>
  <c r="E16" i="14"/>
  <c r="D16" i="14"/>
  <c r="C16" i="14"/>
  <c r="B16" i="14"/>
  <c r="A16" i="14"/>
  <c r="Q15" i="14"/>
  <c r="P15" i="14"/>
  <c r="O15" i="14"/>
  <c r="N15" i="14"/>
  <c r="M15" i="14"/>
  <c r="L15" i="14"/>
  <c r="K15" i="14"/>
  <c r="J15" i="14"/>
  <c r="I15" i="14"/>
  <c r="H15" i="14"/>
  <c r="G15" i="14"/>
  <c r="F15" i="14"/>
  <c r="E15" i="14"/>
  <c r="D15" i="14"/>
  <c r="C15" i="14"/>
  <c r="B15" i="14"/>
  <c r="A15" i="14"/>
  <c r="Q14" i="14"/>
  <c r="P14" i="14"/>
  <c r="O14" i="14"/>
  <c r="N14" i="14"/>
  <c r="M14" i="14"/>
  <c r="L14" i="14"/>
  <c r="K14" i="14"/>
  <c r="J14" i="14"/>
  <c r="I14" i="14"/>
  <c r="H14" i="14"/>
  <c r="G14" i="14"/>
  <c r="F14" i="14"/>
  <c r="E14" i="14"/>
  <c r="D14" i="14"/>
  <c r="C14" i="14"/>
  <c r="B14" i="14"/>
  <c r="A14" i="14"/>
  <c r="Q13" i="14"/>
  <c r="P13" i="14"/>
  <c r="O13" i="14"/>
  <c r="N13" i="14"/>
  <c r="M13" i="14"/>
  <c r="L13" i="14"/>
  <c r="K13" i="14"/>
  <c r="J13" i="14"/>
  <c r="I13" i="14"/>
  <c r="H13" i="14"/>
  <c r="G13" i="14"/>
  <c r="F13" i="14"/>
  <c r="E13" i="14"/>
  <c r="D13" i="14"/>
  <c r="C13" i="14"/>
  <c r="B13" i="14"/>
  <c r="A13" i="14"/>
  <c r="Q12" i="14"/>
  <c r="P12" i="14"/>
  <c r="O12" i="14"/>
  <c r="N12" i="14"/>
  <c r="M12" i="14"/>
  <c r="L12" i="14"/>
  <c r="K12" i="14"/>
  <c r="J12" i="14"/>
  <c r="I12" i="14"/>
  <c r="H12" i="14"/>
  <c r="G12" i="14"/>
  <c r="F12" i="14"/>
  <c r="E12" i="14"/>
  <c r="D12" i="14"/>
  <c r="C12" i="14"/>
  <c r="B12" i="14"/>
  <c r="A12" i="14"/>
  <c r="Q11" i="14"/>
  <c r="P11" i="14"/>
  <c r="O11" i="14"/>
  <c r="N11" i="14"/>
  <c r="M11" i="14"/>
  <c r="L11" i="14"/>
  <c r="K11" i="14"/>
  <c r="J11" i="14"/>
  <c r="I11" i="14"/>
  <c r="H11" i="14"/>
  <c r="G11" i="14"/>
  <c r="F11" i="14"/>
  <c r="E11" i="14"/>
  <c r="D11" i="14"/>
  <c r="C11" i="14"/>
  <c r="B11" i="14"/>
  <c r="A11" i="14"/>
  <c r="Q10" i="14"/>
  <c r="P10" i="14"/>
  <c r="O10" i="14"/>
  <c r="N10" i="14"/>
  <c r="M10" i="14"/>
  <c r="L10" i="14"/>
  <c r="K10" i="14"/>
  <c r="J10" i="14"/>
  <c r="I10" i="14"/>
  <c r="H10" i="14"/>
  <c r="G10" i="14"/>
  <c r="F10" i="14"/>
  <c r="E10" i="14"/>
  <c r="D10" i="14"/>
  <c r="C10" i="14"/>
  <c r="B10" i="14"/>
  <c r="A10" i="14"/>
  <c r="Q9" i="14"/>
  <c r="P9" i="14"/>
  <c r="O9" i="14"/>
  <c r="N9" i="14"/>
  <c r="M9" i="14"/>
  <c r="L9" i="14"/>
  <c r="K9" i="14"/>
  <c r="J9" i="14"/>
  <c r="I9" i="14"/>
  <c r="H9" i="14"/>
  <c r="G9" i="14"/>
  <c r="F9" i="14"/>
  <c r="E9" i="14"/>
  <c r="D9" i="14"/>
  <c r="C9" i="14"/>
  <c r="B9" i="14"/>
  <c r="A9" i="14"/>
  <c r="Q8" i="14"/>
  <c r="P8" i="14"/>
  <c r="O8" i="14"/>
  <c r="N8" i="14"/>
  <c r="M8" i="14"/>
  <c r="L8" i="14"/>
  <c r="K8" i="14"/>
  <c r="J8" i="14"/>
  <c r="I8" i="14"/>
  <c r="H8" i="14"/>
  <c r="G8" i="14"/>
  <c r="F8" i="14"/>
  <c r="E8" i="14"/>
  <c r="D8" i="14"/>
  <c r="C8" i="14"/>
  <c r="B8" i="14"/>
  <c r="A8" i="14"/>
  <c r="Q7" i="14"/>
  <c r="P7" i="14"/>
  <c r="O7" i="14"/>
  <c r="N7" i="14"/>
  <c r="M7" i="14"/>
  <c r="L7" i="14"/>
  <c r="K7" i="14"/>
  <c r="J7" i="14"/>
  <c r="I7" i="14"/>
  <c r="H7" i="14"/>
  <c r="G7" i="14"/>
  <c r="F7" i="14"/>
  <c r="E7" i="14"/>
  <c r="D7" i="14"/>
  <c r="C7" i="14"/>
  <c r="B7" i="14"/>
  <c r="A7" i="14"/>
  <c r="Q6" i="14"/>
  <c r="P6" i="14"/>
  <c r="O6" i="14"/>
  <c r="N6" i="14"/>
  <c r="M6" i="14"/>
  <c r="L6" i="14"/>
  <c r="K6" i="14"/>
  <c r="J6" i="14"/>
  <c r="I6" i="14"/>
  <c r="H6" i="14"/>
  <c r="G6" i="14"/>
  <c r="F6" i="14"/>
  <c r="E6" i="14"/>
  <c r="D6" i="14"/>
  <c r="C6" i="14"/>
  <c r="B6" i="14"/>
  <c r="A6" i="14"/>
  <c r="Q5" i="14"/>
  <c r="P5" i="14"/>
  <c r="O5" i="14"/>
  <c r="N5" i="14"/>
  <c r="M5" i="14"/>
  <c r="L5" i="14"/>
  <c r="K5" i="14"/>
  <c r="J5" i="14"/>
  <c r="I5" i="14"/>
  <c r="H5" i="14"/>
  <c r="G5" i="14"/>
  <c r="F5" i="14"/>
  <c r="E5" i="14"/>
  <c r="D5" i="14"/>
  <c r="C5" i="14"/>
  <c r="B5" i="14"/>
  <c r="A5" i="14"/>
  <c r="Q4" i="14"/>
  <c r="P4" i="14"/>
  <c r="O4" i="14"/>
  <c r="N4" i="14"/>
  <c r="M4" i="14"/>
  <c r="L4" i="14"/>
  <c r="K4" i="14"/>
  <c r="J4" i="14"/>
  <c r="I4" i="14"/>
  <c r="H4" i="14"/>
  <c r="G4" i="14"/>
  <c r="F4" i="14"/>
  <c r="E4" i="14"/>
  <c r="D4" i="14"/>
  <c r="C4" i="14"/>
  <c r="B4" i="14"/>
  <c r="A4" i="14"/>
  <c r="Q3" i="14"/>
  <c r="P3" i="14"/>
  <c r="O3" i="14"/>
  <c r="N3" i="14"/>
  <c r="M3" i="14"/>
  <c r="L3" i="14"/>
  <c r="K3" i="14"/>
  <c r="J3" i="14"/>
  <c r="I3" i="14"/>
  <c r="H3" i="14"/>
  <c r="G3" i="14"/>
  <c r="F3" i="14"/>
  <c r="E3" i="14"/>
  <c r="D3" i="14"/>
  <c r="C3" i="14"/>
  <c r="B3" i="14"/>
  <c r="A3" i="14"/>
  <c r="Q2" i="14"/>
  <c r="P2" i="14"/>
  <c r="O2" i="14"/>
  <c r="N2" i="14"/>
  <c r="M2" i="14"/>
  <c r="L2" i="14"/>
  <c r="K2" i="14"/>
  <c r="J2" i="14"/>
  <c r="I2" i="14"/>
  <c r="H2" i="14"/>
  <c r="G2" i="14"/>
  <c r="F2" i="14"/>
  <c r="E2" i="14"/>
  <c r="D2" i="14"/>
  <c r="C2" i="14"/>
  <c r="B2" i="14"/>
  <c r="A2" i="14"/>
  <c r="Q1" i="14"/>
  <c r="P1" i="14"/>
  <c r="O1" i="14"/>
  <c r="N1" i="14"/>
  <c r="M1" i="14"/>
  <c r="L1" i="14"/>
  <c r="K1" i="14"/>
  <c r="J1" i="14"/>
  <c r="I1" i="14"/>
  <c r="H1" i="14"/>
  <c r="G1" i="14"/>
  <c r="F1" i="14"/>
  <c r="E1" i="14"/>
  <c r="D1" i="14"/>
  <c r="C1" i="14"/>
  <c r="B1" i="14"/>
  <c r="A1" i="14"/>
  <c r="C2" i="18"/>
  <c r="B2" i="18"/>
  <c r="A2" i="18"/>
  <c r="C1" i="18"/>
  <c r="B1" i="18"/>
  <c r="A1" i="18"/>
  <c r="C2" i="17"/>
  <c r="B2" i="17"/>
  <c r="A2" i="17"/>
  <c r="C1" i="17"/>
  <c r="B1" i="17"/>
  <c r="A1" i="17"/>
  <c r="Q13" i="16"/>
  <c r="P13" i="16"/>
  <c r="O13" i="16"/>
  <c r="N13" i="16"/>
  <c r="M13" i="16"/>
  <c r="L13" i="16"/>
  <c r="K13" i="16"/>
  <c r="J13" i="16"/>
  <c r="I13" i="16"/>
  <c r="H13" i="16"/>
  <c r="G13" i="16"/>
  <c r="F13" i="16"/>
  <c r="E13" i="16"/>
  <c r="D13" i="16"/>
  <c r="C13" i="16"/>
  <c r="B13" i="16"/>
  <c r="A13" i="16"/>
  <c r="Q12" i="16"/>
  <c r="P12" i="16"/>
  <c r="O12" i="16"/>
  <c r="N12" i="16"/>
  <c r="M12" i="16"/>
  <c r="L12" i="16"/>
  <c r="K12" i="16"/>
  <c r="J12" i="16"/>
  <c r="I12" i="16"/>
  <c r="H12" i="16"/>
  <c r="G12" i="16"/>
  <c r="F12" i="16"/>
  <c r="E12" i="16"/>
  <c r="D12" i="16"/>
  <c r="C12" i="16"/>
  <c r="B12" i="16"/>
  <c r="A12" i="16"/>
  <c r="Q11" i="16"/>
  <c r="P11" i="16"/>
  <c r="O11" i="16"/>
  <c r="N11" i="16"/>
  <c r="M11" i="16"/>
  <c r="L11" i="16"/>
  <c r="K11" i="16"/>
  <c r="J11" i="16"/>
  <c r="I11" i="16"/>
  <c r="H11" i="16"/>
  <c r="G11" i="16"/>
  <c r="F11" i="16"/>
  <c r="E11" i="16"/>
  <c r="D11" i="16"/>
  <c r="C11" i="16"/>
  <c r="B11" i="16"/>
  <c r="A11" i="16"/>
  <c r="Q10" i="16"/>
  <c r="P10" i="16"/>
  <c r="O10" i="16"/>
  <c r="N10" i="16"/>
  <c r="M10" i="16"/>
  <c r="L10" i="16"/>
  <c r="K10" i="16"/>
  <c r="J10" i="16"/>
  <c r="I10" i="16"/>
  <c r="H10" i="16"/>
  <c r="G10" i="16"/>
  <c r="F10" i="16"/>
  <c r="E10" i="16"/>
  <c r="D10" i="16"/>
  <c r="C10" i="16"/>
  <c r="B10" i="16"/>
  <c r="A10" i="16"/>
  <c r="Q9" i="16"/>
  <c r="P9" i="16"/>
  <c r="O9" i="16"/>
  <c r="N9" i="16"/>
  <c r="M9" i="16"/>
  <c r="L9" i="16"/>
  <c r="K9" i="16"/>
  <c r="J9" i="16"/>
  <c r="I9" i="16"/>
  <c r="H9" i="16"/>
  <c r="G9" i="16"/>
  <c r="F9" i="16"/>
  <c r="E9" i="16"/>
  <c r="D9" i="16"/>
  <c r="C9" i="16"/>
  <c r="B9" i="16"/>
  <c r="A9" i="16"/>
  <c r="Q8" i="16"/>
  <c r="P8" i="16"/>
  <c r="O8" i="16"/>
  <c r="N8" i="16"/>
  <c r="M8" i="16"/>
  <c r="L8" i="16"/>
  <c r="K8" i="16"/>
  <c r="J8" i="16"/>
  <c r="I8" i="16"/>
  <c r="H8" i="16"/>
  <c r="G8" i="16"/>
  <c r="F8" i="16"/>
  <c r="E8" i="16"/>
  <c r="D8" i="16"/>
  <c r="C8" i="16"/>
  <c r="B8" i="16"/>
  <c r="A8" i="16"/>
  <c r="Q7" i="16"/>
  <c r="P7" i="16"/>
  <c r="O7" i="16"/>
  <c r="N7" i="16"/>
  <c r="M7" i="16"/>
  <c r="L7" i="16"/>
  <c r="K7" i="16"/>
  <c r="J7" i="16"/>
  <c r="I7" i="16"/>
  <c r="H7" i="16"/>
  <c r="G7" i="16"/>
  <c r="F7" i="16"/>
  <c r="E7" i="16"/>
  <c r="D7" i="16"/>
  <c r="C7" i="16"/>
  <c r="B7" i="16"/>
  <c r="A7" i="16"/>
  <c r="Q6" i="16"/>
  <c r="P6" i="16"/>
  <c r="O6" i="16"/>
  <c r="N6" i="16"/>
  <c r="M6" i="16"/>
  <c r="L6" i="16"/>
  <c r="K6" i="16"/>
  <c r="J6" i="16"/>
  <c r="I6" i="16"/>
  <c r="H6" i="16"/>
  <c r="G6" i="16"/>
  <c r="F6" i="16"/>
  <c r="E6" i="16"/>
  <c r="D6" i="16"/>
  <c r="C6" i="16"/>
  <c r="B6" i="16"/>
  <c r="A6" i="16"/>
  <c r="Q5" i="16"/>
  <c r="P5" i="16"/>
  <c r="O5" i="16"/>
  <c r="N5" i="16"/>
  <c r="M5" i="16"/>
  <c r="L5" i="16"/>
  <c r="K5" i="16"/>
  <c r="J5" i="16"/>
  <c r="I5" i="16"/>
  <c r="H5" i="16"/>
  <c r="G5" i="16"/>
  <c r="F5" i="16"/>
  <c r="E5" i="16"/>
  <c r="D5" i="16"/>
  <c r="C5" i="16"/>
  <c r="B5" i="16"/>
  <c r="A5" i="16"/>
  <c r="Q4" i="16"/>
  <c r="P4" i="16"/>
  <c r="O4" i="16"/>
  <c r="N4" i="16"/>
  <c r="M4" i="16"/>
  <c r="L4" i="16"/>
  <c r="K4" i="16"/>
  <c r="J4" i="16"/>
  <c r="I4" i="16"/>
  <c r="H4" i="16"/>
  <c r="G4" i="16"/>
  <c r="F4" i="16"/>
  <c r="E4" i="16"/>
  <c r="D4" i="16"/>
  <c r="C4" i="16"/>
  <c r="B4" i="16"/>
  <c r="A4" i="16"/>
  <c r="Q3" i="16"/>
  <c r="P3" i="16"/>
  <c r="O3" i="16"/>
  <c r="N3" i="16"/>
  <c r="M3" i="16"/>
  <c r="L3" i="16"/>
  <c r="K3" i="16"/>
  <c r="J3" i="16"/>
  <c r="I3" i="16"/>
  <c r="H3" i="16"/>
  <c r="G3" i="16"/>
  <c r="F3" i="16"/>
  <c r="E3" i="16"/>
  <c r="D3" i="16"/>
  <c r="C3" i="16"/>
  <c r="B3" i="16"/>
  <c r="A3" i="16"/>
  <c r="Q2" i="16"/>
  <c r="P2" i="16"/>
  <c r="O2" i="16"/>
  <c r="N2" i="16"/>
  <c r="M2" i="16"/>
  <c r="L2" i="16"/>
  <c r="K2" i="16"/>
  <c r="J2" i="16"/>
  <c r="I2" i="16"/>
  <c r="H2" i="16"/>
  <c r="G2" i="16"/>
  <c r="F2" i="16"/>
  <c r="E2" i="16"/>
  <c r="D2" i="16"/>
  <c r="C2" i="16"/>
  <c r="B2" i="16"/>
  <c r="A2" i="16"/>
  <c r="Q1" i="16"/>
  <c r="P1" i="16"/>
  <c r="O1" i="16"/>
  <c r="N1" i="16"/>
  <c r="M1" i="16"/>
  <c r="L1" i="16"/>
  <c r="K1" i="16"/>
  <c r="J1" i="16"/>
  <c r="I1" i="16"/>
  <c r="H1" i="16"/>
  <c r="G1" i="16"/>
  <c r="F1" i="16"/>
  <c r="E1" i="16"/>
  <c r="D1" i="16"/>
  <c r="C1" i="16"/>
  <c r="B1" i="16"/>
  <c r="A1" i="16"/>
  <c r="C4" i="19"/>
  <c r="B4" i="19"/>
  <c r="A4" i="19"/>
  <c r="C3" i="19"/>
  <c r="B3" i="19"/>
  <c r="A3" i="19"/>
  <c r="C2" i="19"/>
  <c r="B2" i="19"/>
  <c r="A2" i="19"/>
  <c r="C1" i="19"/>
  <c r="B1" i="19"/>
  <c r="A1" i="19"/>
  <c r="C4" i="23"/>
  <c r="B4" i="23"/>
  <c r="A4" i="23"/>
  <c r="C3" i="23"/>
  <c r="B3" i="23"/>
  <c r="A3" i="23"/>
  <c r="C2" i="23"/>
  <c r="B2" i="23"/>
  <c r="A2" i="23"/>
  <c r="C1" i="23"/>
  <c r="B1" i="23"/>
  <c r="A1" i="23"/>
  <c r="Q23" i="13"/>
  <c r="P23" i="13"/>
  <c r="O23" i="13"/>
  <c r="N23" i="13"/>
  <c r="M23" i="13"/>
  <c r="L23" i="13"/>
  <c r="K23" i="13"/>
  <c r="J23" i="13"/>
  <c r="I23" i="13"/>
  <c r="H23" i="13"/>
  <c r="G23" i="13"/>
  <c r="F23" i="13"/>
  <c r="E23" i="13"/>
  <c r="D23" i="13"/>
  <c r="C23" i="13"/>
  <c r="B23" i="13"/>
  <c r="Q22" i="13"/>
  <c r="P22" i="13"/>
  <c r="O22" i="13"/>
  <c r="N22" i="13"/>
  <c r="M22" i="13"/>
  <c r="L22" i="13"/>
  <c r="K22" i="13"/>
  <c r="J22" i="13"/>
  <c r="I22" i="13"/>
  <c r="H22" i="13"/>
  <c r="G22" i="13"/>
  <c r="F22" i="13"/>
  <c r="E22" i="13"/>
  <c r="D22" i="13"/>
  <c r="C22" i="13"/>
  <c r="B22" i="13"/>
  <c r="Q21" i="13"/>
  <c r="P21" i="13"/>
  <c r="O21" i="13"/>
  <c r="N21" i="13"/>
  <c r="M21" i="13"/>
  <c r="L21" i="13"/>
  <c r="K21" i="13"/>
  <c r="J21" i="13"/>
  <c r="I21" i="13"/>
  <c r="H21" i="13"/>
  <c r="G21" i="13"/>
  <c r="F21" i="13"/>
  <c r="E21" i="13"/>
  <c r="D21" i="13"/>
  <c r="C21" i="13"/>
  <c r="B21" i="13"/>
  <c r="Q20" i="13"/>
  <c r="P20" i="13"/>
  <c r="O20" i="13"/>
  <c r="N20" i="13"/>
  <c r="M20" i="13"/>
  <c r="L20" i="13"/>
  <c r="K20" i="13"/>
  <c r="J20" i="13"/>
  <c r="I20" i="13"/>
  <c r="H20" i="13"/>
  <c r="G20" i="13"/>
  <c r="F20" i="13"/>
  <c r="E20" i="13"/>
  <c r="D20" i="13"/>
  <c r="C20" i="13"/>
  <c r="B20" i="13"/>
  <c r="Q19" i="13"/>
  <c r="P19" i="13"/>
  <c r="O19" i="13"/>
  <c r="N19" i="13"/>
  <c r="M19" i="13"/>
  <c r="L19" i="13"/>
  <c r="K19" i="13"/>
  <c r="J19" i="13"/>
  <c r="I19" i="13"/>
  <c r="H19" i="13"/>
  <c r="G19" i="13"/>
  <c r="F19" i="13"/>
  <c r="E19" i="13"/>
  <c r="D19" i="13"/>
  <c r="C19" i="13"/>
  <c r="B19" i="13"/>
  <c r="Q18" i="13"/>
  <c r="P18" i="13"/>
  <c r="O18" i="13"/>
  <c r="N18" i="13"/>
  <c r="M18" i="13"/>
  <c r="L18" i="13"/>
  <c r="K18" i="13"/>
  <c r="J18" i="13"/>
  <c r="I18" i="13"/>
  <c r="H18" i="13"/>
  <c r="G18" i="13"/>
  <c r="F18" i="13"/>
  <c r="E18" i="13"/>
  <c r="D18" i="13"/>
  <c r="C18" i="13"/>
  <c r="B18" i="13"/>
  <c r="Q17" i="13"/>
  <c r="P17" i="13"/>
  <c r="O17" i="13"/>
  <c r="N17" i="13"/>
  <c r="M17" i="13"/>
  <c r="L17" i="13"/>
  <c r="K17" i="13"/>
  <c r="J17" i="13"/>
  <c r="I17" i="13"/>
  <c r="H17" i="13"/>
  <c r="G17" i="13"/>
  <c r="F17" i="13"/>
  <c r="E17" i="13"/>
  <c r="D17" i="13"/>
  <c r="C17" i="13"/>
  <c r="B17" i="13"/>
  <c r="Q16" i="13"/>
  <c r="P16" i="13"/>
  <c r="O16" i="13"/>
  <c r="N16" i="13"/>
  <c r="M16" i="13"/>
  <c r="L16" i="13"/>
  <c r="K16" i="13"/>
  <c r="J16" i="13"/>
  <c r="I16" i="13"/>
  <c r="H16" i="13"/>
  <c r="G16" i="13"/>
  <c r="F16" i="13"/>
  <c r="E16" i="13"/>
  <c r="D16" i="13"/>
  <c r="C16" i="13"/>
  <c r="B16" i="13"/>
  <c r="Q15" i="13"/>
  <c r="P15" i="13"/>
  <c r="O15" i="13"/>
  <c r="N15" i="13"/>
  <c r="M15" i="13"/>
  <c r="L15" i="13"/>
  <c r="K15" i="13"/>
  <c r="J15" i="13"/>
  <c r="I15" i="13"/>
  <c r="H15" i="13"/>
  <c r="G15" i="13"/>
  <c r="F15" i="13"/>
  <c r="E15" i="13"/>
  <c r="D15" i="13"/>
  <c r="C15" i="13"/>
  <c r="B15" i="13"/>
  <c r="Q14" i="13"/>
  <c r="P14" i="13"/>
  <c r="O14" i="13"/>
  <c r="N14" i="13"/>
  <c r="M14" i="13"/>
  <c r="L14" i="13"/>
  <c r="K14" i="13"/>
  <c r="J14" i="13"/>
  <c r="I14" i="13"/>
  <c r="H14" i="13"/>
  <c r="G14" i="13"/>
  <c r="F14" i="13"/>
  <c r="E14" i="13"/>
  <c r="D14" i="13"/>
  <c r="C14" i="13"/>
  <c r="B14" i="13"/>
  <c r="Q13" i="13"/>
  <c r="P13" i="13"/>
  <c r="O13" i="13"/>
  <c r="N13" i="13"/>
  <c r="M13" i="13"/>
  <c r="L13" i="13"/>
  <c r="K13" i="13"/>
  <c r="J13" i="13"/>
  <c r="I13" i="13"/>
  <c r="H13" i="13"/>
  <c r="G13" i="13"/>
  <c r="F13" i="13"/>
  <c r="E13" i="13"/>
  <c r="D13" i="13"/>
  <c r="C13" i="13"/>
  <c r="B13" i="13"/>
  <c r="Q12" i="13"/>
  <c r="P12" i="13"/>
  <c r="O12" i="13"/>
  <c r="N12" i="13"/>
  <c r="M12" i="13"/>
  <c r="L12" i="13"/>
  <c r="K12" i="13"/>
  <c r="J12" i="13"/>
  <c r="I12" i="13"/>
  <c r="H12" i="13"/>
  <c r="G12" i="13"/>
  <c r="F12" i="13"/>
  <c r="E12" i="13"/>
  <c r="D12" i="13"/>
  <c r="C12" i="13"/>
  <c r="B12" i="13"/>
  <c r="Q11" i="13"/>
  <c r="P11" i="13"/>
  <c r="O11" i="13"/>
  <c r="N11" i="13"/>
  <c r="M11" i="13"/>
  <c r="L11" i="13"/>
  <c r="K11" i="13"/>
  <c r="J11" i="13"/>
  <c r="I11" i="13"/>
  <c r="H11" i="13"/>
  <c r="G11" i="13"/>
  <c r="F11" i="13"/>
  <c r="E11" i="13"/>
  <c r="D11" i="13"/>
  <c r="C11" i="13"/>
  <c r="B11" i="13"/>
  <c r="Q10" i="13"/>
  <c r="P10" i="13"/>
  <c r="O10" i="13"/>
  <c r="N10" i="13"/>
  <c r="M10" i="13"/>
  <c r="L10" i="13"/>
  <c r="K10" i="13"/>
  <c r="J10" i="13"/>
  <c r="I10" i="13"/>
  <c r="H10" i="13"/>
  <c r="G10" i="13"/>
  <c r="F10" i="13"/>
  <c r="E10" i="13"/>
  <c r="D10" i="13"/>
  <c r="C10" i="13"/>
  <c r="B10" i="13"/>
  <c r="Q9" i="13"/>
  <c r="P9" i="13"/>
  <c r="O9" i="13"/>
  <c r="N9" i="13"/>
  <c r="M9" i="13"/>
  <c r="L9" i="13"/>
  <c r="K9" i="13"/>
  <c r="J9" i="13"/>
  <c r="I9" i="13"/>
  <c r="H9" i="13"/>
  <c r="G9" i="13"/>
  <c r="F9" i="13"/>
  <c r="E9" i="13"/>
  <c r="D9" i="13"/>
  <c r="C9" i="13"/>
  <c r="B9" i="13"/>
  <c r="Q8" i="13"/>
  <c r="P8" i="13"/>
  <c r="O8" i="13"/>
  <c r="N8" i="13"/>
  <c r="M8" i="13"/>
  <c r="L8" i="13"/>
  <c r="K8" i="13"/>
  <c r="J8" i="13"/>
  <c r="I8" i="13"/>
  <c r="H8" i="13"/>
  <c r="G8" i="13"/>
  <c r="F8" i="13"/>
  <c r="E8" i="13"/>
  <c r="D8" i="13"/>
  <c r="C8" i="13"/>
  <c r="B8" i="13"/>
  <c r="Q7" i="13"/>
  <c r="P7" i="13"/>
  <c r="O7" i="13"/>
  <c r="N7" i="13"/>
  <c r="M7" i="13"/>
  <c r="L7" i="13"/>
  <c r="K7" i="13"/>
  <c r="J7" i="13"/>
  <c r="I7" i="13"/>
  <c r="H7" i="13"/>
  <c r="G7" i="13"/>
  <c r="F7" i="13"/>
  <c r="E7" i="13"/>
  <c r="D7" i="13"/>
  <c r="C7" i="13"/>
  <c r="B7" i="13"/>
  <c r="Q6" i="13"/>
  <c r="P6" i="13"/>
  <c r="O6" i="13"/>
  <c r="N6" i="13"/>
  <c r="M6" i="13"/>
  <c r="L6" i="13"/>
  <c r="K6" i="13"/>
  <c r="J6" i="13"/>
  <c r="I6" i="13"/>
  <c r="H6" i="13"/>
  <c r="G6" i="13"/>
  <c r="F6" i="13"/>
  <c r="E6" i="13"/>
  <c r="D6" i="13"/>
  <c r="C6" i="13"/>
  <c r="B6" i="13"/>
  <c r="Q5" i="13"/>
  <c r="P5" i="13"/>
  <c r="O5" i="13"/>
  <c r="N5" i="13"/>
  <c r="M5" i="13"/>
  <c r="L5" i="13"/>
  <c r="K5" i="13"/>
  <c r="J5" i="13"/>
  <c r="I5" i="13"/>
  <c r="H5" i="13"/>
  <c r="G5" i="13"/>
  <c r="F5" i="13"/>
  <c r="E5" i="13"/>
  <c r="D5" i="13"/>
  <c r="C5" i="13"/>
  <c r="B5" i="13"/>
  <c r="Q4" i="13"/>
  <c r="P4" i="13"/>
  <c r="O4" i="13"/>
  <c r="N4" i="13"/>
  <c r="M4" i="13"/>
  <c r="L4" i="13"/>
  <c r="K4" i="13"/>
  <c r="J4" i="13"/>
  <c r="I4" i="13"/>
  <c r="H4" i="13"/>
  <c r="G4" i="13"/>
  <c r="F4" i="13"/>
  <c r="E4" i="13"/>
  <c r="D4" i="13"/>
  <c r="C4" i="13"/>
  <c r="B4" i="13"/>
  <c r="Q3" i="13"/>
  <c r="P3" i="13"/>
  <c r="O3" i="13"/>
  <c r="N3" i="13"/>
  <c r="M3" i="13"/>
  <c r="L3" i="13"/>
  <c r="K3" i="13"/>
  <c r="J3" i="13"/>
  <c r="I3" i="13"/>
  <c r="H3" i="13"/>
  <c r="G3" i="13"/>
  <c r="F3" i="13"/>
  <c r="E3" i="13"/>
  <c r="D3" i="13"/>
  <c r="C3" i="13"/>
  <c r="B3" i="13"/>
  <c r="Q2" i="13"/>
  <c r="P2" i="13"/>
  <c r="O2" i="13"/>
  <c r="N2" i="13"/>
  <c r="M2" i="13"/>
  <c r="L2" i="13"/>
  <c r="K2" i="13"/>
  <c r="J2" i="13"/>
  <c r="I2" i="13"/>
  <c r="H2" i="13"/>
  <c r="G2" i="13"/>
  <c r="F2" i="13"/>
  <c r="E2" i="13"/>
  <c r="D2" i="13"/>
  <c r="C2" i="13"/>
  <c r="B2" i="13"/>
  <c r="Q1" i="13"/>
  <c r="P1" i="13"/>
  <c r="O1" i="13"/>
  <c r="N1" i="13"/>
  <c r="M1" i="13"/>
  <c r="L1" i="13"/>
  <c r="K1" i="13"/>
  <c r="J1" i="13"/>
  <c r="I1" i="13"/>
  <c r="H1" i="13"/>
  <c r="G1" i="13"/>
  <c r="F1" i="13"/>
  <c r="E1" i="13"/>
  <c r="D1" i="13"/>
  <c r="C1" i="13"/>
  <c r="B1" i="13"/>
  <c r="Q26" i="12"/>
  <c r="P26" i="12"/>
  <c r="O26" i="12"/>
  <c r="N26" i="12"/>
  <c r="M26" i="12"/>
  <c r="L26" i="12"/>
  <c r="K26" i="12"/>
  <c r="J26" i="12"/>
  <c r="I26" i="12"/>
  <c r="H26" i="12"/>
  <c r="G26" i="12"/>
  <c r="F26" i="12"/>
  <c r="E26" i="12"/>
  <c r="D26" i="12"/>
  <c r="C26" i="12"/>
  <c r="B26" i="12"/>
  <c r="Q25" i="12"/>
  <c r="P25" i="12"/>
  <c r="O25" i="12"/>
  <c r="N25" i="12"/>
  <c r="M25" i="12"/>
  <c r="L25" i="12"/>
  <c r="K25" i="12"/>
  <c r="J25" i="12"/>
  <c r="I25" i="12"/>
  <c r="H25" i="12"/>
  <c r="G25" i="12"/>
  <c r="F25" i="12"/>
  <c r="E25" i="12"/>
  <c r="D25" i="12"/>
  <c r="C25" i="12"/>
  <c r="B25" i="12"/>
  <c r="Q24" i="12"/>
  <c r="P24" i="12"/>
  <c r="O24" i="12"/>
  <c r="N24" i="12"/>
  <c r="M24" i="12"/>
  <c r="L24" i="12"/>
  <c r="K24" i="12"/>
  <c r="J24" i="12"/>
  <c r="I24" i="12"/>
  <c r="H24" i="12"/>
  <c r="G24" i="12"/>
  <c r="F24" i="12"/>
  <c r="E24" i="12"/>
  <c r="D24" i="12"/>
  <c r="C24" i="12"/>
  <c r="B24" i="12"/>
  <c r="Q23" i="12"/>
  <c r="P23" i="12"/>
  <c r="O23" i="12"/>
  <c r="N23" i="12"/>
  <c r="M23" i="12"/>
  <c r="L23" i="12"/>
  <c r="K23" i="12"/>
  <c r="J23" i="12"/>
  <c r="I23" i="12"/>
  <c r="H23" i="12"/>
  <c r="G23" i="12"/>
  <c r="F23" i="12"/>
  <c r="E23" i="12"/>
  <c r="D23" i="12"/>
  <c r="C23" i="12"/>
  <c r="B23" i="12"/>
  <c r="Q22" i="12"/>
  <c r="P22" i="12"/>
  <c r="O22" i="12"/>
  <c r="N22" i="12"/>
  <c r="M22" i="12"/>
  <c r="L22" i="12"/>
  <c r="K22" i="12"/>
  <c r="J22" i="12"/>
  <c r="I22" i="12"/>
  <c r="H22" i="12"/>
  <c r="G22" i="12"/>
  <c r="F22" i="12"/>
  <c r="E22" i="12"/>
  <c r="D22" i="12"/>
  <c r="C22" i="12"/>
  <c r="B22" i="12"/>
  <c r="Q21" i="12"/>
  <c r="P21" i="12"/>
  <c r="O21" i="12"/>
  <c r="N21" i="12"/>
  <c r="M21" i="12"/>
  <c r="L21" i="12"/>
  <c r="K21" i="12"/>
  <c r="J21" i="12"/>
  <c r="I21" i="12"/>
  <c r="H21" i="12"/>
  <c r="G21" i="12"/>
  <c r="F21" i="12"/>
  <c r="E21" i="12"/>
  <c r="D21" i="12"/>
  <c r="C21" i="12"/>
  <c r="B21" i="12"/>
  <c r="Q20" i="12"/>
  <c r="P20" i="12"/>
  <c r="O20" i="12"/>
  <c r="N20" i="12"/>
  <c r="M20" i="12"/>
  <c r="L20" i="12"/>
  <c r="K20" i="12"/>
  <c r="J20" i="12"/>
  <c r="I20" i="12"/>
  <c r="H20" i="12"/>
  <c r="G20" i="12"/>
  <c r="F20" i="12"/>
  <c r="E20" i="12"/>
  <c r="D20" i="12"/>
  <c r="C20" i="12"/>
  <c r="B20" i="12"/>
  <c r="Q19" i="12"/>
  <c r="P19" i="12"/>
  <c r="O19" i="12"/>
  <c r="N19" i="12"/>
  <c r="M19" i="12"/>
  <c r="L19" i="12"/>
  <c r="K19" i="12"/>
  <c r="J19" i="12"/>
  <c r="I19" i="12"/>
  <c r="H19" i="12"/>
  <c r="G19" i="12"/>
  <c r="F19" i="12"/>
  <c r="E19" i="12"/>
  <c r="D19" i="12"/>
  <c r="C19" i="12"/>
  <c r="B19" i="12"/>
  <c r="Q18" i="12"/>
  <c r="P18" i="12"/>
  <c r="O18" i="12"/>
  <c r="N18" i="12"/>
  <c r="M18" i="12"/>
  <c r="L18" i="12"/>
  <c r="K18" i="12"/>
  <c r="J18" i="12"/>
  <c r="I18" i="12"/>
  <c r="H18" i="12"/>
  <c r="G18" i="12"/>
  <c r="F18" i="12"/>
  <c r="E18" i="12"/>
  <c r="D18" i="12"/>
  <c r="C18" i="12"/>
  <c r="B18" i="12"/>
  <c r="Q17" i="12"/>
  <c r="P17" i="12"/>
  <c r="O17" i="12"/>
  <c r="N17" i="12"/>
  <c r="M17" i="12"/>
  <c r="L17" i="12"/>
  <c r="K17" i="12"/>
  <c r="J17" i="12"/>
  <c r="I17" i="12"/>
  <c r="H17" i="12"/>
  <c r="G17" i="12"/>
  <c r="F17" i="12"/>
  <c r="E17" i="12"/>
  <c r="D17" i="12"/>
  <c r="C17" i="12"/>
  <c r="B17" i="12"/>
  <c r="Q16" i="12"/>
  <c r="P16" i="12"/>
  <c r="O16" i="12"/>
  <c r="N16" i="12"/>
  <c r="M16" i="12"/>
  <c r="L16" i="12"/>
  <c r="K16" i="12"/>
  <c r="J16" i="12"/>
  <c r="I16" i="12"/>
  <c r="H16" i="12"/>
  <c r="G16" i="12"/>
  <c r="F16" i="12"/>
  <c r="E16" i="12"/>
  <c r="D16" i="12"/>
  <c r="C16" i="12"/>
  <c r="B16" i="12"/>
  <c r="Q15" i="12"/>
  <c r="P15" i="12"/>
  <c r="O15" i="12"/>
  <c r="N15" i="12"/>
  <c r="M15" i="12"/>
  <c r="L15" i="12"/>
  <c r="K15" i="12"/>
  <c r="J15" i="12"/>
  <c r="I15" i="12"/>
  <c r="H15" i="12"/>
  <c r="G15" i="12"/>
  <c r="F15" i="12"/>
  <c r="E15" i="12"/>
  <c r="D15" i="12"/>
  <c r="C15" i="12"/>
  <c r="B15" i="12"/>
  <c r="Q14" i="12"/>
  <c r="P14" i="12"/>
  <c r="O14" i="12"/>
  <c r="N14" i="12"/>
  <c r="M14" i="12"/>
  <c r="L14" i="12"/>
  <c r="K14" i="12"/>
  <c r="J14" i="12"/>
  <c r="I14" i="12"/>
  <c r="H14" i="12"/>
  <c r="G14" i="12"/>
  <c r="F14" i="12"/>
  <c r="E14" i="12"/>
  <c r="D14" i="12"/>
  <c r="C14" i="12"/>
  <c r="B14" i="12"/>
  <c r="Q13" i="12"/>
  <c r="P13" i="12"/>
  <c r="O13" i="12"/>
  <c r="N13" i="12"/>
  <c r="M13" i="12"/>
  <c r="L13" i="12"/>
  <c r="K13" i="12"/>
  <c r="J13" i="12"/>
  <c r="I13" i="12"/>
  <c r="H13" i="12"/>
  <c r="G13" i="12"/>
  <c r="F13" i="12"/>
  <c r="E13" i="12"/>
  <c r="D13" i="12"/>
  <c r="C13" i="12"/>
  <c r="B13" i="12"/>
  <c r="Q12" i="12"/>
  <c r="P12" i="12"/>
  <c r="O12" i="12"/>
  <c r="N12" i="12"/>
  <c r="M12" i="12"/>
  <c r="L12" i="12"/>
  <c r="K12" i="12"/>
  <c r="J12" i="12"/>
  <c r="I12" i="12"/>
  <c r="H12" i="12"/>
  <c r="G12" i="12"/>
  <c r="F12" i="12"/>
  <c r="E12" i="12"/>
  <c r="D12" i="12"/>
  <c r="C12" i="12"/>
  <c r="B12" i="12"/>
  <c r="Q11" i="12"/>
  <c r="P11" i="12"/>
  <c r="O11" i="12"/>
  <c r="N11" i="12"/>
  <c r="M11" i="12"/>
  <c r="L11" i="12"/>
  <c r="K11" i="12"/>
  <c r="J11" i="12"/>
  <c r="I11" i="12"/>
  <c r="H11" i="12"/>
  <c r="G11" i="12"/>
  <c r="F11" i="12"/>
  <c r="E11" i="12"/>
  <c r="D11" i="12"/>
  <c r="C11" i="12"/>
  <c r="B11" i="12"/>
  <c r="Q10" i="12"/>
  <c r="P10" i="12"/>
  <c r="O10" i="12"/>
  <c r="N10" i="12"/>
  <c r="M10" i="12"/>
  <c r="L10" i="12"/>
  <c r="K10" i="12"/>
  <c r="J10" i="12"/>
  <c r="I10" i="12"/>
  <c r="H10" i="12"/>
  <c r="G10" i="12"/>
  <c r="F10" i="12"/>
  <c r="E10" i="12"/>
  <c r="D10" i="12"/>
  <c r="C10" i="12"/>
  <c r="B10" i="12"/>
  <c r="Q9" i="12"/>
  <c r="P9" i="12"/>
  <c r="O9" i="12"/>
  <c r="N9" i="12"/>
  <c r="M9" i="12"/>
  <c r="L9" i="12"/>
  <c r="K9" i="12"/>
  <c r="J9" i="12"/>
  <c r="I9" i="12"/>
  <c r="H9" i="12"/>
  <c r="G9" i="12"/>
  <c r="F9" i="12"/>
  <c r="E9" i="12"/>
  <c r="D9" i="12"/>
  <c r="C9" i="12"/>
  <c r="B9" i="12"/>
  <c r="Q8" i="12"/>
  <c r="P8" i="12"/>
  <c r="O8" i="12"/>
  <c r="N8" i="12"/>
  <c r="M8" i="12"/>
  <c r="L8" i="12"/>
  <c r="K8" i="12"/>
  <c r="J8" i="12"/>
  <c r="I8" i="12"/>
  <c r="H8" i="12"/>
  <c r="G8" i="12"/>
  <c r="F8" i="12"/>
  <c r="E8" i="12"/>
  <c r="D8" i="12"/>
  <c r="C8" i="12"/>
  <c r="B8" i="12"/>
  <c r="Q7" i="12"/>
  <c r="P7" i="12"/>
  <c r="O7" i="12"/>
  <c r="N7" i="12"/>
  <c r="M7" i="12"/>
  <c r="L7" i="12"/>
  <c r="K7" i="12"/>
  <c r="J7" i="12"/>
  <c r="I7" i="12"/>
  <c r="H7" i="12"/>
  <c r="G7" i="12"/>
  <c r="F7" i="12"/>
  <c r="E7" i="12"/>
  <c r="D7" i="12"/>
  <c r="C7" i="12"/>
  <c r="B7" i="12"/>
  <c r="Q6" i="12"/>
  <c r="P6" i="12"/>
  <c r="O6" i="12"/>
  <c r="N6" i="12"/>
  <c r="M6" i="12"/>
  <c r="L6" i="12"/>
  <c r="K6" i="12"/>
  <c r="J6" i="12"/>
  <c r="I6" i="12"/>
  <c r="H6" i="12"/>
  <c r="G6" i="12"/>
  <c r="F6" i="12"/>
  <c r="E6" i="12"/>
  <c r="D6" i="12"/>
  <c r="C6" i="12"/>
  <c r="B6" i="12"/>
  <c r="Q5" i="12"/>
  <c r="P5" i="12"/>
  <c r="O5" i="12"/>
  <c r="N5" i="12"/>
  <c r="M5" i="12"/>
  <c r="L5" i="12"/>
  <c r="K5" i="12"/>
  <c r="J5" i="12"/>
  <c r="I5" i="12"/>
  <c r="H5" i="12"/>
  <c r="G5" i="12"/>
  <c r="F5" i="12"/>
  <c r="E5" i="12"/>
  <c r="D5" i="12"/>
  <c r="C5" i="12"/>
  <c r="B5" i="12"/>
  <c r="Q4" i="12"/>
  <c r="P4" i="12"/>
  <c r="O4" i="12"/>
  <c r="N4" i="12"/>
  <c r="M4" i="12"/>
  <c r="L4" i="12"/>
  <c r="K4" i="12"/>
  <c r="J4" i="12"/>
  <c r="I4" i="12"/>
  <c r="H4" i="12"/>
  <c r="G4" i="12"/>
  <c r="F4" i="12"/>
  <c r="E4" i="12"/>
  <c r="D4" i="12"/>
  <c r="C4" i="12"/>
  <c r="B4" i="12"/>
  <c r="Q3" i="12"/>
  <c r="P3" i="12"/>
  <c r="O3" i="12"/>
  <c r="N3" i="12"/>
  <c r="M3" i="12"/>
  <c r="L3" i="12"/>
  <c r="K3" i="12"/>
  <c r="J3" i="12"/>
  <c r="I3" i="12"/>
  <c r="H3" i="12"/>
  <c r="G3" i="12"/>
  <c r="F3" i="12"/>
  <c r="E3" i="12"/>
  <c r="D3" i="12"/>
  <c r="C3" i="12"/>
  <c r="B3" i="12"/>
  <c r="Q2" i="12"/>
  <c r="P2" i="12"/>
  <c r="O2" i="12"/>
  <c r="N2" i="12"/>
  <c r="M2" i="12"/>
  <c r="L2" i="12"/>
  <c r="K2" i="12"/>
  <c r="J2" i="12"/>
  <c r="I2" i="12"/>
  <c r="H2" i="12"/>
  <c r="G2" i="12"/>
  <c r="F2" i="12"/>
  <c r="E2" i="12"/>
  <c r="D2" i="12"/>
  <c r="C2" i="12"/>
  <c r="B2" i="12"/>
  <c r="Q1" i="12"/>
  <c r="P1" i="12"/>
  <c r="O1" i="12"/>
  <c r="N1" i="12"/>
  <c r="M1" i="12"/>
  <c r="L1" i="12"/>
  <c r="K1" i="12"/>
  <c r="J1" i="12"/>
  <c r="I1" i="12"/>
  <c r="H1" i="12"/>
  <c r="G1" i="12"/>
  <c r="F1" i="12"/>
  <c r="E1" i="12"/>
  <c r="D1" i="12"/>
  <c r="C1" i="12"/>
  <c r="B1" i="12"/>
  <c r="Q22" i="11"/>
  <c r="P22" i="11"/>
  <c r="O22" i="11"/>
  <c r="N22" i="11"/>
  <c r="M22" i="11"/>
  <c r="L22" i="11"/>
  <c r="K22" i="11"/>
  <c r="J22" i="11"/>
  <c r="I22" i="11"/>
  <c r="H22" i="11"/>
  <c r="G22" i="11"/>
  <c r="F22" i="11"/>
  <c r="E22" i="11"/>
  <c r="D22" i="11"/>
  <c r="C22" i="11"/>
  <c r="B22" i="11"/>
  <c r="Q21" i="11"/>
  <c r="P21" i="11"/>
  <c r="O21" i="11"/>
  <c r="N21" i="11"/>
  <c r="M21" i="11"/>
  <c r="L21" i="11"/>
  <c r="K21" i="11"/>
  <c r="J21" i="11"/>
  <c r="I21" i="11"/>
  <c r="H21" i="11"/>
  <c r="G21" i="11"/>
  <c r="F21" i="11"/>
  <c r="E21" i="11"/>
  <c r="D21" i="11"/>
  <c r="C21" i="11"/>
  <c r="B21" i="11"/>
  <c r="Q20" i="11"/>
  <c r="P20" i="11"/>
  <c r="O20" i="11"/>
  <c r="N20" i="11"/>
  <c r="M20" i="11"/>
  <c r="L20" i="11"/>
  <c r="K20" i="11"/>
  <c r="J20" i="11"/>
  <c r="I20" i="11"/>
  <c r="H20" i="11"/>
  <c r="G20" i="11"/>
  <c r="F20" i="11"/>
  <c r="E20" i="11"/>
  <c r="D20" i="11"/>
  <c r="C20" i="11"/>
  <c r="B20" i="11"/>
  <c r="Q19" i="11"/>
  <c r="P19" i="11"/>
  <c r="O19" i="11"/>
  <c r="N19" i="11"/>
  <c r="M19" i="11"/>
  <c r="L19" i="11"/>
  <c r="K19" i="11"/>
  <c r="J19" i="11"/>
  <c r="I19" i="11"/>
  <c r="H19" i="11"/>
  <c r="G19" i="11"/>
  <c r="F19" i="11"/>
  <c r="E19" i="11"/>
  <c r="D19" i="11"/>
  <c r="C19" i="11"/>
  <c r="B19" i="11"/>
  <c r="Q18" i="11"/>
  <c r="P18" i="11"/>
  <c r="O18" i="11"/>
  <c r="N18" i="11"/>
  <c r="M18" i="11"/>
  <c r="L18" i="11"/>
  <c r="K18" i="11"/>
  <c r="J18" i="11"/>
  <c r="I18" i="11"/>
  <c r="H18" i="11"/>
  <c r="G18" i="11"/>
  <c r="F18" i="11"/>
  <c r="E18" i="11"/>
  <c r="D18" i="11"/>
  <c r="C18" i="11"/>
  <c r="B18" i="11"/>
  <c r="Q17" i="11"/>
  <c r="P17" i="11"/>
  <c r="O17" i="11"/>
  <c r="N17" i="11"/>
  <c r="M17" i="11"/>
  <c r="L17" i="11"/>
  <c r="K17" i="11"/>
  <c r="J17" i="11"/>
  <c r="I17" i="11"/>
  <c r="H17" i="11"/>
  <c r="G17" i="11"/>
  <c r="F17" i="11"/>
  <c r="E17" i="11"/>
  <c r="D17" i="11"/>
  <c r="C17" i="11"/>
  <c r="B17" i="11"/>
  <c r="Q16" i="11"/>
  <c r="P16" i="11"/>
  <c r="O16" i="11"/>
  <c r="N16" i="11"/>
  <c r="M16" i="11"/>
  <c r="L16" i="11"/>
  <c r="K16" i="11"/>
  <c r="J16" i="11"/>
  <c r="I16" i="11"/>
  <c r="H16" i="11"/>
  <c r="G16" i="11"/>
  <c r="F16" i="11"/>
  <c r="E16" i="11"/>
  <c r="D16" i="11"/>
  <c r="C16" i="11"/>
  <c r="B16" i="11"/>
  <c r="Q15" i="11"/>
  <c r="P15" i="11"/>
  <c r="O15" i="11"/>
  <c r="N15" i="11"/>
  <c r="M15" i="11"/>
  <c r="L15" i="11"/>
  <c r="K15" i="11"/>
  <c r="J15" i="11"/>
  <c r="I15" i="11"/>
  <c r="H15" i="11"/>
  <c r="G15" i="11"/>
  <c r="F15" i="11"/>
  <c r="E15" i="11"/>
  <c r="D15" i="11"/>
  <c r="C15" i="11"/>
  <c r="B15" i="11"/>
  <c r="Q14" i="11"/>
  <c r="P14" i="11"/>
  <c r="O14" i="11"/>
  <c r="N14" i="11"/>
  <c r="M14" i="11"/>
  <c r="L14" i="11"/>
  <c r="K14" i="11"/>
  <c r="J14" i="11"/>
  <c r="I14" i="11"/>
  <c r="H14" i="11"/>
  <c r="G14" i="11"/>
  <c r="F14" i="11"/>
  <c r="E14" i="11"/>
  <c r="D14" i="11"/>
  <c r="C14" i="11"/>
  <c r="B14" i="11"/>
  <c r="Q13" i="11"/>
  <c r="P13" i="11"/>
  <c r="O13" i="11"/>
  <c r="N13" i="11"/>
  <c r="M13" i="11"/>
  <c r="L13" i="11"/>
  <c r="K13" i="11"/>
  <c r="J13" i="11"/>
  <c r="I13" i="11"/>
  <c r="H13" i="11"/>
  <c r="G13" i="11"/>
  <c r="F13" i="11"/>
  <c r="E13" i="11"/>
  <c r="D13" i="11"/>
  <c r="C13" i="11"/>
  <c r="B13" i="11"/>
  <c r="Q12" i="11"/>
  <c r="P12" i="11"/>
  <c r="O12" i="11"/>
  <c r="N12" i="11"/>
  <c r="M12" i="11"/>
  <c r="L12" i="11"/>
  <c r="K12" i="11"/>
  <c r="J12" i="11"/>
  <c r="I12" i="11"/>
  <c r="H12" i="11"/>
  <c r="G12" i="11"/>
  <c r="F12" i="11"/>
  <c r="E12" i="11"/>
  <c r="D12" i="11"/>
  <c r="C12" i="11"/>
  <c r="B12" i="11"/>
  <c r="Q11" i="11"/>
  <c r="P11" i="11"/>
  <c r="O11" i="11"/>
  <c r="N11" i="11"/>
  <c r="M11" i="11"/>
  <c r="L11" i="11"/>
  <c r="K11" i="11"/>
  <c r="J11" i="11"/>
  <c r="I11" i="11"/>
  <c r="H11" i="11"/>
  <c r="G11" i="11"/>
  <c r="F11" i="11"/>
  <c r="E11" i="11"/>
  <c r="D11" i="11"/>
  <c r="C11" i="11"/>
  <c r="B11" i="11"/>
  <c r="Q10" i="11"/>
  <c r="P10" i="11"/>
  <c r="O10" i="11"/>
  <c r="N10" i="11"/>
  <c r="M10" i="11"/>
  <c r="L10" i="11"/>
  <c r="K10" i="11"/>
  <c r="J10" i="11"/>
  <c r="I10" i="11"/>
  <c r="H10" i="11"/>
  <c r="G10" i="11"/>
  <c r="F10" i="11"/>
  <c r="E10" i="11"/>
  <c r="D10" i="11"/>
  <c r="C10" i="11"/>
  <c r="B10" i="11"/>
  <c r="Q9" i="11"/>
  <c r="P9" i="11"/>
  <c r="O9" i="11"/>
  <c r="N9" i="11"/>
  <c r="M9" i="11"/>
  <c r="L9" i="11"/>
  <c r="K9" i="11"/>
  <c r="J9" i="11"/>
  <c r="I9" i="11"/>
  <c r="H9" i="11"/>
  <c r="G9" i="11"/>
  <c r="F9" i="11"/>
  <c r="E9" i="11"/>
  <c r="D9" i="11"/>
  <c r="C9" i="11"/>
  <c r="B9" i="11"/>
  <c r="Q8" i="11"/>
  <c r="P8" i="11"/>
  <c r="O8" i="11"/>
  <c r="N8" i="11"/>
  <c r="M8" i="11"/>
  <c r="L8" i="11"/>
  <c r="K8" i="11"/>
  <c r="J8" i="11"/>
  <c r="I8" i="11"/>
  <c r="H8" i="11"/>
  <c r="G8" i="11"/>
  <c r="F8" i="11"/>
  <c r="E8" i="11"/>
  <c r="D8" i="11"/>
  <c r="C8" i="11"/>
  <c r="B8" i="11"/>
  <c r="Q7" i="11"/>
  <c r="P7" i="11"/>
  <c r="O7" i="11"/>
  <c r="N7" i="11"/>
  <c r="M7" i="11"/>
  <c r="L7" i="11"/>
  <c r="K7" i="11"/>
  <c r="J7" i="11"/>
  <c r="I7" i="11"/>
  <c r="H7" i="11"/>
  <c r="G7" i="11"/>
  <c r="F7" i="11"/>
  <c r="E7" i="11"/>
  <c r="D7" i="11"/>
  <c r="C7" i="11"/>
  <c r="B7" i="11"/>
  <c r="Q6" i="11"/>
  <c r="P6" i="11"/>
  <c r="O6" i="11"/>
  <c r="N6" i="11"/>
  <c r="M6" i="11"/>
  <c r="L6" i="11"/>
  <c r="K6" i="11"/>
  <c r="J6" i="11"/>
  <c r="I6" i="11"/>
  <c r="H6" i="11"/>
  <c r="G6" i="11"/>
  <c r="F6" i="11"/>
  <c r="E6" i="11"/>
  <c r="D6" i="11"/>
  <c r="C6" i="11"/>
  <c r="B6" i="11"/>
  <c r="Q5" i="11"/>
  <c r="P5" i="11"/>
  <c r="O5" i="11"/>
  <c r="N5" i="11"/>
  <c r="M5" i="11"/>
  <c r="L5" i="11"/>
  <c r="K5" i="11"/>
  <c r="J5" i="11"/>
  <c r="I5" i="11"/>
  <c r="H5" i="11"/>
  <c r="G5" i="11"/>
  <c r="F5" i="11"/>
  <c r="E5" i="11"/>
  <c r="D5" i="11"/>
  <c r="C5" i="11"/>
  <c r="B5" i="11"/>
  <c r="Q4" i="11"/>
  <c r="P4" i="11"/>
  <c r="O4" i="11"/>
  <c r="N4" i="11"/>
  <c r="M4" i="11"/>
  <c r="L4" i="11"/>
  <c r="K4" i="11"/>
  <c r="J4" i="11"/>
  <c r="I4" i="11"/>
  <c r="H4" i="11"/>
  <c r="G4" i="11"/>
  <c r="F4" i="11"/>
  <c r="E4" i="11"/>
  <c r="D4" i="11"/>
  <c r="C4" i="11"/>
  <c r="B4" i="11"/>
  <c r="Q3" i="11"/>
  <c r="P3" i="11"/>
  <c r="O3" i="11"/>
  <c r="N3" i="11"/>
  <c r="M3" i="11"/>
  <c r="L3" i="11"/>
  <c r="K3" i="11"/>
  <c r="J3" i="11"/>
  <c r="I3" i="11"/>
  <c r="H3" i="11"/>
  <c r="G3" i="11"/>
  <c r="F3" i="11"/>
  <c r="E3" i="11"/>
  <c r="D3" i="11"/>
  <c r="C3" i="11"/>
  <c r="B3" i="11"/>
  <c r="Q2" i="11"/>
  <c r="P2" i="11"/>
  <c r="O2" i="11"/>
  <c r="N2" i="11"/>
  <c r="M2" i="11"/>
  <c r="L2" i="11"/>
  <c r="K2" i="11"/>
  <c r="J2" i="11"/>
  <c r="I2" i="11"/>
  <c r="H2" i="11"/>
  <c r="G2" i="11"/>
  <c r="F2" i="11"/>
  <c r="E2" i="11"/>
  <c r="D2" i="11"/>
  <c r="C2" i="11"/>
  <c r="B2" i="11"/>
  <c r="Q1" i="11"/>
  <c r="P1" i="11"/>
  <c r="O1" i="11"/>
  <c r="N1" i="11"/>
  <c r="M1" i="11"/>
  <c r="L1" i="11"/>
  <c r="K1" i="11"/>
  <c r="J1" i="11"/>
  <c r="I1" i="11"/>
  <c r="H1" i="11"/>
  <c r="G1" i="11"/>
  <c r="F1" i="11"/>
  <c r="E1" i="11"/>
  <c r="D1" i="11"/>
  <c r="C1" i="11"/>
  <c r="B1" i="11"/>
  <c r="D85" i="31"/>
  <c r="E85" i="31" s="1"/>
  <c r="D84" i="31"/>
  <c r="E84" i="31" s="1"/>
  <c r="C83" i="31"/>
  <c r="D81" i="31"/>
  <c r="E82" i="31" s="1"/>
  <c r="I53" i="31"/>
  <c r="H53" i="31"/>
  <c r="G53" i="31"/>
  <c r="F53" i="31"/>
  <c r="E53" i="31"/>
  <c r="D53" i="31"/>
  <c r="C53" i="31"/>
  <c r="B53" i="31"/>
  <c r="B47" i="31"/>
  <c r="I46" i="31"/>
  <c r="H46" i="31"/>
  <c r="G46" i="31"/>
  <c r="F46" i="31"/>
  <c r="E46" i="31"/>
  <c r="D46" i="31"/>
  <c r="C46" i="31"/>
  <c r="B46" i="31"/>
  <c r="K46" i="31" s="1"/>
  <c r="I43" i="31"/>
  <c r="H43" i="31"/>
  <c r="G43" i="31"/>
  <c r="F43" i="31"/>
  <c r="E43" i="31"/>
  <c r="D43" i="31"/>
  <c r="C43" i="31"/>
  <c r="B43" i="31"/>
  <c r="B42" i="31"/>
  <c r="J39" i="31"/>
  <c r="J38" i="31"/>
  <c r="J37" i="31"/>
  <c r="J36" i="31"/>
  <c r="J35" i="31"/>
  <c r="J34" i="31"/>
  <c r="J33" i="31"/>
  <c r="J32" i="31"/>
  <c r="B29" i="31"/>
  <c r="F29" i="31" s="1"/>
  <c r="F25" i="31"/>
  <c r="D25" i="31" s="1"/>
  <c r="D18" i="31"/>
  <c r="E17" i="31"/>
  <c r="E18" i="31" s="1"/>
  <c r="D17" i="31"/>
  <c r="F17" i="31" s="1"/>
  <c r="F16" i="31"/>
  <c r="D15" i="31"/>
  <c r="F15" i="31" s="1"/>
  <c r="F14" i="31"/>
  <c r="F13" i="31"/>
  <c r="D13" i="31"/>
  <c r="F12" i="31"/>
  <c r="D12" i="31"/>
  <c r="F11" i="31"/>
  <c r="D11" i="31"/>
  <c r="D10" i="31"/>
  <c r="F10" i="31" s="1"/>
  <c r="F9" i="31"/>
  <c r="I44" i="31" s="1"/>
  <c r="D9" i="31"/>
  <c r="F8" i="31"/>
  <c r="F18" i="31" s="1"/>
  <c r="M2" i="31"/>
  <c r="Q2" i="31" s="1"/>
  <c r="F324" i="33"/>
  <c r="G324" i="33" s="1"/>
  <c r="G322" i="33" s="1"/>
  <c r="E324" i="33"/>
  <c r="E322" i="33" s="1"/>
  <c r="D324" i="33"/>
  <c r="D322" i="33" s="1"/>
  <c r="C324" i="33"/>
  <c r="B324" i="33"/>
  <c r="F322" i="33"/>
  <c r="C322" i="33"/>
  <c r="B322" i="33"/>
  <c r="D320" i="33"/>
  <c r="D318" i="33" s="1"/>
  <c r="C320" i="33"/>
  <c r="C318" i="33"/>
  <c r="B318" i="33"/>
  <c r="I316" i="33"/>
  <c r="H316" i="33"/>
  <c r="E316" i="33"/>
  <c r="L315" i="33"/>
  <c r="L316" i="33" s="1"/>
  <c r="K315" i="33"/>
  <c r="J315" i="33"/>
  <c r="I315" i="33"/>
  <c r="H315" i="33"/>
  <c r="G315" i="33"/>
  <c r="F315" i="33"/>
  <c r="E315" i="33"/>
  <c r="D315" i="33"/>
  <c r="D316" i="33" s="1"/>
  <c r="C315" i="33"/>
  <c r="B315" i="33"/>
  <c r="L314" i="33"/>
  <c r="K314" i="33"/>
  <c r="K316" i="33" s="1"/>
  <c r="J314" i="33"/>
  <c r="J316" i="33" s="1"/>
  <c r="I314" i="33"/>
  <c r="H314" i="33"/>
  <c r="G314" i="33"/>
  <c r="G316" i="33" s="1"/>
  <c r="F314" i="33"/>
  <c r="F316" i="33" s="1"/>
  <c r="E314" i="33"/>
  <c r="D314" i="33"/>
  <c r="C314" i="33"/>
  <c r="C316" i="33" s="1"/>
  <c r="B314" i="33"/>
  <c r="B316" i="33" s="1"/>
  <c r="R312" i="33"/>
  <c r="Q312" i="33"/>
  <c r="P312" i="33"/>
  <c r="O312" i="33"/>
  <c r="N312" i="33"/>
  <c r="M312" i="33"/>
  <c r="L312" i="33"/>
  <c r="K312" i="33"/>
  <c r="J312" i="33"/>
  <c r="I312" i="33"/>
  <c r="H312" i="33"/>
  <c r="G312" i="33"/>
  <c r="F312" i="33"/>
  <c r="E312" i="33"/>
  <c r="D312" i="33"/>
  <c r="C312" i="33"/>
  <c r="B312" i="33"/>
  <c r="G298" i="33"/>
  <c r="G297" i="33"/>
  <c r="G296" i="33"/>
  <c r="G294" i="33"/>
  <c r="G293" i="33"/>
  <c r="D293" i="33"/>
  <c r="H292" i="33"/>
  <c r="G292" i="33"/>
  <c r="H291" i="33"/>
  <c r="G291" i="33"/>
  <c r="H290" i="33"/>
  <c r="G290" i="33"/>
  <c r="H289" i="33"/>
  <c r="G289" i="33"/>
  <c r="E259" i="33"/>
  <c r="G259" i="33" s="1"/>
  <c r="A259" i="33"/>
  <c r="A257" i="33"/>
  <c r="G252" i="33"/>
  <c r="A247" i="33"/>
  <c r="G241" i="33"/>
  <c r="A224" i="33"/>
  <c r="B222" i="33"/>
  <c r="V219" i="33"/>
  <c r="U219" i="33"/>
  <c r="T219" i="33"/>
  <c r="S219" i="33"/>
  <c r="R219" i="33"/>
  <c r="A215" i="33"/>
  <c r="V209" i="33"/>
  <c r="D206" i="33"/>
  <c r="D222" i="33" s="1"/>
  <c r="C206" i="33"/>
  <c r="C222" i="33" s="1"/>
  <c r="B206" i="33"/>
  <c r="F197" i="33"/>
  <c r="C196" i="33"/>
  <c r="F195" i="33"/>
  <c r="C195" i="33"/>
  <c r="B195" i="33"/>
  <c r="G183" i="33"/>
  <c r="F183" i="33"/>
  <c r="F196" i="33" s="1"/>
  <c r="E183" i="33"/>
  <c r="E195" i="33" s="1"/>
  <c r="D183" i="33"/>
  <c r="C183" i="33"/>
  <c r="C197" i="33" s="1"/>
  <c r="B183" i="33"/>
  <c r="V179" i="33"/>
  <c r="U179" i="33"/>
  <c r="T179" i="33"/>
  <c r="S179" i="33"/>
  <c r="R179" i="33"/>
  <c r="Q179" i="33"/>
  <c r="P179" i="33"/>
  <c r="O179" i="33"/>
  <c r="N179" i="33"/>
  <c r="M179" i="33"/>
  <c r="L179" i="33"/>
  <c r="K179" i="33"/>
  <c r="J179" i="33"/>
  <c r="I179" i="33"/>
  <c r="H179" i="33"/>
  <c r="G179" i="33"/>
  <c r="F179" i="33"/>
  <c r="E179" i="33"/>
  <c r="D179" i="33"/>
  <c r="C179" i="33"/>
  <c r="B179" i="33"/>
  <c r="V177" i="33"/>
  <c r="U177" i="33"/>
  <c r="T177" i="33"/>
  <c r="S177" i="33"/>
  <c r="R177" i="33"/>
  <c r="Q177" i="33"/>
  <c r="P177" i="33"/>
  <c r="O177" i="33"/>
  <c r="N177" i="33"/>
  <c r="M177" i="33"/>
  <c r="L177" i="33"/>
  <c r="K177" i="33"/>
  <c r="J177" i="33"/>
  <c r="I177" i="33"/>
  <c r="H177" i="33"/>
  <c r="G177" i="33"/>
  <c r="F177" i="33"/>
  <c r="E177" i="33"/>
  <c r="D177" i="33"/>
  <c r="C177" i="33"/>
  <c r="B177" i="33"/>
  <c r="I168" i="33"/>
  <c r="H168" i="33"/>
  <c r="G168" i="33"/>
  <c r="B160" i="33"/>
  <c r="V154" i="33"/>
  <c r="U154" i="33"/>
  <c r="T154" i="33"/>
  <c r="S154" i="33"/>
  <c r="R154" i="33"/>
  <c r="Q154" i="33"/>
  <c r="P154" i="33"/>
  <c r="O154" i="33"/>
  <c r="N154" i="33"/>
  <c r="M154" i="33"/>
  <c r="L154" i="33"/>
  <c r="K154" i="33"/>
  <c r="J154" i="33"/>
  <c r="I154" i="33"/>
  <c r="H154" i="33"/>
  <c r="G154" i="33"/>
  <c r="F154" i="33"/>
  <c r="E154" i="33"/>
  <c r="D154" i="33"/>
  <c r="C154" i="33"/>
  <c r="V153" i="33"/>
  <c r="U153" i="33"/>
  <c r="T153" i="33"/>
  <c r="S153" i="33"/>
  <c r="R153" i="33"/>
  <c r="Q153" i="33"/>
  <c r="P153" i="33"/>
  <c r="O153" i="33"/>
  <c r="N153" i="33"/>
  <c r="M153" i="33"/>
  <c r="L153" i="33"/>
  <c r="K153" i="33"/>
  <c r="J153" i="33"/>
  <c r="I153" i="33"/>
  <c r="H153" i="33"/>
  <c r="G153" i="33"/>
  <c r="F153" i="33"/>
  <c r="E153" i="33"/>
  <c r="D153" i="33"/>
  <c r="C153" i="33"/>
  <c r="F152" i="33"/>
  <c r="E152" i="33"/>
  <c r="D152" i="33"/>
  <c r="C152" i="33"/>
  <c r="F151" i="33"/>
  <c r="E151" i="33"/>
  <c r="D151" i="33"/>
  <c r="C151" i="33"/>
  <c r="F150" i="33"/>
  <c r="E150" i="33"/>
  <c r="D150" i="33"/>
  <c r="C150" i="33"/>
  <c r="G149" i="33"/>
  <c r="F149" i="33"/>
  <c r="E149" i="33"/>
  <c r="D149" i="33"/>
  <c r="C149" i="33"/>
  <c r="A149" i="33"/>
  <c r="G148" i="33"/>
  <c r="F148" i="33"/>
  <c r="E148" i="33"/>
  <c r="D148" i="33"/>
  <c r="C148" i="33"/>
  <c r="G147" i="33"/>
  <c r="F147" i="33"/>
  <c r="E147" i="33"/>
  <c r="D147" i="33"/>
  <c r="C147" i="33"/>
  <c r="F145" i="33"/>
  <c r="E145" i="33"/>
  <c r="D145" i="33"/>
  <c r="C145" i="33"/>
  <c r="F139" i="33"/>
  <c r="E139" i="33"/>
  <c r="D139" i="33"/>
  <c r="C139" i="33"/>
  <c r="V137" i="33"/>
  <c r="U137" i="33"/>
  <c r="T137" i="33"/>
  <c r="S137" i="33"/>
  <c r="R137" i="33"/>
  <c r="Q137" i="33"/>
  <c r="P137" i="33"/>
  <c r="O137" i="33"/>
  <c r="N137" i="33"/>
  <c r="M137" i="33"/>
  <c r="L137" i="33"/>
  <c r="K137" i="33"/>
  <c r="J137" i="33"/>
  <c r="I137" i="33"/>
  <c r="H137" i="33"/>
  <c r="G137" i="33"/>
  <c r="F137" i="33"/>
  <c r="E137" i="33"/>
  <c r="D137" i="33"/>
  <c r="C137" i="33"/>
  <c r="V136" i="33"/>
  <c r="U136" i="33"/>
  <c r="T136" i="33"/>
  <c r="S136" i="33"/>
  <c r="R136" i="33"/>
  <c r="Q136" i="33"/>
  <c r="P136" i="33"/>
  <c r="O136" i="33"/>
  <c r="N136" i="33"/>
  <c r="M136" i="33"/>
  <c r="L136" i="33"/>
  <c r="K136" i="33"/>
  <c r="J136" i="33"/>
  <c r="I136" i="33"/>
  <c r="H136" i="33"/>
  <c r="G136" i="33"/>
  <c r="F136" i="33"/>
  <c r="E136" i="33"/>
  <c r="D136" i="33"/>
  <c r="C136" i="33"/>
  <c r="F135" i="33"/>
  <c r="E135" i="33"/>
  <c r="D135" i="33"/>
  <c r="C135" i="33"/>
  <c r="F134" i="33"/>
  <c r="E134" i="33"/>
  <c r="D134" i="33"/>
  <c r="C134" i="33"/>
  <c r="F133" i="33"/>
  <c r="E133" i="33"/>
  <c r="D133" i="33"/>
  <c r="C133" i="33"/>
  <c r="A133" i="33"/>
  <c r="F132" i="33"/>
  <c r="E132" i="33"/>
  <c r="D132" i="33"/>
  <c r="C132" i="33"/>
  <c r="F131" i="33"/>
  <c r="E131" i="33"/>
  <c r="D131" i="33"/>
  <c r="C131" i="33"/>
  <c r="F130" i="33"/>
  <c r="E130" i="33"/>
  <c r="D130" i="33"/>
  <c r="C130" i="33"/>
  <c r="I128" i="33"/>
  <c r="H128" i="33"/>
  <c r="G128" i="33"/>
  <c r="F125" i="33"/>
  <c r="E125" i="33"/>
  <c r="D125" i="33"/>
  <c r="C125" i="33"/>
  <c r="B125" i="33"/>
  <c r="B194" i="33" s="1"/>
  <c r="F118" i="33"/>
  <c r="E118" i="33"/>
  <c r="D118" i="33"/>
  <c r="C118" i="33"/>
  <c r="B118" i="33"/>
  <c r="G113" i="33"/>
  <c r="H113" i="33" s="1"/>
  <c r="I113" i="33" s="1"/>
  <c r="J113" i="33" s="1"/>
  <c r="K113" i="33" s="1"/>
  <c r="L113" i="33" s="1"/>
  <c r="M113" i="33" s="1"/>
  <c r="N113" i="33" s="1"/>
  <c r="O113" i="33" s="1"/>
  <c r="P113" i="33" s="1"/>
  <c r="Q113" i="33" s="1"/>
  <c r="R113" i="33" s="1"/>
  <c r="S113" i="33" s="1"/>
  <c r="T113" i="33" s="1"/>
  <c r="U113" i="33" s="1"/>
  <c r="V113" i="33" s="1"/>
  <c r="F106" i="33"/>
  <c r="F178" i="33" s="1"/>
  <c r="E106" i="33"/>
  <c r="E178" i="33" s="1"/>
  <c r="D106" i="33"/>
  <c r="D178" i="33" s="1"/>
  <c r="C106" i="33"/>
  <c r="C178" i="33" s="1"/>
  <c r="B106" i="33"/>
  <c r="B178" i="33" s="1"/>
  <c r="H104" i="33"/>
  <c r="I104" i="33" s="1"/>
  <c r="J104" i="33" s="1"/>
  <c r="K104" i="33" s="1"/>
  <c r="F99" i="33"/>
  <c r="F171" i="33" s="1"/>
  <c r="F191" i="33" s="1"/>
  <c r="E99" i="33"/>
  <c r="D99" i="33"/>
  <c r="C99" i="33"/>
  <c r="C171" i="33" s="1"/>
  <c r="C191" i="33" s="1"/>
  <c r="B99" i="33"/>
  <c r="B171" i="33" s="1"/>
  <c r="B191" i="33" s="1"/>
  <c r="U95" i="33"/>
  <c r="T95" i="33"/>
  <c r="S95" i="33"/>
  <c r="R95" i="33"/>
  <c r="Q95" i="33"/>
  <c r="P95" i="33"/>
  <c r="O95" i="33"/>
  <c r="N95" i="33"/>
  <c r="M95" i="33"/>
  <c r="L95" i="33"/>
  <c r="K95" i="33"/>
  <c r="J95" i="33"/>
  <c r="I95" i="33"/>
  <c r="H95" i="33"/>
  <c r="G95" i="33"/>
  <c r="G104" i="33" s="1"/>
  <c r="A95" i="33"/>
  <c r="V93" i="33"/>
  <c r="U93" i="33"/>
  <c r="T93" i="33"/>
  <c r="S93" i="33"/>
  <c r="R93" i="33"/>
  <c r="Q93" i="33"/>
  <c r="P93" i="33"/>
  <c r="O93" i="33"/>
  <c r="N93" i="33"/>
  <c r="M93" i="33"/>
  <c r="L93" i="33"/>
  <c r="K93" i="33"/>
  <c r="L91" i="33"/>
  <c r="M91" i="33" s="1"/>
  <c r="K91" i="33"/>
  <c r="H91" i="33"/>
  <c r="I91" i="33" s="1"/>
  <c r="J91" i="33" s="1"/>
  <c r="G91" i="33"/>
  <c r="I88" i="33"/>
  <c r="H88" i="33"/>
  <c r="G88" i="33"/>
  <c r="D88" i="33"/>
  <c r="C88" i="33"/>
  <c r="AB86" i="33"/>
  <c r="AA86" i="33"/>
  <c r="Z86" i="33"/>
  <c r="Y86" i="33"/>
  <c r="X86" i="33"/>
  <c r="E78" i="33"/>
  <c r="D78" i="33"/>
  <c r="C78" i="33"/>
  <c r="E76" i="33"/>
  <c r="D76" i="33"/>
  <c r="C76" i="33"/>
  <c r="B76" i="33"/>
  <c r="B78" i="33" s="1"/>
  <c r="G75" i="33"/>
  <c r="H75" i="33" s="1"/>
  <c r="I75" i="33" s="1"/>
  <c r="J75" i="33" s="1"/>
  <c r="K75" i="33" s="1"/>
  <c r="L75" i="33" s="1"/>
  <c r="M75" i="33" s="1"/>
  <c r="N75" i="33" s="1"/>
  <c r="O75" i="33" s="1"/>
  <c r="P75" i="33" s="1"/>
  <c r="Q75" i="33" s="1"/>
  <c r="R75" i="33" s="1"/>
  <c r="S75" i="33" s="1"/>
  <c r="T75" i="33" s="1"/>
  <c r="U75" i="33" s="1"/>
  <c r="V75" i="33" s="1"/>
  <c r="F75" i="33"/>
  <c r="G74" i="33"/>
  <c r="F74" i="33"/>
  <c r="E70" i="33"/>
  <c r="B70" i="33"/>
  <c r="B176" i="33" s="1"/>
  <c r="E68" i="33"/>
  <c r="D68" i="33"/>
  <c r="D70" i="33" s="1"/>
  <c r="C68" i="33"/>
  <c r="C70" i="33" s="1"/>
  <c r="B68" i="33"/>
  <c r="V66" i="33"/>
  <c r="U66" i="33"/>
  <c r="T66" i="33"/>
  <c r="S66" i="33"/>
  <c r="R66" i="33"/>
  <c r="Q66" i="33"/>
  <c r="P66" i="33"/>
  <c r="O66" i="33"/>
  <c r="N66" i="33"/>
  <c r="M66" i="33"/>
  <c r="L66" i="33"/>
  <c r="K66" i="33"/>
  <c r="J66" i="33"/>
  <c r="I66" i="33"/>
  <c r="H66" i="33"/>
  <c r="G66" i="33"/>
  <c r="H65" i="33"/>
  <c r="I65" i="33" s="1"/>
  <c r="J65" i="33" s="1"/>
  <c r="K65" i="33" s="1"/>
  <c r="L65" i="33" s="1"/>
  <c r="M65" i="33" s="1"/>
  <c r="N65" i="33" s="1"/>
  <c r="O65" i="33" s="1"/>
  <c r="P65" i="33" s="1"/>
  <c r="Q65" i="33" s="1"/>
  <c r="R65" i="33" s="1"/>
  <c r="S65" i="33" s="1"/>
  <c r="T65" i="33" s="1"/>
  <c r="U65" i="33" s="1"/>
  <c r="V65" i="33" s="1"/>
  <c r="G65" i="33"/>
  <c r="F65" i="33"/>
  <c r="G64" i="33"/>
  <c r="H64" i="33" s="1"/>
  <c r="I64" i="33" s="1"/>
  <c r="J64" i="33" s="1"/>
  <c r="K64" i="33" s="1"/>
  <c r="L64" i="33" s="1"/>
  <c r="M64" i="33" s="1"/>
  <c r="N64" i="33" s="1"/>
  <c r="O64" i="33" s="1"/>
  <c r="P64" i="33" s="1"/>
  <c r="Q64" i="33" s="1"/>
  <c r="R64" i="33" s="1"/>
  <c r="S64" i="33" s="1"/>
  <c r="T64" i="33" s="1"/>
  <c r="U64" i="33" s="1"/>
  <c r="V64" i="33" s="1"/>
  <c r="F64" i="33"/>
  <c r="G63" i="33"/>
  <c r="H63" i="33" s="1"/>
  <c r="I63" i="33" s="1"/>
  <c r="J63" i="33" s="1"/>
  <c r="K63" i="33" s="1"/>
  <c r="L63" i="33" s="1"/>
  <c r="M63" i="33" s="1"/>
  <c r="N63" i="33" s="1"/>
  <c r="O63" i="33" s="1"/>
  <c r="P63" i="33" s="1"/>
  <c r="Q63" i="33" s="1"/>
  <c r="R63" i="33" s="1"/>
  <c r="S63" i="33" s="1"/>
  <c r="T63" i="33" s="1"/>
  <c r="U63" i="33" s="1"/>
  <c r="V63" i="33" s="1"/>
  <c r="F63" i="33"/>
  <c r="K62" i="33"/>
  <c r="L62" i="33" s="1"/>
  <c r="M62" i="33" s="1"/>
  <c r="N62" i="33" s="1"/>
  <c r="O62" i="33" s="1"/>
  <c r="P62" i="33" s="1"/>
  <c r="Q62" i="33" s="1"/>
  <c r="R62" i="33" s="1"/>
  <c r="S62" i="33" s="1"/>
  <c r="T62" i="33" s="1"/>
  <c r="U62" i="33" s="1"/>
  <c r="V62" i="33" s="1"/>
  <c r="G62" i="33"/>
  <c r="H62" i="33" s="1"/>
  <c r="I62" i="33" s="1"/>
  <c r="J62" i="33" s="1"/>
  <c r="F62" i="33"/>
  <c r="G61" i="33"/>
  <c r="F61" i="33"/>
  <c r="H60" i="33"/>
  <c r="G60" i="33"/>
  <c r="F60" i="33"/>
  <c r="G59" i="33"/>
  <c r="F59" i="33"/>
  <c r="F57" i="33"/>
  <c r="F170" i="33" s="1"/>
  <c r="F173" i="33" s="1"/>
  <c r="E57" i="33"/>
  <c r="D57" i="33"/>
  <c r="C57" i="33"/>
  <c r="B57" i="33"/>
  <c r="G53" i="33"/>
  <c r="G51" i="33"/>
  <c r="I48" i="33"/>
  <c r="H48" i="33"/>
  <c r="G48" i="33"/>
  <c r="D48" i="33"/>
  <c r="C48" i="33"/>
  <c r="V38" i="33"/>
  <c r="U38" i="33"/>
  <c r="T38" i="33"/>
  <c r="S38" i="33"/>
  <c r="R38" i="33"/>
  <c r="Q38" i="33"/>
  <c r="P38" i="33"/>
  <c r="O38" i="33"/>
  <c r="N38" i="33"/>
  <c r="M38" i="33"/>
  <c r="L38" i="33"/>
  <c r="K38" i="33"/>
  <c r="J38" i="33"/>
  <c r="I38" i="33"/>
  <c r="H38" i="33"/>
  <c r="G38" i="33"/>
  <c r="C33" i="33"/>
  <c r="C36" i="33" s="1"/>
  <c r="F31" i="33"/>
  <c r="E31" i="33"/>
  <c r="D31" i="33"/>
  <c r="C31" i="33"/>
  <c r="B31" i="33"/>
  <c r="G26" i="33"/>
  <c r="H297" i="33" s="1"/>
  <c r="E22" i="33"/>
  <c r="D22" i="33"/>
  <c r="C22" i="33"/>
  <c r="C184" i="33" s="1"/>
  <c r="F20" i="33"/>
  <c r="E20" i="33"/>
  <c r="D20" i="33"/>
  <c r="C20" i="33"/>
  <c r="B20" i="33"/>
  <c r="B22" i="33" s="1"/>
  <c r="B184" i="33" s="1"/>
  <c r="G16" i="33"/>
  <c r="I6" i="33"/>
  <c r="J288" i="33" s="1"/>
  <c r="H6" i="33"/>
  <c r="I288" i="33" s="1"/>
  <c r="G6" i="33"/>
  <c r="H288" i="33" s="1"/>
  <c r="F6" i="33"/>
  <c r="E6" i="33"/>
  <c r="D6" i="33"/>
  <c r="C6" i="33"/>
  <c r="B6" i="33"/>
  <c r="C405" i="32"/>
  <c r="F388" i="32"/>
  <c r="F386" i="32"/>
  <c r="F385" i="32"/>
  <c r="F380" i="32"/>
  <c r="F376" i="32"/>
  <c r="F374" i="32"/>
  <c r="F373" i="32"/>
  <c r="E366" i="32"/>
  <c r="H360" i="32" s="1"/>
  <c r="C365" i="32"/>
  <c r="D365" i="32" s="1"/>
  <c r="C364" i="32"/>
  <c r="D364" i="32" s="1"/>
  <c r="C363" i="32"/>
  <c r="C362" i="32"/>
  <c r="C361" i="32"/>
  <c r="C360" i="32"/>
  <c r="F346" i="32"/>
  <c r="E346" i="32"/>
  <c r="D346" i="32"/>
  <c r="F344" i="32"/>
  <c r="F343" i="32"/>
  <c r="E341" i="32"/>
  <c r="F69" i="33" s="1"/>
  <c r="D341" i="32"/>
  <c r="G339" i="32"/>
  <c r="F339" i="32"/>
  <c r="G338" i="32"/>
  <c r="F338" i="32"/>
  <c r="G337" i="32"/>
  <c r="F337" i="32"/>
  <c r="G336" i="32"/>
  <c r="G341" i="32" s="1"/>
  <c r="G14" i="33" s="1"/>
  <c r="F336" i="32"/>
  <c r="F341" i="32" s="1"/>
  <c r="G335" i="32"/>
  <c r="F335" i="32"/>
  <c r="G334" i="32"/>
  <c r="F334" i="32"/>
  <c r="F330" i="32"/>
  <c r="AR324" i="32"/>
  <c r="AQ324" i="32"/>
  <c r="AP324" i="32"/>
  <c r="AN324" i="32"/>
  <c r="AO324" i="32" s="1"/>
  <c r="C324" i="32"/>
  <c r="AU323" i="32"/>
  <c r="AT323" i="32"/>
  <c r="AS323" i="32"/>
  <c r="AR323" i="32"/>
  <c r="AQ323" i="32"/>
  <c r="AP323" i="32"/>
  <c r="AN323" i="32"/>
  <c r="AO323" i="32" s="1"/>
  <c r="C323" i="32"/>
  <c r="AN322" i="32"/>
  <c r="AV321" i="32"/>
  <c r="AU321" i="32"/>
  <c r="AO321" i="32"/>
  <c r="AN321" i="32"/>
  <c r="AN320" i="32"/>
  <c r="AU319" i="32"/>
  <c r="AR319" i="32"/>
  <c r="AQ319" i="32"/>
  <c r="AP319" i="32"/>
  <c r="AO319" i="32"/>
  <c r="AN319" i="32"/>
  <c r="AV319" i="32" s="1"/>
  <c r="AR318" i="32"/>
  <c r="AQ318" i="32"/>
  <c r="AP318" i="32"/>
  <c r="AN318" i="32"/>
  <c r="AO318" i="32" s="1"/>
  <c r="AN317" i="32"/>
  <c r="AR316" i="32"/>
  <c r="AQ316" i="32"/>
  <c r="AP316" i="32"/>
  <c r="AN316" i="32"/>
  <c r="AO316" i="32" s="1"/>
  <c r="G316" i="32"/>
  <c r="E316" i="32"/>
  <c r="P94" i="33" s="1"/>
  <c r="D316" i="32"/>
  <c r="G315" i="32"/>
  <c r="E315" i="32"/>
  <c r="O94" i="33" s="1"/>
  <c r="D315" i="32"/>
  <c r="AM314" i="32"/>
  <c r="G314" i="32"/>
  <c r="E314" i="32"/>
  <c r="N94" i="33" s="1"/>
  <c r="D314" i="32"/>
  <c r="AM313" i="32"/>
  <c r="G313" i="32"/>
  <c r="E313" i="32"/>
  <c r="M94" i="33" s="1"/>
  <c r="D313" i="32"/>
  <c r="AT312" i="32"/>
  <c r="AS312" i="32"/>
  <c r="AR312" i="32"/>
  <c r="AP312" i="32"/>
  <c r="AM312" i="32"/>
  <c r="AQ312" i="32" s="1"/>
  <c r="G312" i="32"/>
  <c r="E312" i="32"/>
  <c r="L94" i="33" s="1"/>
  <c r="D312" i="32"/>
  <c r="AT311" i="32"/>
  <c r="AS311" i="32"/>
  <c r="AR311" i="32"/>
  <c r="AQ311" i="32"/>
  <c r="AP311" i="32"/>
  <c r="AO311" i="32"/>
  <c r="AM311" i="32"/>
  <c r="AV311" i="32" s="1"/>
  <c r="G311" i="32"/>
  <c r="E311" i="32"/>
  <c r="K94" i="33" s="1"/>
  <c r="D311" i="32"/>
  <c r="AV310" i="32"/>
  <c r="AT310" i="32"/>
  <c r="AS310" i="32"/>
  <c r="AR310" i="32"/>
  <c r="AQ310" i="32"/>
  <c r="AP310" i="32"/>
  <c r="AO310" i="32"/>
  <c r="AN310" i="32"/>
  <c r="AM310" i="32"/>
  <c r="AU310" i="32" s="1"/>
  <c r="H310" i="32"/>
  <c r="U94" i="33" s="1"/>
  <c r="G310" i="32"/>
  <c r="E310" i="32"/>
  <c r="J94" i="33" s="1"/>
  <c r="D310" i="32"/>
  <c r="J93" i="33" s="1"/>
  <c r="AV309" i="32"/>
  <c r="AT309" i="32"/>
  <c r="AS309" i="32"/>
  <c r="AR309" i="32"/>
  <c r="AQ309" i="32"/>
  <c r="AP309" i="32"/>
  <c r="AO309" i="32"/>
  <c r="AN309" i="32"/>
  <c r="AM309" i="32"/>
  <c r="AU309" i="32" s="1"/>
  <c r="H309" i="32"/>
  <c r="T94" i="33" s="1"/>
  <c r="G309" i="32"/>
  <c r="E309" i="32"/>
  <c r="I94" i="33" s="1"/>
  <c r="D309" i="32"/>
  <c r="I93" i="33" s="1"/>
  <c r="AV308" i="32"/>
  <c r="AT308" i="32"/>
  <c r="AS308" i="32"/>
  <c r="AR308" i="32"/>
  <c r="AQ308" i="32"/>
  <c r="AP308" i="32"/>
  <c r="AO308" i="32"/>
  <c r="AN308" i="32"/>
  <c r="AM308" i="32"/>
  <c r="AU308" i="32" s="1"/>
  <c r="H308" i="32"/>
  <c r="S94" i="33" s="1"/>
  <c r="G308" i="32"/>
  <c r="E308" i="32"/>
  <c r="H94" i="33" s="1"/>
  <c r="D308" i="32"/>
  <c r="H93" i="33" s="1"/>
  <c r="C308" i="32"/>
  <c r="AV307" i="32"/>
  <c r="AT307" i="32"/>
  <c r="AS307" i="32"/>
  <c r="AR307" i="32"/>
  <c r="AQ307" i="32"/>
  <c r="AP307" i="32"/>
  <c r="AO307" i="32"/>
  <c r="AN307" i="32"/>
  <c r="AM307" i="32"/>
  <c r="AU307" i="32" s="1"/>
  <c r="H307" i="32"/>
  <c r="R94" i="33" s="1"/>
  <c r="G307" i="32"/>
  <c r="E307" i="32"/>
  <c r="G94" i="33" s="1"/>
  <c r="G103" i="33" s="1"/>
  <c r="D307" i="32"/>
  <c r="G93" i="33" s="1"/>
  <c r="C307" i="32"/>
  <c r="AV306" i="32"/>
  <c r="AT306" i="32"/>
  <c r="AS306" i="32"/>
  <c r="AR306" i="32"/>
  <c r="AQ306" i="32"/>
  <c r="AP306" i="32"/>
  <c r="AO306" i="32"/>
  <c r="AN306" i="32"/>
  <c r="AM306" i="32"/>
  <c r="AU306" i="32" s="1"/>
  <c r="H306" i="32"/>
  <c r="Q94" i="33" s="1"/>
  <c r="G306" i="32"/>
  <c r="E306" i="32"/>
  <c r="D306" i="32"/>
  <c r="C306" i="32"/>
  <c r="AS304" i="32"/>
  <c r="AR304" i="32"/>
  <c r="AQ304" i="32"/>
  <c r="AO304" i="32"/>
  <c r="AL304" i="32"/>
  <c r="AP304" i="32" s="1"/>
  <c r="AV303" i="32"/>
  <c r="AU303" i="32"/>
  <c r="AT303" i="32"/>
  <c r="AR303" i="32"/>
  <c r="AL303" i="32"/>
  <c r="AV302" i="32"/>
  <c r="AU302" i="32"/>
  <c r="AS302" i="32"/>
  <c r="AR302" i="32"/>
  <c r="AQ302" i="32"/>
  <c r="AP302" i="32"/>
  <c r="AO302" i="32"/>
  <c r="AN302" i="32"/>
  <c r="AM302" i="32"/>
  <c r="AL302" i="32"/>
  <c r="AT302" i="32" s="1"/>
  <c r="AU301" i="32"/>
  <c r="AT301" i="32"/>
  <c r="AL301" i="32"/>
  <c r="AV300" i="32"/>
  <c r="AU300" i="32"/>
  <c r="AS300" i="32"/>
  <c r="AP300" i="32"/>
  <c r="AO300" i="32"/>
  <c r="AN300" i="32"/>
  <c r="AM300" i="32"/>
  <c r="AL300" i="32"/>
  <c r="AT300" i="32" s="1"/>
  <c r="AV299" i="32"/>
  <c r="AS299" i="32"/>
  <c r="AR299" i="32"/>
  <c r="AQ299" i="32"/>
  <c r="AP299" i="32"/>
  <c r="AO299" i="32"/>
  <c r="AN299" i="32"/>
  <c r="AL299" i="32"/>
  <c r="AU299" i="32" s="1"/>
  <c r="AV298" i="32"/>
  <c r="AU298" i="32"/>
  <c r="AT298" i="32"/>
  <c r="AL298" i="32"/>
  <c r="AV297" i="32"/>
  <c r="AT297" i="32"/>
  <c r="AQ297" i="32"/>
  <c r="AL297" i="32"/>
  <c r="AT296" i="32"/>
  <c r="AS296" i="32"/>
  <c r="AR296" i="32"/>
  <c r="AL296" i="32"/>
  <c r="AU294" i="32"/>
  <c r="AK294" i="32"/>
  <c r="AT293" i="32"/>
  <c r="AK293" i="32"/>
  <c r="AV292" i="32"/>
  <c r="AS292" i="32"/>
  <c r="AP292" i="32"/>
  <c r="AO292" i="32"/>
  <c r="AN292" i="32"/>
  <c r="AM292" i="32"/>
  <c r="AL292" i="32"/>
  <c r="AK292" i="32"/>
  <c r="AT292" i="32" s="1"/>
  <c r="G292" i="32"/>
  <c r="F292" i="32"/>
  <c r="AV291" i="32"/>
  <c r="AU291" i="32"/>
  <c r="AT291" i="32"/>
  <c r="AQ291" i="32"/>
  <c r="AP291" i="32"/>
  <c r="AO291" i="32"/>
  <c r="AN291" i="32"/>
  <c r="AM291" i="32"/>
  <c r="AL291" i="32"/>
  <c r="AK291" i="32"/>
  <c r="AS291" i="32" s="1"/>
  <c r="AK290" i="32"/>
  <c r="AV289" i="32"/>
  <c r="AU289" i="32"/>
  <c r="AT289" i="32"/>
  <c r="AQ289" i="32"/>
  <c r="AP289" i="32"/>
  <c r="AO289" i="32"/>
  <c r="AN289" i="32"/>
  <c r="AM289" i="32"/>
  <c r="AL289" i="32"/>
  <c r="AK289" i="32"/>
  <c r="AS289" i="32" s="1"/>
  <c r="AT288" i="32"/>
  <c r="AS288" i="32"/>
  <c r="AR288" i="32"/>
  <c r="AQ288" i="32"/>
  <c r="AP288" i="32"/>
  <c r="AM288" i="32"/>
  <c r="AL288" i="32"/>
  <c r="AK288" i="32"/>
  <c r="AV287" i="32"/>
  <c r="AU287" i="32"/>
  <c r="AT287" i="32"/>
  <c r="AQ287" i="32"/>
  <c r="AP287" i="32"/>
  <c r="AO287" i="32"/>
  <c r="AN287" i="32"/>
  <c r="AM287" i="32"/>
  <c r="AL287" i="32"/>
  <c r="AK287" i="32"/>
  <c r="AS287" i="32" s="1"/>
  <c r="AT286" i="32"/>
  <c r="AS286" i="32"/>
  <c r="AR286" i="32"/>
  <c r="AK286" i="32"/>
  <c r="AJ284" i="32"/>
  <c r="AV283" i="32"/>
  <c r="AS283" i="32"/>
  <c r="AR283" i="32"/>
  <c r="AO283" i="32"/>
  <c r="AN283" i="32"/>
  <c r="AM283" i="32"/>
  <c r="AL283" i="32"/>
  <c r="AJ283" i="32"/>
  <c r="AR282" i="32"/>
  <c r="AQ282" i="32"/>
  <c r="AP282" i="32"/>
  <c r="AO282" i="32"/>
  <c r="AJ282" i="32"/>
  <c r="AS282" i="32" s="1"/>
  <c r="AV281" i="32"/>
  <c r="AU281" i="32"/>
  <c r="AT281" i="32"/>
  <c r="AQ281" i="32"/>
  <c r="AP281" i="32"/>
  <c r="AO281" i="32"/>
  <c r="AN281" i="32"/>
  <c r="AM281" i="32"/>
  <c r="AL281" i="32"/>
  <c r="AJ281" i="32"/>
  <c r="AS281" i="32" s="1"/>
  <c r="AU280" i="32"/>
  <c r="AT280" i="32"/>
  <c r="AK280" i="32"/>
  <c r="AJ280" i="32"/>
  <c r="AS279" i="32"/>
  <c r="AR279" i="32"/>
  <c r="AQ279" i="32"/>
  <c r="AP279" i="32"/>
  <c r="AO279" i="32"/>
  <c r="AN279" i="32"/>
  <c r="AK279" i="32"/>
  <c r="AJ279" i="32"/>
  <c r="AV278" i="32"/>
  <c r="AU278" i="32"/>
  <c r="AT278" i="32"/>
  <c r="AS278" i="32"/>
  <c r="AP278" i="32"/>
  <c r="AO278" i="32"/>
  <c r="AN278" i="32"/>
  <c r="AM278" i="32"/>
  <c r="AL278" i="32"/>
  <c r="AK278" i="32"/>
  <c r="AJ278" i="32"/>
  <c r="AR278" i="32" s="1"/>
  <c r="AS277" i="32"/>
  <c r="AR277" i="32"/>
  <c r="AJ277" i="32"/>
  <c r="H277" i="32"/>
  <c r="G277" i="32"/>
  <c r="F277" i="32"/>
  <c r="AR276" i="32"/>
  <c r="AQ276" i="32"/>
  <c r="AP276" i="32"/>
  <c r="AM276" i="32"/>
  <c r="AJ276" i="32"/>
  <c r="AS276" i="32" s="1"/>
  <c r="AR274" i="32"/>
  <c r="AQ274" i="32"/>
  <c r="AI274" i="32"/>
  <c r="AI273" i="32"/>
  <c r="AV272" i="32"/>
  <c r="AU272" i="32"/>
  <c r="AT272" i="32"/>
  <c r="AS272" i="32"/>
  <c r="AR272" i="32"/>
  <c r="AO272" i="32"/>
  <c r="AN272" i="32"/>
  <c r="AM272" i="32"/>
  <c r="AL272" i="32"/>
  <c r="AK272" i="32"/>
  <c r="AJ272" i="32"/>
  <c r="AI272" i="32"/>
  <c r="AQ272" i="32" s="1"/>
  <c r="AI271" i="32"/>
  <c r="AV270" i="32"/>
  <c r="AR270" i="32"/>
  <c r="AQ270" i="32"/>
  <c r="AP270" i="32"/>
  <c r="AO270" i="32"/>
  <c r="AN270" i="32"/>
  <c r="AK270" i="32"/>
  <c r="AJ270" i="32"/>
  <c r="AI270" i="32"/>
  <c r="AQ269" i="32"/>
  <c r="AP269" i="32"/>
  <c r="AO269" i="32"/>
  <c r="AN269" i="32"/>
  <c r="AI269" i="32"/>
  <c r="AT269" i="32" s="1"/>
  <c r="AV268" i="32"/>
  <c r="AU268" i="32"/>
  <c r="AT268" i="32"/>
  <c r="AS268" i="32"/>
  <c r="AR268" i="32"/>
  <c r="AO268" i="32"/>
  <c r="AN268" i="32"/>
  <c r="AM268" i="32"/>
  <c r="AL268" i="32"/>
  <c r="AK268" i="32"/>
  <c r="AJ268" i="32"/>
  <c r="AI268" i="32"/>
  <c r="AQ268" i="32" s="1"/>
  <c r="AU267" i="32"/>
  <c r="AR267" i="32"/>
  <c r="AQ267" i="32"/>
  <c r="AP267" i="32"/>
  <c r="AM267" i="32"/>
  <c r="AL267" i="32"/>
  <c r="AK267" i="32"/>
  <c r="AI267" i="32"/>
  <c r="AV266" i="32"/>
  <c r="AR266" i="32"/>
  <c r="AQ266" i="32"/>
  <c r="AP266" i="32"/>
  <c r="AO266" i="32"/>
  <c r="AJ266" i="32"/>
  <c r="AI266" i="32"/>
  <c r="F265" i="32"/>
  <c r="E265" i="32"/>
  <c r="AH264" i="32"/>
  <c r="AP263" i="32"/>
  <c r="AO263" i="32"/>
  <c r="AN263" i="32"/>
  <c r="AK263" i="32"/>
  <c r="AH263" i="32"/>
  <c r="AQ263" i="32" s="1"/>
  <c r="AQ262" i="32"/>
  <c r="AP262" i="32"/>
  <c r="AH262" i="32"/>
  <c r="AV261" i="32"/>
  <c r="AU261" i="32"/>
  <c r="AQ261" i="32"/>
  <c r="AP261" i="32"/>
  <c r="AO261" i="32"/>
  <c r="AN261" i="32"/>
  <c r="AM261" i="32"/>
  <c r="AL261" i="32"/>
  <c r="AI261" i="32"/>
  <c r="AH261" i="32"/>
  <c r="AU260" i="32"/>
  <c r="AS260" i="32"/>
  <c r="AP260" i="32"/>
  <c r="AO260" i="32"/>
  <c r="AN260" i="32"/>
  <c r="AK260" i="32"/>
  <c r="AH260" i="32"/>
  <c r="AV259" i="32"/>
  <c r="AU259" i="32"/>
  <c r="AT259" i="32"/>
  <c r="AS259" i="32"/>
  <c r="AR259" i="32"/>
  <c r="AO259" i="32"/>
  <c r="AN259" i="32"/>
  <c r="AM259" i="32"/>
  <c r="AL259" i="32"/>
  <c r="AK259" i="32"/>
  <c r="AJ259" i="32"/>
  <c r="AH259" i="32"/>
  <c r="AQ259" i="32" s="1"/>
  <c r="AV258" i="32"/>
  <c r="AU258" i="32"/>
  <c r="AT258" i="32"/>
  <c r="AS258" i="32"/>
  <c r="AR258" i="32"/>
  <c r="AQ258" i="32"/>
  <c r="AO258" i="32"/>
  <c r="AN258" i="32"/>
  <c r="AM258" i="32"/>
  <c r="AL258" i="32"/>
  <c r="AK258" i="32"/>
  <c r="AJ258" i="32"/>
  <c r="AI258" i="32"/>
  <c r="AH258" i="32"/>
  <c r="AP258" i="32" s="1"/>
  <c r="AU257" i="32"/>
  <c r="AT257" i="32"/>
  <c r="AQ257" i="32"/>
  <c r="AP257" i="32"/>
  <c r="AM257" i="32"/>
  <c r="AL257" i="32"/>
  <c r="AK257" i="32"/>
  <c r="AJ257" i="32"/>
  <c r="AH257" i="32"/>
  <c r="AQ256" i="32"/>
  <c r="AP256" i="32"/>
  <c r="AO256" i="32"/>
  <c r="AH256" i="32"/>
  <c r="AV254" i="32"/>
  <c r="AS254" i="32"/>
  <c r="AR254" i="32"/>
  <c r="AP254" i="32"/>
  <c r="AO254" i="32"/>
  <c r="AN254" i="32"/>
  <c r="AK254" i="32"/>
  <c r="AJ254" i="32"/>
  <c r="AI254" i="32"/>
  <c r="AH254" i="32"/>
  <c r="AG254" i="32"/>
  <c r="AV253" i="32"/>
  <c r="AS253" i="32"/>
  <c r="AR253" i="32"/>
  <c r="AP253" i="32"/>
  <c r="AO253" i="32"/>
  <c r="AN253" i="32"/>
  <c r="AK253" i="32"/>
  <c r="AJ253" i="32"/>
  <c r="AI253" i="32"/>
  <c r="AH253" i="32"/>
  <c r="AG253" i="32"/>
  <c r="AP251" i="32"/>
  <c r="AO251" i="32"/>
  <c r="AN251" i="32"/>
  <c r="AG251" i="32"/>
  <c r="AP250" i="32"/>
  <c r="AO250" i="32"/>
  <c r="AN250" i="32"/>
  <c r="AM250" i="32"/>
  <c r="AG250" i="32"/>
  <c r="AV249" i="32"/>
  <c r="AP249" i="32"/>
  <c r="AO249" i="32"/>
  <c r="AN249" i="32"/>
  <c r="AM249" i="32"/>
  <c r="AG249" i="32"/>
  <c r="AU249" i="32" s="1"/>
  <c r="AV248" i="32"/>
  <c r="AP248" i="32"/>
  <c r="AO248" i="32"/>
  <c r="AN248" i="32"/>
  <c r="AM248" i="32"/>
  <c r="AG248" i="32"/>
  <c r="AU248" i="32" s="1"/>
  <c r="AV247" i="32"/>
  <c r="AP247" i="32"/>
  <c r="AO247" i="32"/>
  <c r="AN247" i="32"/>
  <c r="AM247" i="32"/>
  <c r="AG247" i="32"/>
  <c r="AU247" i="32" s="1"/>
  <c r="AV246" i="32"/>
  <c r="AP246" i="32"/>
  <c r="AO246" i="32"/>
  <c r="AN246" i="32"/>
  <c r="AM246" i="32"/>
  <c r="AG246" i="32"/>
  <c r="AU246" i="32" s="1"/>
  <c r="AV245" i="32"/>
  <c r="AP245" i="32"/>
  <c r="AO245" i="32"/>
  <c r="AN245" i="32"/>
  <c r="AM245" i="32"/>
  <c r="AG245" i="32"/>
  <c r="AU245" i="32" s="1"/>
  <c r="AO243" i="32"/>
  <c r="AF243" i="32"/>
  <c r="AP243" i="32" s="1"/>
  <c r="H243" i="32"/>
  <c r="G243" i="32"/>
  <c r="F243" i="32"/>
  <c r="AN242" i="32"/>
  <c r="AK242" i="32"/>
  <c r="AI242" i="32"/>
  <c r="AF242" i="32"/>
  <c r="AP242" i="32" s="1"/>
  <c r="AU241" i="32"/>
  <c r="AT241" i="32"/>
  <c r="AS241" i="32"/>
  <c r="AR241" i="32"/>
  <c r="AQ241" i="32"/>
  <c r="AP241" i="32"/>
  <c r="AO241" i="32"/>
  <c r="AM241" i="32"/>
  <c r="AL241" i="32"/>
  <c r="AK241" i="32"/>
  <c r="AJ241" i="32"/>
  <c r="AI241" i="32"/>
  <c r="AH241" i="32"/>
  <c r="AG241" i="32"/>
  <c r="AF241" i="32"/>
  <c r="AV241" i="32" s="1"/>
  <c r="AU240" i="32"/>
  <c r="AS240" i="32"/>
  <c r="AR240" i="32"/>
  <c r="AQ240" i="32"/>
  <c r="AP240" i="32"/>
  <c r="AM240" i="32"/>
  <c r="AK240" i="32"/>
  <c r="AJ240" i="32"/>
  <c r="AI240" i="32"/>
  <c r="AH240" i="32"/>
  <c r="AF240" i="32"/>
  <c r="AO240" i="32" s="1"/>
  <c r="AF239" i="32"/>
  <c r="S239" i="32"/>
  <c r="N239" i="32"/>
  <c r="L239" i="32"/>
  <c r="K239" i="32"/>
  <c r="AU238" i="32"/>
  <c r="AT238" i="32"/>
  <c r="AS238" i="32"/>
  <c r="AR238" i="32"/>
  <c r="AP238" i="32"/>
  <c r="AO238" i="32"/>
  <c r="AM238" i="32"/>
  <c r="AL238" i="32"/>
  <c r="AK238" i="32"/>
  <c r="AJ238" i="32"/>
  <c r="AH238" i="32"/>
  <c r="AG238" i="32"/>
  <c r="AF238" i="32"/>
  <c r="AQ238" i="32" s="1"/>
  <c r="U238" i="32"/>
  <c r="V146" i="33" s="1"/>
  <c r="Q217" i="33" s="1"/>
  <c r="T238" i="32"/>
  <c r="U146" i="33" s="1"/>
  <c r="P217" i="33" s="1"/>
  <c r="S238" i="32"/>
  <c r="T146" i="33" s="1"/>
  <c r="O217" i="33" s="1"/>
  <c r="R238" i="32"/>
  <c r="S146" i="33" s="1"/>
  <c r="N217" i="33" s="1"/>
  <c r="Q238" i="32"/>
  <c r="R146" i="33" s="1"/>
  <c r="M217" i="33" s="1"/>
  <c r="P238" i="32"/>
  <c r="Q146" i="33" s="1"/>
  <c r="L217" i="33" s="1"/>
  <c r="O238" i="32"/>
  <c r="P146" i="33" s="1"/>
  <c r="K217" i="33" s="1"/>
  <c r="N238" i="32"/>
  <c r="O146" i="33" s="1"/>
  <c r="J217" i="33" s="1"/>
  <c r="M238" i="32"/>
  <c r="N146" i="33" s="1"/>
  <c r="I217" i="33" s="1"/>
  <c r="L238" i="32"/>
  <c r="M146" i="33" s="1"/>
  <c r="H217" i="33" s="1"/>
  <c r="K238" i="32"/>
  <c r="L146" i="33" s="1"/>
  <c r="G217" i="33" s="1"/>
  <c r="J238" i="32"/>
  <c r="K146" i="33" s="1"/>
  <c r="F217" i="33" s="1"/>
  <c r="I238" i="32"/>
  <c r="J146" i="33" s="1"/>
  <c r="E217" i="33" s="1"/>
  <c r="H238" i="32"/>
  <c r="I146" i="33" s="1"/>
  <c r="D217" i="33" s="1"/>
  <c r="G238" i="32"/>
  <c r="H146" i="33" s="1"/>
  <c r="C217" i="33" s="1"/>
  <c r="F238" i="32"/>
  <c r="G146" i="33" s="1"/>
  <c r="B217" i="33" s="1"/>
  <c r="AF237" i="32"/>
  <c r="AP236" i="32"/>
  <c r="AN236" i="32"/>
  <c r="AG236" i="32"/>
  <c r="AF236" i="32"/>
  <c r="AV234" i="32"/>
  <c r="AT234" i="32"/>
  <c r="AS234" i="32"/>
  <c r="AQ234" i="32"/>
  <c r="AP234" i="32"/>
  <c r="AO234" i="32"/>
  <c r="AN234" i="32"/>
  <c r="AL234" i="32"/>
  <c r="AK234" i="32"/>
  <c r="AI234" i="32"/>
  <c r="AH234" i="32"/>
  <c r="AG234" i="32"/>
  <c r="AF234" i="32"/>
  <c r="AE234" i="32"/>
  <c r="AU234" i="32" s="1"/>
  <c r="U234" i="32"/>
  <c r="T234" i="32"/>
  <c r="U144" i="33" s="1"/>
  <c r="S234" i="32"/>
  <c r="T144" i="33" s="1"/>
  <c r="R234" i="32"/>
  <c r="S144" i="33" s="1"/>
  <c r="Q234" i="32"/>
  <c r="R144" i="33" s="1"/>
  <c r="P234" i="32"/>
  <c r="O234" i="32"/>
  <c r="P144" i="33" s="1"/>
  <c r="N234" i="32"/>
  <c r="O144" i="33" s="1"/>
  <c r="M234" i="32"/>
  <c r="L234" i="32"/>
  <c r="M144" i="33" s="1"/>
  <c r="K234" i="32"/>
  <c r="L144" i="33" s="1"/>
  <c r="J234" i="32"/>
  <c r="K144" i="33" s="1"/>
  <c r="I234" i="32"/>
  <c r="J144" i="33" s="1"/>
  <c r="H234" i="32"/>
  <c r="G234" i="32"/>
  <c r="H144" i="33" s="1"/>
  <c r="F234" i="32"/>
  <c r="F239" i="32" s="1"/>
  <c r="AR233" i="32"/>
  <c r="AQ233" i="32"/>
  <c r="AP233" i="32"/>
  <c r="AJ233" i="32"/>
  <c r="AI233" i="32"/>
  <c r="AH233" i="32"/>
  <c r="AE233" i="32"/>
  <c r="AO233" i="32" s="1"/>
  <c r="AU232" i="32"/>
  <c r="AT232" i="32"/>
  <c r="AS232" i="32"/>
  <c r="AR232" i="32"/>
  <c r="AP232" i="32"/>
  <c r="AO232" i="32"/>
  <c r="AM232" i="32"/>
  <c r="AL232" i="32"/>
  <c r="AK232" i="32"/>
  <c r="AJ232" i="32"/>
  <c r="AH232" i="32"/>
  <c r="AG232" i="32"/>
  <c r="AF232" i="32"/>
  <c r="AQ232" i="32" s="1"/>
  <c r="AS231" i="32"/>
  <c r="AK231" i="32"/>
  <c r="AE231" i="32"/>
  <c r="AR231" i="32" s="1"/>
  <c r="AE230" i="32"/>
  <c r="AT230" i="32" s="1"/>
  <c r="AT229" i="32"/>
  <c r="AR229" i="32"/>
  <c r="AQ229" i="32"/>
  <c r="AP229" i="32"/>
  <c r="AO229" i="32"/>
  <c r="AL229" i="32"/>
  <c r="AJ229" i="32"/>
  <c r="AI229" i="32"/>
  <c r="AH229" i="32"/>
  <c r="AG229" i="32"/>
  <c r="AE229" i="32"/>
  <c r="AV229" i="32" s="1"/>
  <c r="AV228" i="32"/>
  <c r="AT228" i="32"/>
  <c r="AS228" i="32"/>
  <c r="AR228" i="32"/>
  <c r="AQ228" i="32"/>
  <c r="AO228" i="32"/>
  <c r="AN228" i="32"/>
  <c r="AL228" i="32"/>
  <c r="AK228" i="32"/>
  <c r="AJ228" i="32"/>
  <c r="AI228" i="32"/>
  <c r="AG228" i="32"/>
  <c r="AF228" i="32"/>
  <c r="AE228" i="32"/>
  <c r="AP228" i="32" s="1"/>
  <c r="AS227" i="32"/>
  <c r="AK227" i="32"/>
  <c r="AE227" i="32"/>
  <c r="AR227" i="32" s="1"/>
  <c r="AE226" i="32"/>
  <c r="AT226" i="32" s="1"/>
  <c r="AT225" i="32"/>
  <c r="AR225" i="32"/>
  <c r="AQ225" i="32"/>
  <c r="AP225" i="32"/>
  <c r="AO225" i="32"/>
  <c r="AL225" i="32"/>
  <c r="AJ225" i="32"/>
  <c r="AI225" i="32"/>
  <c r="AH225" i="32"/>
  <c r="AG225" i="32"/>
  <c r="AE225" i="32"/>
  <c r="AV225" i="32" s="1"/>
  <c r="H224" i="32"/>
  <c r="G224" i="32"/>
  <c r="F224" i="32"/>
  <c r="AS223" i="32"/>
  <c r="AR223" i="32"/>
  <c r="AQ223" i="32"/>
  <c r="AK223" i="32"/>
  <c r="AJ223" i="32"/>
  <c r="AI223" i="32"/>
  <c r="AF223" i="32"/>
  <c r="AD223" i="32"/>
  <c r="AP223" i="32" s="1"/>
  <c r="AD222" i="32"/>
  <c r="AS222" i="32" s="1"/>
  <c r="AQ221" i="32"/>
  <c r="AP221" i="32"/>
  <c r="AO221" i="32"/>
  <c r="AI221" i="32"/>
  <c r="AH221" i="32"/>
  <c r="AG221" i="32"/>
  <c r="AD221" i="32"/>
  <c r="AV221" i="32" s="1"/>
  <c r="AR220" i="32"/>
  <c r="AJ220" i="32"/>
  <c r="AD220" i="32"/>
  <c r="AQ220" i="32" s="1"/>
  <c r="AV219" i="32"/>
  <c r="AU219" i="32"/>
  <c r="AS219" i="32"/>
  <c r="AR219" i="32"/>
  <c r="AP219" i="32"/>
  <c r="AO219" i="32"/>
  <c r="AN219" i="32"/>
  <c r="AM219" i="32"/>
  <c r="AK219" i="32"/>
  <c r="AJ219" i="32"/>
  <c r="AH219" i="32"/>
  <c r="AG219" i="32"/>
  <c r="AF219" i="32"/>
  <c r="AE219" i="32"/>
  <c r="AD219" i="32"/>
  <c r="AT219" i="32" s="1"/>
  <c r="AV218" i="32"/>
  <c r="AU218" i="32"/>
  <c r="AS218" i="32"/>
  <c r="AR218" i="32"/>
  <c r="AQ218" i="32"/>
  <c r="AP218" i="32"/>
  <c r="AO218" i="32"/>
  <c r="AN218" i="32"/>
  <c r="AM218" i="32"/>
  <c r="AK218" i="32"/>
  <c r="AJ218" i="32"/>
  <c r="AI218" i="32"/>
  <c r="AH218" i="32"/>
  <c r="AG218" i="32"/>
  <c r="AF218" i="32"/>
  <c r="AE218" i="32"/>
  <c r="AD218" i="32"/>
  <c r="AT218" i="32" s="1"/>
  <c r="AU217" i="32"/>
  <c r="AS217" i="32"/>
  <c r="AM217" i="32"/>
  <c r="AK217" i="32"/>
  <c r="AE217" i="32"/>
  <c r="AD217" i="32"/>
  <c r="AR217" i="32" s="1"/>
  <c r="AV216" i="32"/>
  <c r="AS216" i="32"/>
  <c r="AQ216" i="32"/>
  <c r="AP216" i="32"/>
  <c r="AO216" i="32"/>
  <c r="AN216" i="32"/>
  <c r="AK216" i="32"/>
  <c r="AI216" i="32"/>
  <c r="AH216" i="32"/>
  <c r="AG216" i="32"/>
  <c r="AF216" i="32"/>
  <c r="AD216" i="32"/>
  <c r="AU216" i="32" s="1"/>
  <c r="AV215" i="32"/>
  <c r="AS215" i="32"/>
  <c r="AR215" i="32"/>
  <c r="AQ215" i="32"/>
  <c r="AN215" i="32"/>
  <c r="AK215" i="32"/>
  <c r="AJ215" i="32"/>
  <c r="AI215" i="32"/>
  <c r="AF215" i="32"/>
  <c r="AD215" i="32"/>
  <c r="AP215" i="32" s="1"/>
  <c r="AB214" i="32"/>
  <c r="AV211" i="32"/>
  <c r="AU211" i="32"/>
  <c r="AT211" i="32"/>
  <c r="AS211" i="32"/>
  <c r="AR211" i="32"/>
  <c r="AQ211" i="32"/>
  <c r="AP211" i="32"/>
  <c r="AO211" i="32"/>
  <c r="AN211" i="32"/>
  <c r="AM211" i="32"/>
  <c r="AL211" i="32"/>
  <c r="AK211" i="32"/>
  <c r="AJ211" i="32"/>
  <c r="AI211" i="32"/>
  <c r="AH211" i="32"/>
  <c r="AG211" i="32"/>
  <c r="AF211" i="32"/>
  <c r="AE211" i="32"/>
  <c r="AD211" i="32"/>
  <c r="AC211" i="32"/>
  <c r="F254" i="32" s="1"/>
  <c r="D211" i="32"/>
  <c r="AV210" i="32"/>
  <c r="AU210" i="32"/>
  <c r="AT210" i="32"/>
  <c r="AS210" i="32"/>
  <c r="AR210" i="32"/>
  <c r="AQ210" i="32"/>
  <c r="AP210" i="32"/>
  <c r="AO210" i="32"/>
  <c r="AN210" i="32"/>
  <c r="AM210" i="32"/>
  <c r="AL210" i="32"/>
  <c r="AK210" i="32"/>
  <c r="AJ210" i="32"/>
  <c r="AI210" i="32"/>
  <c r="AH210" i="32"/>
  <c r="AG210" i="32"/>
  <c r="AF210" i="32"/>
  <c r="AE210" i="32"/>
  <c r="AD210" i="32"/>
  <c r="AC210" i="32"/>
  <c r="F253" i="32" s="1"/>
  <c r="F255" i="32" s="1"/>
  <c r="AV209" i="32"/>
  <c r="AU209" i="32"/>
  <c r="AT209" i="32"/>
  <c r="AS209" i="32"/>
  <c r="AR209" i="32"/>
  <c r="AQ209" i="32"/>
  <c r="AP209" i="32"/>
  <c r="AO209" i="32"/>
  <c r="AN209" i="32"/>
  <c r="AM209" i="32"/>
  <c r="AL209" i="32"/>
  <c r="AK209" i="32"/>
  <c r="AJ209" i="32"/>
  <c r="AI209" i="32"/>
  <c r="AH209" i="32"/>
  <c r="AG209" i="32"/>
  <c r="AF209" i="32"/>
  <c r="AE209" i="32"/>
  <c r="AD209" i="32"/>
  <c r="G250" i="32" s="1"/>
  <c r="AC209" i="32"/>
  <c r="F250" i="32" s="1"/>
  <c r="AV208" i="32"/>
  <c r="AU208" i="32"/>
  <c r="AT208" i="32"/>
  <c r="AS208" i="32"/>
  <c r="AR208" i="32"/>
  <c r="AQ208" i="32"/>
  <c r="AP208" i="32"/>
  <c r="AO208" i="32"/>
  <c r="AN208" i="32"/>
  <c r="AM208" i="32"/>
  <c r="AL208" i="32"/>
  <c r="AK208" i="32"/>
  <c r="AJ208" i="32"/>
  <c r="AI208" i="32"/>
  <c r="AH208" i="32"/>
  <c r="AG208" i="32"/>
  <c r="AF208" i="32"/>
  <c r="AE208" i="32"/>
  <c r="AD208" i="32"/>
  <c r="G249" i="32" s="1"/>
  <c r="AC208" i="32"/>
  <c r="F249" i="32" s="1"/>
  <c r="AV207" i="32"/>
  <c r="AU207" i="32"/>
  <c r="AT207" i="32"/>
  <c r="AS207" i="32"/>
  <c r="AR207" i="32"/>
  <c r="AQ207" i="32"/>
  <c r="AP207" i="32"/>
  <c r="AO207" i="32"/>
  <c r="AN207" i="32"/>
  <c r="AM207" i="32"/>
  <c r="AL207" i="32"/>
  <c r="AK207" i="32"/>
  <c r="AJ207" i="32"/>
  <c r="AI207" i="32"/>
  <c r="AH207" i="32"/>
  <c r="AG207" i="32"/>
  <c r="AF207" i="32"/>
  <c r="AE207" i="32"/>
  <c r="H248" i="32" s="1"/>
  <c r="AD207" i="32"/>
  <c r="G248" i="32" s="1"/>
  <c r="AC207" i="32"/>
  <c r="F248" i="32" s="1"/>
  <c r="AV206" i="32"/>
  <c r="AU206" i="32"/>
  <c r="AT206" i="32"/>
  <c r="AS206" i="32"/>
  <c r="AR206" i="32"/>
  <c r="AQ206" i="32"/>
  <c r="AP206" i="32"/>
  <c r="AO206" i="32"/>
  <c r="AM206" i="32"/>
  <c r="AL206" i="32"/>
  <c r="AK206" i="32"/>
  <c r="AJ206" i="32"/>
  <c r="AI206" i="32"/>
  <c r="AH206" i="32"/>
  <c r="AG206" i="32"/>
  <c r="AF206" i="32"/>
  <c r="AE206" i="32"/>
  <c r="H247" i="32" s="1"/>
  <c r="AD206" i="32"/>
  <c r="G247" i="32" s="1"/>
  <c r="AC206" i="32"/>
  <c r="F247" i="32" s="1"/>
  <c r="AV205" i="32"/>
  <c r="AU205" i="32"/>
  <c r="AT205" i="32"/>
  <c r="AS205" i="32"/>
  <c r="AR205" i="32"/>
  <c r="AQ205" i="32"/>
  <c r="AP205" i="32"/>
  <c r="AO205" i="32"/>
  <c r="AN205" i="32"/>
  <c r="AM205" i="32"/>
  <c r="AL205" i="32"/>
  <c r="AK205" i="32"/>
  <c r="AJ205" i="32"/>
  <c r="AI205" i="32"/>
  <c r="AH205" i="32"/>
  <c r="AG205" i="32"/>
  <c r="AF205" i="32"/>
  <c r="AE205" i="32"/>
  <c r="AD205" i="32"/>
  <c r="G246" i="32" s="1"/>
  <c r="AC205" i="32"/>
  <c r="F246" i="32" s="1"/>
  <c r="AV204" i="32"/>
  <c r="AU204" i="32"/>
  <c r="AT204" i="32"/>
  <c r="AS204" i="32"/>
  <c r="AR204" i="32"/>
  <c r="AQ204" i="32"/>
  <c r="AP204" i="32"/>
  <c r="AO204" i="32"/>
  <c r="AN204" i="32"/>
  <c r="AM204" i="32"/>
  <c r="AL204" i="32"/>
  <c r="AK204" i="32"/>
  <c r="AJ204" i="32"/>
  <c r="AI204" i="32"/>
  <c r="AH204" i="32"/>
  <c r="AG204" i="32"/>
  <c r="AF204" i="32"/>
  <c r="AE204" i="32"/>
  <c r="AD204" i="32"/>
  <c r="AC204" i="32"/>
  <c r="AC326" i="32" s="1"/>
  <c r="AC202" i="32"/>
  <c r="AD202" i="32" s="1"/>
  <c r="AE202" i="32" s="1"/>
  <c r="AF202" i="32" s="1"/>
  <c r="AG202" i="32" s="1"/>
  <c r="AH202" i="32" s="1"/>
  <c r="AI202" i="32" s="1"/>
  <c r="AJ202" i="32" s="1"/>
  <c r="AK202" i="32" s="1"/>
  <c r="AL202" i="32" s="1"/>
  <c r="AM202" i="32" s="1"/>
  <c r="AN202" i="32" s="1"/>
  <c r="AO202" i="32" s="1"/>
  <c r="AP202" i="32" s="1"/>
  <c r="AQ202" i="32" s="1"/>
  <c r="AR202" i="32" s="1"/>
  <c r="AS202" i="32" s="1"/>
  <c r="AT202" i="32" s="1"/>
  <c r="AU202" i="32" s="1"/>
  <c r="AV202" i="32" s="1"/>
  <c r="F200" i="32"/>
  <c r="E200" i="32"/>
  <c r="T189" i="32"/>
  <c r="V12" i="33" s="1"/>
  <c r="S189" i="32"/>
  <c r="U12" i="33" s="1"/>
  <c r="R189" i="32"/>
  <c r="T12" i="33" s="1"/>
  <c r="Q189" i="32"/>
  <c r="S12" i="33" s="1"/>
  <c r="P189" i="32"/>
  <c r="R12" i="33" s="1"/>
  <c r="O189" i="32"/>
  <c r="Q12" i="33" s="1"/>
  <c r="D287" i="33" s="1"/>
  <c r="N189" i="32"/>
  <c r="P12" i="33" s="1"/>
  <c r="M189" i="32"/>
  <c r="O12" i="33" s="1"/>
  <c r="L189" i="32"/>
  <c r="N12" i="33" s="1"/>
  <c r="K189" i="32"/>
  <c r="M12" i="33" s="1"/>
  <c r="J189" i="32"/>
  <c r="L12" i="33" s="1"/>
  <c r="I189" i="32"/>
  <c r="K12" i="33" s="1"/>
  <c r="H189" i="32"/>
  <c r="J12" i="33" s="1"/>
  <c r="G189" i="32"/>
  <c r="I12" i="33" s="1"/>
  <c r="F189" i="32"/>
  <c r="H12" i="33" s="1"/>
  <c r="G166" i="32"/>
  <c r="F166" i="32"/>
  <c r="T162" i="32"/>
  <c r="V26" i="33" s="1"/>
  <c r="S162" i="32"/>
  <c r="U26" i="33" s="1"/>
  <c r="R162" i="32"/>
  <c r="T26" i="33" s="1"/>
  <c r="Q162" i="32"/>
  <c r="S26" i="33" s="1"/>
  <c r="P162" i="32"/>
  <c r="R26" i="33" s="1"/>
  <c r="O162" i="32"/>
  <c r="Q26" i="33" s="1"/>
  <c r="D288" i="33" s="1"/>
  <c r="N162" i="32"/>
  <c r="P26" i="33" s="1"/>
  <c r="M162" i="32"/>
  <c r="O26" i="33" s="1"/>
  <c r="L162" i="32"/>
  <c r="N26" i="33" s="1"/>
  <c r="K162" i="32"/>
  <c r="M26" i="33" s="1"/>
  <c r="J162" i="32"/>
  <c r="L26" i="33" s="1"/>
  <c r="I162" i="32"/>
  <c r="K26" i="33" s="1"/>
  <c r="H162" i="32"/>
  <c r="J26" i="33" s="1"/>
  <c r="K297" i="33" s="1"/>
  <c r="G162" i="32"/>
  <c r="I26" i="33" s="1"/>
  <c r="J297" i="33" s="1"/>
  <c r="F162" i="32"/>
  <c r="H26" i="33" s="1"/>
  <c r="I297" i="33" s="1"/>
  <c r="G139" i="32"/>
  <c r="F139" i="32"/>
  <c r="R127" i="32"/>
  <c r="Q127" i="32"/>
  <c r="P127" i="32"/>
  <c r="O127" i="32"/>
  <c r="N127" i="32"/>
  <c r="M127" i="32"/>
  <c r="L127" i="32"/>
  <c r="K127" i="32"/>
  <c r="J127" i="32"/>
  <c r="I127" i="32"/>
  <c r="H127" i="32"/>
  <c r="G127" i="32"/>
  <c r="F127" i="32"/>
  <c r="E127" i="32"/>
  <c r="D127" i="32"/>
  <c r="C127" i="32"/>
  <c r="B127" i="32"/>
  <c r="R126" i="32"/>
  <c r="Q126" i="32"/>
  <c r="P126" i="32"/>
  <c r="O126" i="32"/>
  <c r="N126" i="32"/>
  <c r="M126" i="32"/>
  <c r="L126" i="32"/>
  <c r="K126" i="32"/>
  <c r="J126" i="32"/>
  <c r="I126" i="32"/>
  <c r="H126" i="32"/>
  <c r="G126" i="32"/>
  <c r="F126" i="32"/>
  <c r="E126" i="32"/>
  <c r="D126" i="32"/>
  <c r="C126" i="32"/>
  <c r="R125" i="32"/>
  <c r="Q125" i="32"/>
  <c r="P125" i="32"/>
  <c r="O125" i="32"/>
  <c r="N125" i="32"/>
  <c r="M125" i="32"/>
  <c r="L125" i="32"/>
  <c r="K125" i="32"/>
  <c r="J125" i="32"/>
  <c r="I125" i="32"/>
  <c r="H125" i="32"/>
  <c r="G125" i="32"/>
  <c r="F125" i="32"/>
  <c r="E125" i="32"/>
  <c r="D125" i="32"/>
  <c r="C125" i="32"/>
  <c r="B125" i="32"/>
  <c r="R124" i="32"/>
  <c r="Q124" i="32"/>
  <c r="P124" i="32"/>
  <c r="O124" i="32"/>
  <c r="N124" i="32"/>
  <c r="M124" i="32"/>
  <c r="L124" i="32"/>
  <c r="K124" i="32"/>
  <c r="J124" i="32"/>
  <c r="I124" i="32"/>
  <c r="H124" i="32"/>
  <c r="G124" i="32"/>
  <c r="F124" i="32"/>
  <c r="E124" i="32"/>
  <c r="D124" i="32"/>
  <c r="C124" i="32"/>
  <c r="R123" i="32"/>
  <c r="Q123" i="32"/>
  <c r="P123" i="32"/>
  <c r="O123" i="32"/>
  <c r="N123" i="32"/>
  <c r="M123" i="32"/>
  <c r="L123" i="32"/>
  <c r="K123" i="32"/>
  <c r="J123" i="32"/>
  <c r="I123" i="32"/>
  <c r="H123" i="32"/>
  <c r="G123" i="32"/>
  <c r="F123" i="32"/>
  <c r="E123" i="32"/>
  <c r="D123" i="32"/>
  <c r="C123" i="32"/>
  <c r="R122" i="32"/>
  <c r="Q122" i="32"/>
  <c r="P122" i="32"/>
  <c r="O122" i="32"/>
  <c r="N122" i="32"/>
  <c r="M122" i="32"/>
  <c r="L122" i="32"/>
  <c r="K122" i="32"/>
  <c r="J122" i="32"/>
  <c r="I122" i="32"/>
  <c r="H122" i="32"/>
  <c r="G122" i="32"/>
  <c r="F122" i="32"/>
  <c r="E122" i="32"/>
  <c r="D122" i="32"/>
  <c r="C122" i="32"/>
  <c r="R121" i="32"/>
  <c r="Q121" i="32"/>
  <c r="P121" i="32"/>
  <c r="O121" i="32"/>
  <c r="N121" i="32"/>
  <c r="M121" i="32"/>
  <c r="L121" i="32"/>
  <c r="K121" i="32"/>
  <c r="J121" i="32"/>
  <c r="I121" i="32"/>
  <c r="H121" i="32"/>
  <c r="G121" i="32"/>
  <c r="F121" i="32"/>
  <c r="E121" i="32"/>
  <c r="D121" i="32"/>
  <c r="C121" i="32"/>
  <c r="R120" i="32"/>
  <c r="Q120" i="32"/>
  <c r="P120" i="32"/>
  <c r="O120" i="32"/>
  <c r="N120" i="32"/>
  <c r="M120" i="32"/>
  <c r="L120" i="32"/>
  <c r="K120" i="32"/>
  <c r="J120" i="32"/>
  <c r="I120" i="32"/>
  <c r="H120" i="32"/>
  <c r="G120" i="32"/>
  <c r="F120" i="32"/>
  <c r="E120" i="32"/>
  <c r="D120" i="32"/>
  <c r="C120" i="32"/>
  <c r="R119" i="32"/>
  <c r="Q119" i="32"/>
  <c r="P119" i="32"/>
  <c r="O119" i="32"/>
  <c r="N119" i="32"/>
  <c r="M119" i="32"/>
  <c r="L119" i="32"/>
  <c r="K119" i="32"/>
  <c r="J119" i="32"/>
  <c r="I119" i="32"/>
  <c r="H119" i="32"/>
  <c r="G119" i="32"/>
  <c r="F119" i="32"/>
  <c r="E119" i="32"/>
  <c r="D119" i="32"/>
  <c r="C119" i="32"/>
  <c r="B119" i="32"/>
  <c r="R118" i="32"/>
  <c r="Q118" i="32"/>
  <c r="P118" i="32"/>
  <c r="O118" i="32"/>
  <c r="N118" i="32"/>
  <c r="M118" i="32"/>
  <c r="L118" i="32"/>
  <c r="K118" i="32"/>
  <c r="J118" i="32"/>
  <c r="I118" i="32"/>
  <c r="H118" i="32"/>
  <c r="G118" i="32"/>
  <c r="F118" i="32"/>
  <c r="E118" i="32"/>
  <c r="D118" i="32"/>
  <c r="C118" i="32"/>
  <c r="R117" i="32"/>
  <c r="Q117" i="32"/>
  <c r="P117" i="32"/>
  <c r="O117" i="32"/>
  <c r="N117" i="32"/>
  <c r="M117" i="32"/>
  <c r="L117" i="32"/>
  <c r="K117" i="32"/>
  <c r="J117" i="32"/>
  <c r="I117" i="32"/>
  <c r="H117" i="32"/>
  <c r="G117" i="32"/>
  <c r="F117" i="32"/>
  <c r="E117" i="32"/>
  <c r="D117" i="32"/>
  <c r="C117" i="32"/>
  <c r="B117" i="32"/>
  <c r="R116" i="32"/>
  <c r="Q116" i="32"/>
  <c r="P116" i="32"/>
  <c r="O116" i="32"/>
  <c r="N116" i="32"/>
  <c r="M116" i="32"/>
  <c r="L116" i="32"/>
  <c r="K116" i="32"/>
  <c r="J116" i="32"/>
  <c r="I116" i="32"/>
  <c r="H116" i="32"/>
  <c r="G116" i="32"/>
  <c r="F116" i="32"/>
  <c r="E116" i="32"/>
  <c r="D116" i="32"/>
  <c r="C116" i="32"/>
  <c r="R115" i="32"/>
  <c r="Q115" i="32"/>
  <c r="P115" i="32"/>
  <c r="O115" i="32"/>
  <c r="N115" i="32"/>
  <c r="M115" i="32"/>
  <c r="L115" i="32"/>
  <c r="K115" i="32"/>
  <c r="J115" i="32"/>
  <c r="I115" i="32"/>
  <c r="H115" i="32"/>
  <c r="G115" i="32"/>
  <c r="F115" i="32"/>
  <c r="E115" i="32"/>
  <c r="D115" i="32"/>
  <c r="C115" i="32"/>
  <c r="R114" i="32"/>
  <c r="Q114" i="32"/>
  <c r="P114" i="32"/>
  <c r="O114" i="32"/>
  <c r="N114" i="32"/>
  <c r="M114" i="32"/>
  <c r="L114" i="32"/>
  <c r="K114" i="32"/>
  <c r="J114" i="32"/>
  <c r="I114" i="32"/>
  <c r="H114" i="32"/>
  <c r="G114" i="32"/>
  <c r="F114" i="32"/>
  <c r="E114" i="32"/>
  <c r="D114" i="32"/>
  <c r="C114" i="32"/>
  <c r="B114" i="32"/>
  <c r="R113" i="32"/>
  <c r="Q113" i="32"/>
  <c r="P113" i="32"/>
  <c r="O113" i="32"/>
  <c r="N113" i="32"/>
  <c r="M113" i="32"/>
  <c r="L113" i="32"/>
  <c r="K113" i="32"/>
  <c r="J113" i="32"/>
  <c r="I113" i="32"/>
  <c r="H113" i="32"/>
  <c r="G113" i="32"/>
  <c r="F113" i="32"/>
  <c r="E113" i="32"/>
  <c r="D113" i="32"/>
  <c r="C113" i="32"/>
  <c r="R112" i="32"/>
  <c r="Q112" i="32"/>
  <c r="P112" i="32"/>
  <c r="O112" i="32"/>
  <c r="N112" i="32"/>
  <c r="M112" i="32"/>
  <c r="L112" i="32"/>
  <c r="K112" i="32"/>
  <c r="J112" i="32"/>
  <c r="I112" i="32"/>
  <c r="H112" i="32"/>
  <c r="G112" i="32"/>
  <c r="F112" i="32"/>
  <c r="E112" i="32"/>
  <c r="D112" i="32"/>
  <c r="C112" i="32"/>
  <c r="R111" i="32"/>
  <c r="Q111" i="32"/>
  <c r="P111" i="32"/>
  <c r="O111" i="32"/>
  <c r="N111" i="32"/>
  <c r="M111" i="32"/>
  <c r="L111" i="32"/>
  <c r="K111" i="32"/>
  <c r="J111" i="32"/>
  <c r="I111" i="32"/>
  <c r="H111" i="32"/>
  <c r="G111" i="32"/>
  <c r="F111" i="32"/>
  <c r="E111" i="32"/>
  <c r="D111" i="32"/>
  <c r="C111" i="32"/>
  <c r="B111" i="32"/>
  <c r="R110" i="32"/>
  <c r="Q110" i="32"/>
  <c r="P110" i="32"/>
  <c r="O110" i="32"/>
  <c r="N110" i="32"/>
  <c r="M110" i="32"/>
  <c r="L110" i="32"/>
  <c r="K110" i="32"/>
  <c r="J110" i="32"/>
  <c r="I110" i="32"/>
  <c r="H110" i="32"/>
  <c r="G110" i="32"/>
  <c r="F110" i="32"/>
  <c r="E110" i="32"/>
  <c r="D110" i="32"/>
  <c r="C110" i="32"/>
  <c r="R109" i="32"/>
  <c r="Q109" i="32"/>
  <c r="P109" i="32"/>
  <c r="O109" i="32"/>
  <c r="N109" i="32"/>
  <c r="M109" i="32"/>
  <c r="L109" i="32"/>
  <c r="K109" i="32"/>
  <c r="J109" i="32"/>
  <c r="I109" i="32"/>
  <c r="H109" i="32"/>
  <c r="G109" i="32"/>
  <c r="F109" i="32"/>
  <c r="E456" i="32" s="1"/>
  <c r="E109" i="32"/>
  <c r="D109" i="32"/>
  <c r="C109" i="32"/>
  <c r="B109" i="32"/>
  <c r="R108" i="32"/>
  <c r="Q108" i="32"/>
  <c r="P108" i="32"/>
  <c r="O108" i="32"/>
  <c r="N108" i="32"/>
  <c r="M108" i="32"/>
  <c r="L108" i="32"/>
  <c r="K108" i="32"/>
  <c r="J108" i="32"/>
  <c r="I108" i="32"/>
  <c r="H108" i="32"/>
  <c r="G108" i="32"/>
  <c r="F108" i="32"/>
  <c r="E108" i="32"/>
  <c r="D108" i="32"/>
  <c r="C108" i="32"/>
  <c r="R107" i="32"/>
  <c r="Q107" i="32"/>
  <c r="P107" i="32"/>
  <c r="O107" i="32"/>
  <c r="N107" i="32"/>
  <c r="M107" i="32"/>
  <c r="L107" i="32"/>
  <c r="K107" i="32"/>
  <c r="J107" i="32"/>
  <c r="I107" i="32"/>
  <c r="H107" i="32"/>
  <c r="G107" i="32"/>
  <c r="F107" i="32"/>
  <c r="E107" i="32"/>
  <c r="D107" i="32"/>
  <c r="C107" i="32"/>
  <c r="R106" i="32"/>
  <c r="Q106" i="32"/>
  <c r="P106" i="32"/>
  <c r="O106" i="32"/>
  <c r="N106" i="32"/>
  <c r="M106" i="32"/>
  <c r="L106" i="32"/>
  <c r="K106" i="32"/>
  <c r="J106" i="32"/>
  <c r="I106" i="32"/>
  <c r="H106" i="32"/>
  <c r="G106" i="32"/>
  <c r="F106" i="32"/>
  <c r="E106" i="32"/>
  <c r="D106" i="32"/>
  <c r="C106" i="32"/>
  <c r="R105" i="32"/>
  <c r="Q105" i="32"/>
  <c r="P105" i="32"/>
  <c r="O105" i="32"/>
  <c r="N105" i="32"/>
  <c r="M105" i="32"/>
  <c r="L105" i="32"/>
  <c r="K105" i="32"/>
  <c r="J105" i="32"/>
  <c r="I105" i="32"/>
  <c r="H105" i="32"/>
  <c r="G105" i="32"/>
  <c r="F105" i="32"/>
  <c r="E105" i="32"/>
  <c r="D105" i="32"/>
  <c r="C105" i="32"/>
  <c r="R104" i="32"/>
  <c r="Q104" i="32"/>
  <c r="P104" i="32"/>
  <c r="O104" i="32"/>
  <c r="N104" i="32"/>
  <c r="M104" i="32"/>
  <c r="L104" i="32"/>
  <c r="K104" i="32"/>
  <c r="J104" i="32"/>
  <c r="I104" i="32"/>
  <c r="H104" i="32"/>
  <c r="G104" i="32"/>
  <c r="F104" i="32"/>
  <c r="E104" i="32"/>
  <c r="D104" i="32"/>
  <c r="C104" i="32"/>
  <c r="M103" i="32"/>
  <c r="C103" i="32"/>
  <c r="Q102" i="32"/>
  <c r="N102" i="32"/>
  <c r="K102" i="32"/>
  <c r="C102" i="32"/>
  <c r="B102" i="32"/>
  <c r="R101" i="32"/>
  <c r="N101" i="32"/>
  <c r="G101" i="32"/>
  <c r="F101" i="32"/>
  <c r="D101" i="32"/>
  <c r="C101" i="32"/>
  <c r="P100" i="32"/>
  <c r="O100" i="32"/>
  <c r="M100" i="32"/>
  <c r="L100" i="32"/>
  <c r="K100" i="32"/>
  <c r="H100" i="32"/>
  <c r="G100" i="32"/>
  <c r="E100" i="32"/>
  <c r="D100" i="32"/>
  <c r="C100" i="32"/>
  <c r="P99" i="32"/>
  <c r="N99" i="32"/>
  <c r="M99" i="32"/>
  <c r="I99" i="32"/>
  <c r="F99" i="32"/>
  <c r="D99" i="32"/>
  <c r="C99" i="32"/>
  <c r="I98" i="32"/>
  <c r="G98" i="32"/>
  <c r="C98" i="32"/>
  <c r="E95" i="32"/>
  <c r="D95" i="32"/>
  <c r="R84" i="32"/>
  <c r="Q84" i="32"/>
  <c r="P84" i="32"/>
  <c r="O84" i="32"/>
  <c r="N84" i="32"/>
  <c r="M84" i="32"/>
  <c r="L84" i="32"/>
  <c r="K84" i="32"/>
  <c r="J84" i="32"/>
  <c r="I84" i="32"/>
  <c r="H84" i="32"/>
  <c r="G84" i="32"/>
  <c r="F84" i="32"/>
  <c r="E84" i="32"/>
  <c r="D84" i="32"/>
  <c r="C84" i="32"/>
  <c r="B84" i="32"/>
  <c r="R83" i="32"/>
  <c r="Q83" i="32"/>
  <c r="P83" i="32"/>
  <c r="O83" i="32"/>
  <c r="N83" i="32"/>
  <c r="M83" i="32"/>
  <c r="L83" i="32"/>
  <c r="K83" i="32"/>
  <c r="J83" i="32"/>
  <c r="I83" i="32"/>
  <c r="H83" i="32"/>
  <c r="G83" i="32"/>
  <c r="F83" i="32"/>
  <c r="E83" i="32"/>
  <c r="D83" i="32"/>
  <c r="C83" i="32"/>
  <c r="B83" i="32"/>
  <c r="B126" i="32" s="1"/>
  <c r="R82" i="32"/>
  <c r="Q82" i="32"/>
  <c r="P82" i="32"/>
  <c r="O82" i="32"/>
  <c r="N82" i="32"/>
  <c r="M82" i="32"/>
  <c r="L82" i="32"/>
  <c r="K82" i="32"/>
  <c r="J82" i="32"/>
  <c r="I82" i="32"/>
  <c r="H82" i="32"/>
  <c r="G82" i="32"/>
  <c r="F82" i="32"/>
  <c r="E82" i="32"/>
  <c r="D82" i="32"/>
  <c r="C82" i="32"/>
  <c r="B82" i="32"/>
  <c r="R81" i="32"/>
  <c r="Q81" i="32"/>
  <c r="P81" i="32"/>
  <c r="O81" i="32"/>
  <c r="N81" i="32"/>
  <c r="M81" i="32"/>
  <c r="L81" i="32"/>
  <c r="K81" i="32"/>
  <c r="J81" i="32"/>
  <c r="I81" i="32"/>
  <c r="H81" i="32"/>
  <c r="G81" i="32"/>
  <c r="F81" i="32"/>
  <c r="E81" i="32"/>
  <c r="D81" i="32"/>
  <c r="C81" i="32"/>
  <c r="B81" i="32"/>
  <c r="B124" i="32" s="1"/>
  <c r="R80" i="32"/>
  <c r="Q80" i="32"/>
  <c r="P80" i="32"/>
  <c r="O80" i="32"/>
  <c r="N80" i="32"/>
  <c r="M80" i="32"/>
  <c r="L80" i="32"/>
  <c r="K80" i="32"/>
  <c r="J80" i="32"/>
  <c r="I80" i="32"/>
  <c r="H80" i="32"/>
  <c r="G80" i="32"/>
  <c r="F80" i="32"/>
  <c r="E80" i="32"/>
  <c r="D80" i="32"/>
  <c r="C80" i="32"/>
  <c r="B80" i="32"/>
  <c r="B123" i="32" s="1"/>
  <c r="R79" i="32"/>
  <c r="Q79" i="32"/>
  <c r="P79" i="32"/>
  <c r="O79" i="32"/>
  <c r="N79" i="32"/>
  <c r="M79" i="32"/>
  <c r="L79" i="32"/>
  <c r="K79" i="32"/>
  <c r="J79" i="32"/>
  <c r="I79" i="32"/>
  <c r="H79" i="32"/>
  <c r="G79" i="32"/>
  <c r="F79" i="32"/>
  <c r="E79" i="32"/>
  <c r="D79" i="32"/>
  <c r="C79" i="32"/>
  <c r="B79" i="32"/>
  <c r="B122" i="32" s="1"/>
  <c r="R78" i="32"/>
  <c r="Q78" i="32"/>
  <c r="P78" i="32"/>
  <c r="O78" i="32"/>
  <c r="N78" i="32"/>
  <c r="M78" i="32"/>
  <c r="L78" i="32"/>
  <c r="K78" i="32"/>
  <c r="J78" i="32"/>
  <c r="I78" i="32"/>
  <c r="H78" i="32"/>
  <c r="G78" i="32"/>
  <c r="F78" i="32"/>
  <c r="E78" i="32"/>
  <c r="D78" i="32"/>
  <c r="C78" i="32"/>
  <c r="B78" i="32"/>
  <c r="B121" i="32" s="1"/>
  <c r="R77" i="32"/>
  <c r="Q77" i="32"/>
  <c r="P77" i="32"/>
  <c r="O77" i="32"/>
  <c r="N77" i="32"/>
  <c r="M77" i="32"/>
  <c r="L77" i="32"/>
  <c r="K77" i="32"/>
  <c r="J77" i="32"/>
  <c r="I77" i="32"/>
  <c r="H77" i="32"/>
  <c r="G77" i="32"/>
  <c r="F77" i="32"/>
  <c r="E77" i="32"/>
  <c r="D77" i="32"/>
  <c r="C77" i="32"/>
  <c r="B77" i="32"/>
  <c r="B120" i="32" s="1"/>
  <c r="R76" i="32"/>
  <c r="Q76" i="32"/>
  <c r="P76" i="32"/>
  <c r="O76" i="32"/>
  <c r="N76" i="32"/>
  <c r="M76" i="32"/>
  <c r="L76" i="32"/>
  <c r="K76" i="32"/>
  <c r="J76" i="32"/>
  <c r="I76" i="32"/>
  <c r="H76" i="32"/>
  <c r="G76" i="32"/>
  <c r="F76" i="32"/>
  <c r="E76" i="32"/>
  <c r="D76" i="32"/>
  <c r="C76" i="32"/>
  <c r="B76" i="32"/>
  <c r="R75" i="32"/>
  <c r="Q75" i="32"/>
  <c r="P75" i="32"/>
  <c r="O75" i="32"/>
  <c r="N75" i="32"/>
  <c r="M75" i="32"/>
  <c r="L75" i="32"/>
  <c r="K75" i="32"/>
  <c r="J75" i="32"/>
  <c r="I75" i="32"/>
  <c r="H75" i="32"/>
  <c r="G75" i="32"/>
  <c r="F75" i="32"/>
  <c r="E75" i="32"/>
  <c r="D75" i="32"/>
  <c r="C75" i="32"/>
  <c r="B75" i="32"/>
  <c r="B118" i="32" s="1"/>
  <c r="R74" i="32"/>
  <c r="Q74" i="32"/>
  <c r="P74" i="32"/>
  <c r="O74" i="32"/>
  <c r="N74" i="32"/>
  <c r="M74" i="32"/>
  <c r="L74" i="32"/>
  <c r="K74" i="32"/>
  <c r="J74" i="32"/>
  <c r="I74" i="32"/>
  <c r="H74" i="32"/>
  <c r="G74" i="32"/>
  <c r="F74" i="32"/>
  <c r="E74" i="32"/>
  <c r="D74" i="32"/>
  <c r="C74" i="32"/>
  <c r="B74" i="32"/>
  <c r="R73" i="32"/>
  <c r="Q73" i="32"/>
  <c r="P73" i="32"/>
  <c r="O73" i="32"/>
  <c r="N73" i="32"/>
  <c r="M73" i="32"/>
  <c r="L73" i="32"/>
  <c r="K73" i="32"/>
  <c r="J73" i="32"/>
  <c r="I73" i="32"/>
  <c r="H73" i="32"/>
  <c r="G73" i="32"/>
  <c r="F73" i="32"/>
  <c r="E73" i="32"/>
  <c r="D73" i="32"/>
  <c r="C73" i="32"/>
  <c r="B73" i="32"/>
  <c r="B116" i="32" s="1"/>
  <c r="R72" i="32"/>
  <c r="Q72" i="32"/>
  <c r="P72" i="32"/>
  <c r="O72" i="32"/>
  <c r="N72" i="32"/>
  <c r="M72" i="32"/>
  <c r="L72" i="32"/>
  <c r="K72" i="32"/>
  <c r="J72" i="32"/>
  <c r="I72" i="32"/>
  <c r="H72" i="32"/>
  <c r="G72" i="32"/>
  <c r="F72" i="32"/>
  <c r="E72" i="32"/>
  <c r="D72" i="32"/>
  <c r="C72" i="32"/>
  <c r="B72" i="32"/>
  <c r="B115" i="32" s="1"/>
  <c r="R71" i="32"/>
  <c r="Q71" i="32"/>
  <c r="P71" i="32"/>
  <c r="O71" i="32"/>
  <c r="N71" i="32"/>
  <c r="M71" i="32"/>
  <c r="L71" i="32"/>
  <c r="K71" i="32"/>
  <c r="J71" i="32"/>
  <c r="I71" i="32"/>
  <c r="H71" i="32"/>
  <c r="G71" i="32"/>
  <c r="F71" i="32"/>
  <c r="E71" i="32"/>
  <c r="D71" i="32"/>
  <c r="C71" i="32"/>
  <c r="B71" i="32"/>
  <c r="R70" i="32"/>
  <c r="Q70" i="32"/>
  <c r="P70" i="32"/>
  <c r="O70" i="32"/>
  <c r="N70" i="32"/>
  <c r="M70" i="32"/>
  <c r="L70" i="32"/>
  <c r="K70" i="32"/>
  <c r="J70" i="32"/>
  <c r="I70" i="32"/>
  <c r="H70" i="32"/>
  <c r="G70" i="32"/>
  <c r="F70" i="32"/>
  <c r="E70" i="32"/>
  <c r="D70" i="32"/>
  <c r="C70" i="32"/>
  <c r="B70" i="32"/>
  <c r="B113" i="32" s="1"/>
  <c r="R69" i="32"/>
  <c r="Q69" i="32"/>
  <c r="P69" i="32"/>
  <c r="O69" i="32"/>
  <c r="N69" i="32"/>
  <c r="M69" i="32"/>
  <c r="L69" i="32"/>
  <c r="K69" i="32"/>
  <c r="J69" i="32"/>
  <c r="I69" i="32"/>
  <c r="H69" i="32"/>
  <c r="G69" i="32"/>
  <c r="F69" i="32"/>
  <c r="E69" i="32"/>
  <c r="D69" i="32"/>
  <c r="C69" i="32"/>
  <c r="B69" i="32"/>
  <c r="B112" i="32" s="1"/>
  <c r="R68" i="32"/>
  <c r="Q68" i="32"/>
  <c r="P68" i="32"/>
  <c r="O68" i="32"/>
  <c r="N68" i="32"/>
  <c r="M68" i="32"/>
  <c r="L68" i="32"/>
  <c r="K68" i="32"/>
  <c r="J68" i="32"/>
  <c r="I68" i="32"/>
  <c r="H68" i="32"/>
  <c r="G68" i="32"/>
  <c r="F68" i="32"/>
  <c r="E68" i="32"/>
  <c r="D68" i="32"/>
  <c r="C68" i="32"/>
  <c r="B68" i="32"/>
  <c r="R67" i="32"/>
  <c r="Q67" i="32"/>
  <c r="P67" i="32"/>
  <c r="O67" i="32"/>
  <c r="N67" i="32"/>
  <c r="M67" i="32"/>
  <c r="L67" i="32"/>
  <c r="K67" i="32"/>
  <c r="J67" i="32"/>
  <c r="I67" i="32"/>
  <c r="H67" i="32"/>
  <c r="G67" i="32"/>
  <c r="F67" i="32"/>
  <c r="E67" i="32"/>
  <c r="D67" i="32"/>
  <c r="C67" i="32"/>
  <c r="B67" i="32"/>
  <c r="B110" i="32" s="1"/>
  <c r="R66" i="32"/>
  <c r="Q66" i="32"/>
  <c r="P66" i="32"/>
  <c r="O66" i="32"/>
  <c r="N66" i="32"/>
  <c r="M66" i="32"/>
  <c r="L66" i="32"/>
  <c r="K66" i="32"/>
  <c r="J66" i="32"/>
  <c r="I66" i="32"/>
  <c r="H66" i="32"/>
  <c r="G66" i="32"/>
  <c r="F66" i="32"/>
  <c r="E66" i="32"/>
  <c r="D66" i="32"/>
  <c r="C66" i="32"/>
  <c r="B66" i="32"/>
  <c r="R65" i="32"/>
  <c r="Q65" i="32"/>
  <c r="P65" i="32"/>
  <c r="O65" i="32"/>
  <c r="N65" i="32"/>
  <c r="M65" i="32"/>
  <c r="L65" i="32"/>
  <c r="K65" i="32"/>
  <c r="J65" i="32"/>
  <c r="I65" i="32"/>
  <c r="H65" i="32"/>
  <c r="G65" i="32"/>
  <c r="F65" i="32"/>
  <c r="E65" i="32"/>
  <c r="D65" i="32"/>
  <c r="C65" i="32"/>
  <c r="B65" i="32"/>
  <c r="B108" i="32" s="1"/>
  <c r="R64" i="32"/>
  <c r="Q64" i="32"/>
  <c r="P64" i="32"/>
  <c r="O64" i="32"/>
  <c r="N64" i="32"/>
  <c r="M64" i="32"/>
  <c r="L64" i="32"/>
  <c r="K64" i="32"/>
  <c r="J64" i="32"/>
  <c r="I64" i="32"/>
  <c r="H64" i="32"/>
  <c r="G64" i="32"/>
  <c r="F64" i="32"/>
  <c r="E64" i="32"/>
  <c r="D64" i="32"/>
  <c r="C64" i="32"/>
  <c r="B64" i="32"/>
  <c r="B107" i="32" s="1"/>
  <c r="R63" i="32"/>
  <c r="Q63" i="32"/>
  <c r="P63" i="32"/>
  <c r="O63" i="32"/>
  <c r="N63" i="32"/>
  <c r="M63" i="32"/>
  <c r="L63" i="32"/>
  <c r="K63" i="32"/>
  <c r="J63" i="32"/>
  <c r="I63" i="32"/>
  <c r="H63" i="32"/>
  <c r="G63" i="32"/>
  <c r="F63" i="32"/>
  <c r="E63" i="32"/>
  <c r="D63" i="32"/>
  <c r="C63" i="32"/>
  <c r="B63" i="32"/>
  <c r="B106" i="32" s="1"/>
  <c r="R62" i="32"/>
  <c r="Q62" i="32"/>
  <c r="P62" i="32"/>
  <c r="O62" i="32"/>
  <c r="N62" i="32"/>
  <c r="M62" i="32"/>
  <c r="L62" i="32"/>
  <c r="K62" i="32"/>
  <c r="J62" i="32"/>
  <c r="I62" i="32"/>
  <c r="H62" i="32"/>
  <c r="G62" i="32"/>
  <c r="F62" i="32"/>
  <c r="E62" i="32"/>
  <c r="D62" i="32"/>
  <c r="C62" i="32"/>
  <c r="B62" i="32"/>
  <c r="B105" i="32" s="1"/>
  <c r="R61" i="32"/>
  <c r="Q61" i="32"/>
  <c r="P61" i="32"/>
  <c r="O61" i="32"/>
  <c r="N61" i="32"/>
  <c r="M61" i="32"/>
  <c r="L61" i="32"/>
  <c r="K61" i="32"/>
  <c r="J61" i="32"/>
  <c r="I61" i="32"/>
  <c r="H61" i="32"/>
  <c r="G61" i="32"/>
  <c r="F61" i="32"/>
  <c r="E61" i="32"/>
  <c r="D61" i="32"/>
  <c r="C61" i="32"/>
  <c r="B61" i="32"/>
  <c r="B104" i="32" s="1"/>
  <c r="R60" i="32"/>
  <c r="Q60" i="32"/>
  <c r="P60" i="32"/>
  <c r="N60" i="32"/>
  <c r="M60" i="32"/>
  <c r="L60" i="32"/>
  <c r="J60" i="32"/>
  <c r="I60" i="32"/>
  <c r="H60" i="32"/>
  <c r="F60" i="32"/>
  <c r="E60" i="32"/>
  <c r="D60" i="32"/>
  <c r="C60" i="32"/>
  <c r="B60" i="32"/>
  <c r="B103" i="32" s="1"/>
  <c r="R59" i="32"/>
  <c r="I59" i="32"/>
  <c r="G59" i="32"/>
  <c r="C59" i="32"/>
  <c r="B59" i="32"/>
  <c r="O58" i="32"/>
  <c r="N58" i="32"/>
  <c r="L58" i="32"/>
  <c r="J58" i="32"/>
  <c r="D58" i="32"/>
  <c r="C58" i="32"/>
  <c r="B58" i="32"/>
  <c r="B101" i="32" s="1"/>
  <c r="C57" i="32"/>
  <c r="B57" i="32"/>
  <c r="B100" i="32" s="1"/>
  <c r="R56" i="32"/>
  <c r="Q56" i="32"/>
  <c r="P56" i="32"/>
  <c r="N56" i="32"/>
  <c r="M56" i="32"/>
  <c r="L56" i="32"/>
  <c r="J56" i="32"/>
  <c r="I56" i="32"/>
  <c r="H56" i="32"/>
  <c r="F56" i="32"/>
  <c r="E56" i="32"/>
  <c r="D56" i="32"/>
  <c r="C56" i="32"/>
  <c r="B56" i="32"/>
  <c r="B99" i="32" s="1"/>
  <c r="O55" i="32"/>
  <c r="N55" i="32"/>
  <c r="M55" i="32"/>
  <c r="J55" i="32"/>
  <c r="E55" i="32"/>
  <c r="C55" i="32"/>
  <c r="B55" i="32"/>
  <c r="B98" i="32" s="1"/>
  <c r="E52" i="32"/>
  <c r="D52" i="32"/>
  <c r="V42" i="32"/>
  <c r="U42" i="32"/>
  <c r="R203" i="32" s="1"/>
  <c r="T42" i="32"/>
  <c r="Q203" i="32" s="1"/>
  <c r="S42" i="32"/>
  <c r="R42" i="32"/>
  <c r="Q42" i="32"/>
  <c r="P42" i="32"/>
  <c r="O42" i="32"/>
  <c r="N42" i="32"/>
  <c r="M42" i="32"/>
  <c r="J203" i="32" s="1"/>
  <c r="L42" i="32"/>
  <c r="I203" i="32" s="1"/>
  <c r="K42" i="32"/>
  <c r="J42" i="32"/>
  <c r="I42" i="32"/>
  <c r="H42" i="32"/>
  <c r="G41" i="32"/>
  <c r="G40" i="32"/>
  <c r="G39" i="32"/>
  <c r="G38" i="32"/>
  <c r="G37" i="32"/>
  <c r="G36" i="32"/>
  <c r="G35" i="32"/>
  <c r="G34" i="32"/>
  <c r="G33" i="32"/>
  <c r="G32" i="32"/>
  <c r="G31" i="32"/>
  <c r="G30" i="32"/>
  <c r="G29" i="32"/>
  <c r="G28" i="32"/>
  <c r="G27" i="32"/>
  <c r="G26" i="32"/>
  <c r="G25" i="32"/>
  <c r="G24" i="32"/>
  <c r="G23" i="32"/>
  <c r="G22" i="32"/>
  <c r="G21" i="32"/>
  <c r="G20" i="32"/>
  <c r="G19" i="32"/>
  <c r="G18" i="32"/>
  <c r="G17" i="32"/>
  <c r="F16" i="32"/>
  <c r="R103" i="32" s="1"/>
  <c r="E16" i="32"/>
  <c r="K60" i="32" s="1"/>
  <c r="F15" i="32"/>
  <c r="I102" i="32" s="1"/>
  <c r="E15" i="32"/>
  <c r="M59" i="32" s="1"/>
  <c r="F14" i="32"/>
  <c r="K101" i="32" s="1"/>
  <c r="E14" i="32"/>
  <c r="P58" i="32" s="1"/>
  <c r="F13" i="32"/>
  <c r="R100" i="32" s="1"/>
  <c r="E13" i="32"/>
  <c r="Q57" i="32" s="1"/>
  <c r="G12" i="32"/>
  <c r="F12" i="32"/>
  <c r="H99" i="32" s="1"/>
  <c r="E12" i="32"/>
  <c r="O56" i="32" s="1"/>
  <c r="F11" i="32"/>
  <c r="J98" i="32" s="1"/>
  <c r="E11" i="32"/>
  <c r="G10" i="32"/>
  <c r="I8" i="32"/>
  <c r="H8" i="32"/>
  <c r="A2" i="27"/>
  <c r="A1" i="27"/>
  <c r="Q21" i="15"/>
  <c r="P21" i="15"/>
  <c r="O21" i="15"/>
  <c r="N21" i="15"/>
  <c r="M21" i="15"/>
  <c r="L21" i="15"/>
  <c r="K21" i="15"/>
  <c r="J21" i="15"/>
  <c r="I21" i="15"/>
  <c r="H21" i="15"/>
  <c r="G21" i="15"/>
  <c r="F21" i="15"/>
  <c r="E21" i="15"/>
  <c r="D21" i="15"/>
  <c r="C21" i="15"/>
  <c r="B21" i="15"/>
  <c r="A21" i="15"/>
  <c r="Q20" i="15"/>
  <c r="P20" i="15"/>
  <c r="O20" i="15"/>
  <c r="N20" i="15"/>
  <c r="M20" i="15"/>
  <c r="L20" i="15"/>
  <c r="K20" i="15"/>
  <c r="J20" i="15"/>
  <c r="I20" i="15"/>
  <c r="H20" i="15"/>
  <c r="G20" i="15"/>
  <c r="F20" i="15"/>
  <c r="E20" i="15"/>
  <c r="D20" i="15"/>
  <c r="C20" i="15"/>
  <c r="B20" i="15"/>
  <c r="A20" i="15"/>
  <c r="Q19" i="15"/>
  <c r="P19" i="15"/>
  <c r="O19" i="15"/>
  <c r="N19" i="15"/>
  <c r="M19" i="15"/>
  <c r="L19" i="15"/>
  <c r="K19" i="15"/>
  <c r="J19" i="15"/>
  <c r="I19" i="15"/>
  <c r="H19" i="15"/>
  <c r="G19" i="15"/>
  <c r="F19" i="15"/>
  <c r="E19" i="15"/>
  <c r="D19" i="15"/>
  <c r="C19" i="15"/>
  <c r="B19" i="15"/>
  <c r="A19" i="15"/>
  <c r="Q18" i="15"/>
  <c r="P18" i="15"/>
  <c r="O18" i="15"/>
  <c r="N18" i="15"/>
  <c r="M18" i="15"/>
  <c r="L18" i="15"/>
  <c r="K18" i="15"/>
  <c r="J18" i="15"/>
  <c r="I18" i="15"/>
  <c r="H18" i="15"/>
  <c r="G18" i="15"/>
  <c r="F18" i="15"/>
  <c r="E18" i="15"/>
  <c r="D18" i="15"/>
  <c r="C18" i="15"/>
  <c r="B18" i="15"/>
  <c r="A18" i="15"/>
  <c r="Q17" i="15"/>
  <c r="P17" i="15"/>
  <c r="O17" i="15"/>
  <c r="N17" i="15"/>
  <c r="M17" i="15"/>
  <c r="L17" i="15"/>
  <c r="K17" i="15"/>
  <c r="J17" i="15"/>
  <c r="I17" i="15"/>
  <c r="H17" i="15"/>
  <c r="G17" i="15"/>
  <c r="F17" i="15"/>
  <c r="E17" i="15"/>
  <c r="D17" i="15"/>
  <c r="C17" i="15"/>
  <c r="B17" i="15"/>
  <c r="A17" i="15"/>
  <c r="R16" i="15"/>
  <c r="Q16" i="15"/>
  <c r="P16" i="15"/>
  <c r="O16" i="15"/>
  <c r="N16" i="15"/>
  <c r="M16" i="15"/>
  <c r="L16" i="15"/>
  <c r="K16" i="15"/>
  <c r="J16" i="15"/>
  <c r="I16" i="15"/>
  <c r="H16" i="15"/>
  <c r="G16" i="15"/>
  <c r="F16" i="15"/>
  <c r="E16" i="15"/>
  <c r="D16" i="15"/>
  <c r="C16" i="15"/>
  <c r="B16" i="15"/>
  <c r="A16" i="15"/>
  <c r="Q15" i="15"/>
  <c r="P15" i="15"/>
  <c r="O15" i="15"/>
  <c r="N15" i="15"/>
  <c r="M15" i="15"/>
  <c r="L15" i="15"/>
  <c r="K15" i="15"/>
  <c r="J15" i="15"/>
  <c r="I15" i="15"/>
  <c r="H15" i="15"/>
  <c r="G15" i="15"/>
  <c r="F15" i="15"/>
  <c r="E15" i="15"/>
  <c r="D15" i="15"/>
  <c r="C15" i="15"/>
  <c r="B15" i="15"/>
  <c r="A15" i="15"/>
  <c r="Q14" i="15"/>
  <c r="P14" i="15"/>
  <c r="O14" i="15"/>
  <c r="N14" i="15"/>
  <c r="M14" i="15"/>
  <c r="L14" i="15"/>
  <c r="K14" i="15"/>
  <c r="J14" i="15"/>
  <c r="I14" i="15"/>
  <c r="H14" i="15"/>
  <c r="G14" i="15"/>
  <c r="F14" i="15"/>
  <c r="E14" i="15"/>
  <c r="D14" i="15"/>
  <c r="C14" i="15"/>
  <c r="B14" i="15"/>
  <c r="A14" i="15"/>
  <c r="Q13" i="15"/>
  <c r="P13" i="15"/>
  <c r="O13" i="15"/>
  <c r="N13" i="15"/>
  <c r="M13" i="15"/>
  <c r="L13" i="15"/>
  <c r="K13" i="15"/>
  <c r="J13" i="15"/>
  <c r="I13" i="15"/>
  <c r="H13" i="15"/>
  <c r="G13" i="15"/>
  <c r="F13" i="15"/>
  <c r="E13" i="15"/>
  <c r="D13" i="15"/>
  <c r="C13" i="15"/>
  <c r="B13" i="15"/>
  <c r="A13" i="15"/>
  <c r="Q12" i="15"/>
  <c r="P12" i="15"/>
  <c r="O12" i="15"/>
  <c r="N12" i="15"/>
  <c r="M12" i="15"/>
  <c r="L12" i="15"/>
  <c r="K12" i="15"/>
  <c r="J12" i="15"/>
  <c r="I12" i="15"/>
  <c r="H12" i="15"/>
  <c r="G12" i="15"/>
  <c r="F12" i="15"/>
  <c r="E12" i="15"/>
  <c r="D12" i="15"/>
  <c r="C12" i="15"/>
  <c r="B12" i="15"/>
  <c r="A12" i="15"/>
  <c r="Q11" i="15"/>
  <c r="P11" i="15"/>
  <c r="O11" i="15"/>
  <c r="N11" i="15"/>
  <c r="M11" i="15"/>
  <c r="L11" i="15"/>
  <c r="K11" i="15"/>
  <c r="J11" i="15"/>
  <c r="I11" i="15"/>
  <c r="H11" i="15"/>
  <c r="G11" i="15"/>
  <c r="F11" i="15"/>
  <c r="E11" i="15"/>
  <c r="D11" i="15"/>
  <c r="C11" i="15"/>
  <c r="B11" i="15"/>
  <c r="A11" i="15"/>
  <c r="Q10" i="15"/>
  <c r="P10" i="15"/>
  <c r="O10" i="15"/>
  <c r="N10" i="15"/>
  <c r="M10" i="15"/>
  <c r="L10" i="15"/>
  <c r="K10" i="15"/>
  <c r="J10" i="15"/>
  <c r="I10" i="15"/>
  <c r="H10" i="15"/>
  <c r="G10" i="15"/>
  <c r="F10" i="15"/>
  <c r="E10" i="15"/>
  <c r="D10" i="15"/>
  <c r="C10" i="15"/>
  <c r="B10" i="15"/>
  <c r="A10" i="15"/>
  <c r="Q9" i="15"/>
  <c r="P9" i="15"/>
  <c r="O9" i="15"/>
  <c r="N9" i="15"/>
  <c r="M9" i="15"/>
  <c r="L9" i="15"/>
  <c r="K9" i="15"/>
  <c r="J9" i="15"/>
  <c r="I9" i="15"/>
  <c r="H9" i="15"/>
  <c r="G9" i="15"/>
  <c r="F9" i="15"/>
  <c r="E9" i="15"/>
  <c r="D9" i="15"/>
  <c r="C9" i="15"/>
  <c r="B9" i="15"/>
  <c r="A9" i="15"/>
  <c r="Q8" i="15"/>
  <c r="P8" i="15"/>
  <c r="O8" i="15"/>
  <c r="N8" i="15"/>
  <c r="M8" i="15"/>
  <c r="L8" i="15"/>
  <c r="K8" i="15"/>
  <c r="J8" i="15"/>
  <c r="I8" i="15"/>
  <c r="H8" i="15"/>
  <c r="G8" i="15"/>
  <c r="F8" i="15"/>
  <c r="E8" i="15"/>
  <c r="D8" i="15"/>
  <c r="C8" i="15"/>
  <c r="B8" i="15"/>
  <c r="A8" i="15"/>
  <c r="Q7" i="15"/>
  <c r="P7" i="15"/>
  <c r="O7" i="15"/>
  <c r="N7" i="15"/>
  <c r="M7" i="15"/>
  <c r="L7" i="15"/>
  <c r="K7" i="15"/>
  <c r="J7" i="15"/>
  <c r="I7" i="15"/>
  <c r="H7" i="15"/>
  <c r="G7" i="15"/>
  <c r="F7" i="15"/>
  <c r="E7" i="15"/>
  <c r="D7" i="15"/>
  <c r="C7" i="15"/>
  <c r="B7" i="15"/>
  <c r="A7" i="15"/>
  <c r="Q6" i="15"/>
  <c r="P6" i="15"/>
  <c r="O6" i="15"/>
  <c r="N6" i="15"/>
  <c r="M6" i="15"/>
  <c r="L6" i="15"/>
  <c r="K6" i="15"/>
  <c r="J6" i="15"/>
  <c r="I6" i="15"/>
  <c r="H6" i="15"/>
  <c r="G6" i="15"/>
  <c r="F6" i="15"/>
  <c r="E6" i="15"/>
  <c r="D6" i="15"/>
  <c r="C6" i="15"/>
  <c r="B6" i="15"/>
  <c r="A6" i="15"/>
  <c r="Q5" i="15"/>
  <c r="P5" i="15"/>
  <c r="O5" i="15"/>
  <c r="N5" i="15"/>
  <c r="M5" i="15"/>
  <c r="L5" i="15"/>
  <c r="K5" i="15"/>
  <c r="J5" i="15"/>
  <c r="I5" i="15"/>
  <c r="H5" i="15"/>
  <c r="G5" i="15"/>
  <c r="F5" i="15"/>
  <c r="E5" i="15"/>
  <c r="D5" i="15"/>
  <c r="C5" i="15"/>
  <c r="B5" i="15"/>
  <c r="A5" i="15"/>
  <c r="Q4" i="15"/>
  <c r="P4" i="15"/>
  <c r="O4" i="15"/>
  <c r="N4" i="15"/>
  <c r="M4" i="15"/>
  <c r="L4" i="15"/>
  <c r="K4" i="15"/>
  <c r="J4" i="15"/>
  <c r="I4" i="15"/>
  <c r="H4" i="15"/>
  <c r="G4" i="15"/>
  <c r="F4" i="15"/>
  <c r="E4" i="15"/>
  <c r="D4" i="15"/>
  <c r="C4" i="15"/>
  <c r="B4" i="15"/>
  <c r="A4" i="15"/>
  <c r="Q3" i="15"/>
  <c r="P3" i="15"/>
  <c r="O3" i="15"/>
  <c r="N3" i="15"/>
  <c r="M3" i="15"/>
  <c r="L3" i="15"/>
  <c r="K3" i="15"/>
  <c r="J3" i="15"/>
  <c r="I3" i="15"/>
  <c r="H3" i="15"/>
  <c r="G3" i="15"/>
  <c r="F3" i="15"/>
  <c r="E3" i="15"/>
  <c r="D3" i="15"/>
  <c r="C3" i="15"/>
  <c r="B3" i="15"/>
  <c r="A3" i="15"/>
  <c r="Q2" i="15"/>
  <c r="P2" i="15"/>
  <c r="O2" i="15"/>
  <c r="N2" i="15"/>
  <c r="M2" i="15"/>
  <c r="L2" i="15"/>
  <c r="K2" i="15"/>
  <c r="J2" i="15"/>
  <c r="I2" i="15"/>
  <c r="H2" i="15"/>
  <c r="G2" i="15"/>
  <c r="F2" i="15"/>
  <c r="E2" i="15"/>
  <c r="D2" i="15"/>
  <c r="C2" i="15"/>
  <c r="B2" i="15"/>
  <c r="A2" i="15"/>
  <c r="Q1" i="15"/>
  <c r="P1" i="15"/>
  <c r="O1" i="15"/>
  <c r="N1" i="15"/>
  <c r="M1" i="15"/>
  <c r="L1" i="15"/>
  <c r="K1" i="15"/>
  <c r="J1" i="15"/>
  <c r="I1" i="15"/>
  <c r="H1" i="15"/>
  <c r="G1" i="15"/>
  <c r="F1" i="15"/>
  <c r="E1" i="15"/>
  <c r="D1" i="15"/>
  <c r="C1" i="15"/>
  <c r="B1" i="15"/>
  <c r="Q22" i="24"/>
  <c r="P22" i="24"/>
  <c r="O22" i="24"/>
  <c r="N22" i="24"/>
  <c r="M22" i="24"/>
  <c r="L22" i="24"/>
  <c r="K22" i="24"/>
  <c r="J22" i="24"/>
  <c r="I22" i="24"/>
  <c r="H22" i="24"/>
  <c r="G22" i="24"/>
  <c r="F22" i="24"/>
  <c r="E22" i="24"/>
  <c r="D22" i="24"/>
  <c r="C22" i="24"/>
  <c r="B22" i="24"/>
  <c r="Q21" i="24"/>
  <c r="P21" i="24"/>
  <c r="O21" i="24"/>
  <c r="N21" i="24"/>
  <c r="M21" i="24"/>
  <c r="L21" i="24"/>
  <c r="K21" i="24"/>
  <c r="J21" i="24"/>
  <c r="I21" i="24"/>
  <c r="H21" i="24"/>
  <c r="G21" i="24"/>
  <c r="F21" i="24"/>
  <c r="E21" i="24"/>
  <c r="D21" i="24"/>
  <c r="C21" i="24"/>
  <c r="B21" i="24"/>
  <c r="Q20" i="24"/>
  <c r="P20" i="24"/>
  <c r="O20" i="24"/>
  <c r="N20" i="24"/>
  <c r="M20" i="24"/>
  <c r="L20" i="24"/>
  <c r="K20" i="24"/>
  <c r="J20" i="24"/>
  <c r="I20" i="24"/>
  <c r="H20" i="24"/>
  <c r="G20" i="24"/>
  <c r="F20" i="24"/>
  <c r="E20" i="24"/>
  <c r="D20" i="24"/>
  <c r="C20" i="24"/>
  <c r="B20" i="24"/>
  <c r="Q19" i="24"/>
  <c r="P19" i="24"/>
  <c r="O19" i="24"/>
  <c r="N19" i="24"/>
  <c r="M19" i="24"/>
  <c r="L19" i="24"/>
  <c r="K19" i="24"/>
  <c r="J19" i="24"/>
  <c r="I19" i="24"/>
  <c r="H19" i="24"/>
  <c r="G19" i="24"/>
  <c r="F19" i="24"/>
  <c r="E19" i="24"/>
  <c r="D19" i="24"/>
  <c r="C19" i="24"/>
  <c r="B19" i="24"/>
  <c r="Q18" i="24"/>
  <c r="P18" i="24"/>
  <c r="O18" i="24"/>
  <c r="N18" i="24"/>
  <c r="M18" i="24"/>
  <c r="L18" i="24"/>
  <c r="K18" i="24"/>
  <c r="J18" i="24"/>
  <c r="I18" i="24"/>
  <c r="H18" i="24"/>
  <c r="G18" i="24"/>
  <c r="F18" i="24"/>
  <c r="E18" i="24"/>
  <c r="D18" i="24"/>
  <c r="C18" i="24"/>
  <c r="B18" i="24"/>
  <c r="Q17" i="24"/>
  <c r="P17" i="24"/>
  <c r="O17" i="24"/>
  <c r="N17" i="24"/>
  <c r="M17" i="24"/>
  <c r="L17" i="24"/>
  <c r="K17" i="24"/>
  <c r="J17" i="24"/>
  <c r="I17" i="24"/>
  <c r="H17" i="24"/>
  <c r="G17" i="24"/>
  <c r="F17" i="24"/>
  <c r="E17" i="24"/>
  <c r="D17" i="24"/>
  <c r="C17" i="24"/>
  <c r="B17" i="24"/>
  <c r="Q16" i="24"/>
  <c r="P16" i="24"/>
  <c r="O16" i="24"/>
  <c r="N16" i="24"/>
  <c r="M16" i="24"/>
  <c r="L16" i="24"/>
  <c r="K16" i="24"/>
  <c r="J16" i="24"/>
  <c r="I16" i="24"/>
  <c r="H16" i="24"/>
  <c r="G16" i="24"/>
  <c r="F16" i="24"/>
  <c r="E16" i="24"/>
  <c r="D16" i="24"/>
  <c r="C16" i="24"/>
  <c r="B16" i="24"/>
  <c r="Q15" i="24"/>
  <c r="P15" i="24"/>
  <c r="O15" i="24"/>
  <c r="N15" i="24"/>
  <c r="M15" i="24"/>
  <c r="L15" i="24"/>
  <c r="K15" i="24"/>
  <c r="J15" i="24"/>
  <c r="I15" i="24"/>
  <c r="H15" i="24"/>
  <c r="G15" i="24"/>
  <c r="F15" i="24"/>
  <c r="E15" i="24"/>
  <c r="D15" i="24"/>
  <c r="C15" i="24"/>
  <c r="B15" i="24"/>
  <c r="Q14" i="24"/>
  <c r="P14" i="24"/>
  <c r="O14" i="24"/>
  <c r="N14" i="24"/>
  <c r="M14" i="24"/>
  <c r="L14" i="24"/>
  <c r="K14" i="24"/>
  <c r="J14" i="24"/>
  <c r="I14" i="24"/>
  <c r="H14" i="24"/>
  <c r="G14" i="24"/>
  <c r="F14" i="24"/>
  <c r="E14" i="24"/>
  <c r="D14" i="24"/>
  <c r="C14" i="24"/>
  <c r="B14" i="24"/>
  <c r="Q13" i="24"/>
  <c r="P13" i="24"/>
  <c r="O13" i="24"/>
  <c r="N13" i="24"/>
  <c r="M13" i="24"/>
  <c r="L13" i="24"/>
  <c r="K13" i="24"/>
  <c r="J13" i="24"/>
  <c r="I13" i="24"/>
  <c r="H13" i="24"/>
  <c r="G13" i="24"/>
  <c r="F13" i="24"/>
  <c r="E13" i="24"/>
  <c r="D13" i="24"/>
  <c r="C13" i="24"/>
  <c r="B13" i="24"/>
  <c r="Q12" i="24"/>
  <c r="P12" i="24"/>
  <c r="O12" i="24"/>
  <c r="N12" i="24"/>
  <c r="M12" i="24"/>
  <c r="L12" i="24"/>
  <c r="K12" i="24"/>
  <c r="J12" i="24"/>
  <c r="I12" i="24"/>
  <c r="H12" i="24"/>
  <c r="G12" i="24"/>
  <c r="F12" i="24"/>
  <c r="E12" i="24"/>
  <c r="D12" i="24"/>
  <c r="C12" i="24"/>
  <c r="B12" i="24"/>
  <c r="Q11" i="24"/>
  <c r="P11" i="24"/>
  <c r="O11" i="24"/>
  <c r="N11" i="24"/>
  <c r="M11" i="24"/>
  <c r="L11" i="24"/>
  <c r="K11" i="24"/>
  <c r="J11" i="24"/>
  <c r="I11" i="24"/>
  <c r="H11" i="24"/>
  <c r="G11" i="24"/>
  <c r="F11" i="24"/>
  <c r="E11" i="24"/>
  <c r="D11" i="24"/>
  <c r="C11" i="24"/>
  <c r="B11" i="24"/>
  <c r="Q10" i="24"/>
  <c r="P10" i="24"/>
  <c r="O10" i="24"/>
  <c r="N10" i="24"/>
  <c r="M10" i="24"/>
  <c r="L10" i="24"/>
  <c r="K10" i="24"/>
  <c r="J10" i="24"/>
  <c r="I10" i="24"/>
  <c r="H10" i="24"/>
  <c r="G10" i="24"/>
  <c r="F10" i="24"/>
  <c r="E10" i="24"/>
  <c r="D10" i="24"/>
  <c r="C10" i="24"/>
  <c r="B10" i="24"/>
  <c r="Q9" i="24"/>
  <c r="P9" i="24"/>
  <c r="O9" i="24"/>
  <c r="N9" i="24"/>
  <c r="M9" i="24"/>
  <c r="L9" i="24"/>
  <c r="K9" i="24"/>
  <c r="J9" i="24"/>
  <c r="I9" i="24"/>
  <c r="H9" i="24"/>
  <c r="G9" i="24"/>
  <c r="F9" i="24"/>
  <c r="E9" i="24"/>
  <c r="D9" i="24"/>
  <c r="C9" i="24"/>
  <c r="B9" i="24"/>
  <c r="Q8" i="24"/>
  <c r="P8" i="24"/>
  <c r="O8" i="24"/>
  <c r="N8" i="24"/>
  <c r="M8" i="24"/>
  <c r="L8" i="24"/>
  <c r="K8" i="24"/>
  <c r="J8" i="24"/>
  <c r="I8" i="24"/>
  <c r="H8" i="24"/>
  <c r="G8" i="24"/>
  <c r="F8" i="24"/>
  <c r="E8" i="24"/>
  <c r="D8" i="24"/>
  <c r="C8" i="24"/>
  <c r="B8" i="24"/>
  <c r="Q7" i="24"/>
  <c r="P7" i="24"/>
  <c r="O7" i="24"/>
  <c r="N7" i="24"/>
  <c r="M7" i="24"/>
  <c r="L7" i="24"/>
  <c r="K7" i="24"/>
  <c r="J7" i="24"/>
  <c r="I7" i="24"/>
  <c r="H7" i="24"/>
  <c r="G7" i="24"/>
  <c r="F7" i="24"/>
  <c r="E7" i="24"/>
  <c r="D7" i="24"/>
  <c r="C7" i="24"/>
  <c r="B7" i="24"/>
  <c r="Q6" i="24"/>
  <c r="P6" i="24"/>
  <c r="O6" i="24"/>
  <c r="N6" i="24"/>
  <c r="M6" i="24"/>
  <c r="L6" i="24"/>
  <c r="K6" i="24"/>
  <c r="J6" i="24"/>
  <c r="I6" i="24"/>
  <c r="H6" i="24"/>
  <c r="G6" i="24"/>
  <c r="F6" i="24"/>
  <c r="E6" i="24"/>
  <c r="D6" i="24"/>
  <c r="C6" i="24"/>
  <c r="B6" i="24"/>
  <c r="Q5" i="24"/>
  <c r="P5" i="24"/>
  <c r="O5" i="24"/>
  <c r="N5" i="24"/>
  <c r="M5" i="24"/>
  <c r="L5" i="24"/>
  <c r="K5" i="24"/>
  <c r="J5" i="24"/>
  <c r="I5" i="24"/>
  <c r="H5" i="24"/>
  <c r="G5" i="24"/>
  <c r="F5" i="24"/>
  <c r="E5" i="24"/>
  <c r="D5" i="24"/>
  <c r="C5" i="24"/>
  <c r="B5" i="24"/>
  <c r="Q4" i="24"/>
  <c r="P4" i="24"/>
  <c r="O4" i="24"/>
  <c r="N4" i="24"/>
  <c r="M4" i="24"/>
  <c r="L4" i="24"/>
  <c r="K4" i="24"/>
  <c r="J4" i="24"/>
  <c r="I4" i="24"/>
  <c r="H4" i="24"/>
  <c r="G4" i="24"/>
  <c r="F4" i="24"/>
  <c r="E4" i="24"/>
  <c r="D4" i="24"/>
  <c r="C4" i="24"/>
  <c r="B4" i="24"/>
  <c r="Q3" i="24"/>
  <c r="P3" i="24"/>
  <c r="O3" i="24"/>
  <c r="N3" i="24"/>
  <c r="M3" i="24"/>
  <c r="L3" i="24"/>
  <c r="K3" i="24"/>
  <c r="J3" i="24"/>
  <c r="I3" i="24"/>
  <c r="H3" i="24"/>
  <c r="G3" i="24"/>
  <c r="F3" i="24"/>
  <c r="E3" i="24"/>
  <c r="D3" i="24"/>
  <c r="C3" i="24"/>
  <c r="B3" i="24"/>
  <c r="Q2" i="24"/>
  <c r="P2" i="24"/>
  <c r="O2" i="24"/>
  <c r="N2" i="24"/>
  <c r="M2" i="24"/>
  <c r="L2" i="24"/>
  <c r="K2" i="24"/>
  <c r="J2" i="24"/>
  <c r="I2" i="24"/>
  <c r="H2" i="24"/>
  <c r="G2" i="24"/>
  <c r="F2" i="24"/>
  <c r="E2" i="24"/>
  <c r="D2" i="24"/>
  <c r="C2" i="24"/>
  <c r="B2" i="24"/>
  <c r="Q1" i="24"/>
  <c r="P1" i="24"/>
  <c r="O1" i="24"/>
  <c r="N1" i="24"/>
  <c r="M1" i="24"/>
  <c r="L1" i="24"/>
  <c r="K1" i="24"/>
  <c r="J1" i="24"/>
  <c r="I1" i="24"/>
  <c r="H1" i="24"/>
  <c r="G1" i="24"/>
  <c r="F1" i="24"/>
  <c r="E1" i="24"/>
  <c r="D1" i="24"/>
  <c r="C1" i="24"/>
  <c r="B1" i="24"/>
  <c r="Q26" i="25"/>
  <c r="P26" i="25"/>
  <c r="O26" i="25"/>
  <c r="N26" i="25"/>
  <c r="M26" i="25"/>
  <c r="L26" i="25"/>
  <c r="K26" i="25"/>
  <c r="J26" i="25"/>
  <c r="I26" i="25"/>
  <c r="H26" i="25"/>
  <c r="G26" i="25"/>
  <c r="F26" i="25"/>
  <c r="E26" i="25"/>
  <c r="D26" i="25"/>
  <c r="C26" i="25"/>
  <c r="B26" i="25"/>
  <c r="Q25" i="25"/>
  <c r="P25" i="25"/>
  <c r="O25" i="25"/>
  <c r="N25" i="25"/>
  <c r="M25" i="25"/>
  <c r="L25" i="25"/>
  <c r="K25" i="25"/>
  <c r="J25" i="25"/>
  <c r="I25" i="25"/>
  <c r="H25" i="25"/>
  <c r="G25" i="25"/>
  <c r="F25" i="25"/>
  <c r="E25" i="25"/>
  <c r="D25" i="25"/>
  <c r="C25" i="25"/>
  <c r="B25" i="25"/>
  <c r="Q24" i="25"/>
  <c r="P24" i="25"/>
  <c r="O24" i="25"/>
  <c r="N24" i="25"/>
  <c r="M24" i="25"/>
  <c r="L24" i="25"/>
  <c r="K24" i="25"/>
  <c r="J24" i="25"/>
  <c r="I24" i="25"/>
  <c r="H24" i="25"/>
  <c r="G24" i="25"/>
  <c r="F24" i="25"/>
  <c r="E24" i="25"/>
  <c r="D24" i="25"/>
  <c r="C24" i="25"/>
  <c r="B24" i="25"/>
  <c r="Q23" i="25"/>
  <c r="P23" i="25"/>
  <c r="O23" i="25"/>
  <c r="N23" i="25"/>
  <c r="M23" i="25"/>
  <c r="L23" i="25"/>
  <c r="K23" i="25"/>
  <c r="J23" i="25"/>
  <c r="I23" i="25"/>
  <c r="H23" i="25"/>
  <c r="G23" i="25"/>
  <c r="F23" i="25"/>
  <c r="E23" i="25"/>
  <c r="D23" i="25"/>
  <c r="C23" i="25"/>
  <c r="B23" i="25"/>
  <c r="Q22" i="25"/>
  <c r="P22" i="25"/>
  <c r="O22" i="25"/>
  <c r="N22" i="25"/>
  <c r="M22" i="25"/>
  <c r="L22" i="25"/>
  <c r="K22" i="25"/>
  <c r="J22" i="25"/>
  <c r="I22" i="25"/>
  <c r="H22" i="25"/>
  <c r="G22" i="25"/>
  <c r="F22" i="25"/>
  <c r="E22" i="25"/>
  <c r="D22" i="25"/>
  <c r="C22" i="25"/>
  <c r="B22" i="25"/>
  <c r="Q21" i="25"/>
  <c r="P21" i="25"/>
  <c r="O21" i="25"/>
  <c r="N21" i="25"/>
  <c r="M21" i="25"/>
  <c r="L21" i="25"/>
  <c r="K21" i="25"/>
  <c r="J21" i="25"/>
  <c r="I21" i="25"/>
  <c r="H21" i="25"/>
  <c r="G21" i="25"/>
  <c r="F21" i="25"/>
  <c r="E21" i="25"/>
  <c r="D21" i="25"/>
  <c r="C21" i="25"/>
  <c r="B21" i="25"/>
  <c r="Q20" i="25"/>
  <c r="P20" i="25"/>
  <c r="O20" i="25"/>
  <c r="N20" i="25"/>
  <c r="M20" i="25"/>
  <c r="L20" i="25"/>
  <c r="K20" i="25"/>
  <c r="J20" i="25"/>
  <c r="I20" i="25"/>
  <c r="H20" i="25"/>
  <c r="G20" i="25"/>
  <c r="F20" i="25"/>
  <c r="E20" i="25"/>
  <c r="D20" i="25"/>
  <c r="C20" i="25"/>
  <c r="B20" i="25"/>
  <c r="Q19" i="25"/>
  <c r="P19" i="25"/>
  <c r="O19" i="25"/>
  <c r="N19" i="25"/>
  <c r="M19" i="25"/>
  <c r="L19" i="25"/>
  <c r="K19" i="25"/>
  <c r="J19" i="25"/>
  <c r="I19" i="25"/>
  <c r="H19" i="25"/>
  <c r="G19" i="25"/>
  <c r="F19" i="25"/>
  <c r="E19" i="25"/>
  <c r="D19" i="25"/>
  <c r="C19" i="25"/>
  <c r="B19" i="25"/>
  <c r="Q18" i="25"/>
  <c r="P18" i="25"/>
  <c r="O18" i="25"/>
  <c r="N18" i="25"/>
  <c r="M18" i="25"/>
  <c r="L18" i="25"/>
  <c r="K18" i="25"/>
  <c r="J18" i="25"/>
  <c r="I18" i="25"/>
  <c r="H18" i="25"/>
  <c r="G18" i="25"/>
  <c r="F18" i="25"/>
  <c r="E18" i="25"/>
  <c r="D18" i="25"/>
  <c r="C18" i="25"/>
  <c r="B18" i="25"/>
  <c r="Q17" i="25"/>
  <c r="P17" i="25"/>
  <c r="O17" i="25"/>
  <c r="N17" i="25"/>
  <c r="M17" i="25"/>
  <c r="L17" i="25"/>
  <c r="K17" i="25"/>
  <c r="J17" i="25"/>
  <c r="I17" i="25"/>
  <c r="H17" i="25"/>
  <c r="G17" i="25"/>
  <c r="F17" i="25"/>
  <c r="E17" i="25"/>
  <c r="D17" i="25"/>
  <c r="C17" i="25"/>
  <c r="B17" i="25"/>
  <c r="Q16" i="25"/>
  <c r="P16" i="25"/>
  <c r="O16" i="25"/>
  <c r="N16" i="25"/>
  <c r="M16" i="25"/>
  <c r="L16" i="25"/>
  <c r="K16" i="25"/>
  <c r="J16" i="25"/>
  <c r="I16" i="25"/>
  <c r="H16" i="25"/>
  <c r="G16" i="25"/>
  <c r="F16" i="25"/>
  <c r="E16" i="25"/>
  <c r="D16" i="25"/>
  <c r="C16" i="25"/>
  <c r="B16" i="25"/>
  <c r="Q15" i="25"/>
  <c r="P15" i="25"/>
  <c r="O15" i="25"/>
  <c r="N15" i="25"/>
  <c r="M15" i="25"/>
  <c r="L15" i="25"/>
  <c r="K15" i="25"/>
  <c r="J15" i="25"/>
  <c r="I15" i="25"/>
  <c r="H15" i="25"/>
  <c r="G15" i="25"/>
  <c r="F15" i="25"/>
  <c r="E15" i="25"/>
  <c r="D15" i="25"/>
  <c r="C15" i="25"/>
  <c r="B15" i="25"/>
  <c r="Q14" i="25"/>
  <c r="P14" i="25"/>
  <c r="O14" i="25"/>
  <c r="N14" i="25"/>
  <c r="M14" i="25"/>
  <c r="L14" i="25"/>
  <c r="K14" i="25"/>
  <c r="J14" i="25"/>
  <c r="I14" i="25"/>
  <c r="H14" i="25"/>
  <c r="G14" i="25"/>
  <c r="F14" i="25"/>
  <c r="E14" i="25"/>
  <c r="D14" i="25"/>
  <c r="C14" i="25"/>
  <c r="B14" i="25"/>
  <c r="Q13" i="25"/>
  <c r="P13" i="25"/>
  <c r="O13" i="25"/>
  <c r="N13" i="25"/>
  <c r="M13" i="25"/>
  <c r="L13" i="25"/>
  <c r="K13" i="25"/>
  <c r="J13" i="25"/>
  <c r="I13" i="25"/>
  <c r="H13" i="25"/>
  <c r="G13" i="25"/>
  <c r="F13" i="25"/>
  <c r="E13" i="25"/>
  <c r="D13" i="25"/>
  <c r="C13" i="25"/>
  <c r="B13" i="25"/>
  <c r="Q12" i="25"/>
  <c r="P12" i="25"/>
  <c r="O12" i="25"/>
  <c r="N12" i="25"/>
  <c r="M12" i="25"/>
  <c r="L12" i="25"/>
  <c r="K12" i="25"/>
  <c r="J12" i="25"/>
  <c r="I12" i="25"/>
  <c r="H12" i="25"/>
  <c r="G12" i="25"/>
  <c r="F12" i="25"/>
  <c r="E12" i="25"/>
  <c r="D12" i="25"/>
  <c r="C12" i="25"/>
  <c r="B12" i="25"/>
  <c r="Q11" i="25"/>
  <c r="P11" i="25"/>
  <c r="O11" i="25"/>
  <c r="N11" i="25"/>
  <c r="M11" i="25"/>
  <c r="L11" i="25"/>
  <c r="K11" i="25"/>
  <c r="J11" i="25"/>
  <c r="I11" i="25"/>
  <c r="H11" i="25"/>
  <c r="G11" i="25"/>
  <c r="F11" i="25"/>
  <c r="E11" i="25"/>
  <c r="D11" i="25"/>
  <c r="C11" i="25"/>
  <c r="B11" i="25"/>
  <c r="Q10" i="25"/>
  <c r="P10" i="25"/>
  <c r="O10" i="25"/>
  <c r="N10" i="25"/>
  <c r="M10" i="25"/>
  <c r="L10" i="25"/>
  <c r="K10" i="25"/>
  <c r="J10" i="25"/>
  <c r="I10" i="25"/>
  <c r="H10" i="25"/>
  <c r="G10" i="25"/>
  <c r="F10" i="25"/>
  <c r="E10" i="25"/>
  <c r="D10" i="25"/>
  <c r="C10" i="25"/>
  <c r="B10" i="25"/>
  <c r="Q9" i="25"/>
  <c r="P9" i="25"/>
  <c r="O9" i="25"/>
  <c r="N9" i="25"/>
  <c r="M9" i="25"/>
  <c r="L9" i="25"/>
  <c r="K9" i="25"/>
  <c r="J9" i="25"/>
  <c r="I9" i="25"/>
  <c r="H9" i="25"/>
  <c r="G9" i="25"/>
  <c r="F9" i="25"/>
  <c r="E9" i="25"/>
  <c r="D9" i="25"/>
  <c r="C9" i="25"/>
  <c r="B9" i="25"/>
  <c r="Q8" i="25"/>
  <c r="P8" i="25"/>
  <c r="O8" i="25"/>
  <c r="N8" i="25"/>
  <c r="M8" i="25"/>
  <c r="L8" i="25"/>
  <c r="K8" i="25"/>
  <c r="J8" i="25"/>
  <c r="I8" i="25"/>
  <c r="H8" i="25"/>
  <c r="G8" i="25"/>
  <c r="F8" i="25"/>
  <c r="E8" i="25"/>
  <c r="D8" i="25"/>
  <c r="C8" i="25"/>
  <c r="B8" i="25"/>
  <c r="Q7" i="25"/>
  <c r="P7" i="25"/>
  <c r="O7" i="25"/>
  <c r="N7" i="25"/>
  <c r="M7" i="25"/>
  <c r="L7" i="25"/>
  <c r="K7" i="25"/>
  <c r="J7" i="25"/>
  <c r="I7" i="25"/>
  <c r="H7" i="25"/>
  <c r="G7" i="25"/>
  <c r="F7" i="25"/>
  <c r="E7" i="25"/>
  <c r="D7" i="25"/>
  <c r="C7" i="25"/>
  <c r="B7" i="25"/>
  <c r="Q6" i="25"/>
  <c r="P6" i="25"/>
  <c r="O6" i="25"/>
  <c r="N6" i="25"/>
  <c r="M6" i="25"/>
  <c r="L6" i="25"/>
  <c r="K6" i="25"/>
  <c r="J6" i="25"/>
  <c r="I6" i="25"/>
  <c r="H6" i="25"/>
  <c r="G6" i="25"/>
  <c r="F6" i="25"/>
  <c r="E6" i="25"/>
  <c r="D6" i="25"/>
  <c r="C6" i="25"/>
  <c r="B6" i="25"/>
  <c r="Q5" i="25"/>
  <c r="P5" i="25"/>
  <c r="O5" i="25"/>
  <c r="N5" i="25"/>
  <c r="M5" i="25"/>
  <c r="L5" i="25"/>
  <c r="K5" i="25"/>
  <c r="J5" i="25"/>
  <c r="I5" i="25"/>
  <c r="H5" i="25"/>
  <c r="G5" i="25"/>
  <c r="F5" i="25"/>
  <c r="E5" i="25"/>
  <c r="D5" i="25"/>
  <c r="C5" i="25"/>
  <c r="B5" i="25"/>
  <c r="Q4" i="25"/>
  <c r="P4" i="25"/>
  <c r="O4" i="25"/>
  <c r="N4" i="25"/>
  <c r="M4" i="25"/>
  <c r="L4" i="25"/>
  <c r="K4" i="25"/>
  <c r="J4" i="25"/>
  <c r="I4" i="25"/>
  <c r="H4" i="25"/>
  <c r="G4" i="25"/>
  <c r="F4" i="25"/>
  <c r="E4" i="25"/>
  <c r="D4" i="25"/>
  <c r="C4" i="25"/>
  <c r="B4" i="25"/>
  <c r="Q3" i="25"/>
  <c r="P3" i="25"/>
  <c r="O3" i="25"/>
  <c r="N3" i="25"/>
  <c r="M3" i="25"/>
  <c r="L3" i="25"/>
  <c r="K3" i="25"/>
  <c r="J3" i="25"/>
  <c r="I3" i="25"/>
  <c r="H3" i="25"/>
  <c r="G3" i="25"/>
  <c r="F3" i="25"/>
  <c r="E3" i="25"/>
  <c r="D3" i="25"/>
  <c r="C3" i="25"/>
  <c r="B3" i="25"/>
  <c r="Q2" i="25"/>
  <c r="P2" i="25"/>
  <c r="O2" i="25"/>
  <c r="N2" i="25"/>
  <c r="M2" i="25"/>
  <c r="L2" i="25"/>
  <c r="K2" i="25"/>
  <c r="J2" i="25"/>
  <c r="I2" i="25"/>
  <c r="H2" i="25"/>
  <c r="G2" i="25"/>
  <c r="F2" i="25"/>
  <c r="E2" i="25"/>
  <c r="D2" i="25"/>
  <c r="C2" i="25"/>
  <c r="B2" i="25"/>
  <c r="Q1" i="25"/>
  <c r="P1" i="25"/>
  <c r="O1" i="25"/>
  <c r="N1" i="25"/>
  <c r="M1" i="25"/>
  <c r="L1" i="25"/>
  <c r="K1" i="25"/>
  <c r="J1" i="25"/>
  <c r="I1" i="25"/>
  <c r="H1" i="25"/>
  <c r="G1" i="25"/>
  <c r="F1" i="25"/>
  <c r="E1" i="25"/>
  <c r="D1" i="25"/>
  <c r="C1" i="25"/>
  <c r="B1" i="25"/>
  <c r="Q23" i="26"/>
  <c r="P23" i="26"/>
  <c r="O23" i="26"/>
  <c r="N23" i="26"/>
  <c r="M23" i="26"/>
  <c r="L23" i="26"/>
  <c r="K23" i="26"/>
  <c r="J23" i="26"/>
  <c r="I23" i="26"/>
  <c r="H23" i="26"/>
  <c r="G23" i="26"/>
  <c r="F23" i="26"/>
  <c r="E23" i="26"/>
  <c r="D23" i="26"/>
  <c r="C23" i="26"/>
  <c r="B23" i="26"/>
  <c r="Q22" i="26"/>
  <c r="P22" i="26"/>
  <c r="O22" i="26"/>
  <c r="N22" i="26"/>
  <c r="M22" i="26"/>
  <c r="L22" i="26"/>
  <c r="K22" i="26"/>
  <c r="J22" i="26"/>
  <c r="I22" i="26"/>
  <c r="H22" i="26"/>
  <c r="G22" i="26"/>
  <c r="F22" i="26"/>
  <c r="E22" i="26"/>
  <c r="D22" i="26"/>
  <c r="C22" i="26"/>
  <c r="B22" i="26"/>
  <c r="Q21" i="26"/>
  <c r="P21" i="26"/>
  <c r="O21" i="26"/>
  <c r="N21" i="26"/>
  <c r="M21" i="26"/>
  <c r="L21" i="26"/>
  <c r="K21" i="26"/>
  <c r="J21" i="26"/>
  <c r="I21" i="26"/>
  <c r="H21" i="26"/>
  <c r="G21" i="26"/>
  <c r="F21" i="26"/>
  <c r="E21" i="26"/>
  <c r="D21" i="26"/>
  <c r="C21" i="26"/>
  <c r="B21" i="26"/>
  <c r="Q20" i="26"/>
  <c r="P20" i="26"/>
  <c r="O20" i="26"/>
  <c r="N20" i="26"/>
  <c r="M20" i="26"/>
  <c r="L20" i="26"/>
  <c r="K20" i="26"/>
  <c r="J20" i="26"/>
  <c r="I20" i="26"/>
  <c r="H20" i="26"/>
  <c r="G20" i="26"/>
  <c r="F20" i="26"/>
  <c r="E20" i="26"/>
  <c r="D20" i="26"/>
  <c r="C20" i="26"/>
  <c r="B20" i="26"/>
  <c r="Q19" i="26"/>
  <c r="P19" i="26"/>
  <c r="O19" i="26"/>
  <c r="N19" i="26"/>
  <c r="M19" i="26"/>
  <c r="L19" i="26"/>
  <c r="K19" i="26"/>
  <c r="J19" i="26"/>
  <c r="I19" i="26"/>
  <c r="H19" i="26"/>
  <c r="G19" i="26"/>
  <c r="F19" i="26"/>
  <c r="E19" i="26"/>
  <c r="D19" i="26"/>
  <c r="C19" i="26"/>
  <c r="B19" i="26"/>
  <c r="Q18" i="26"/>
  <c r="P18" i="26"/>
  <c r="O18" i="26"/>
  <c r="N18" i="26"/>
  <c r="M18" i="26"/>
  <c r="L18" i="26"/>
  <c r="K18" i="26"/>
  <c r="J18" i="26"/>
  <c r="I18" i="26"/>
  <c r="H18" i="26"/>
  <c r="G18" i="26"/>
  <c r="F18" i="26"/>
  <c r="E18" i="26"/>
  <c r="D18" i="26"/>
  <c r="C18" i="26"/>
  <c r="B18" i="26"/>
  <c r="Q17" i="26"/>
  <c r="P17" i="26"/>
  <c r="O17" i="26"/>
  <c r="N17" i="26"/>
  <c r="M17" i="26"/>
  <c r="L17" i="26"/>
  <c r="K17" i="26"/>
  <c r="J17" i="26"/>
  <c r="I17" i="26"/>
  <c r="H17" i="26"/>
  <c r="G17" i="26"/>
  <c r="F17" i="26"/>
  <c r="E17" i="26"/>
  <c r="D17" i="26"/>
  <c r="C17" i="26"/>
  <c r="B17" i="26"/>
  <c r="Q16" i="26"/>
  <c r="P16" i="26"/>
  <c r="O16" i="26"/>
  <c r="N16" i="26"/>
  <c r="M16" i="26"/>
  <c r="L16" i="26"/>
  <c r="K16" i="26"/>
  <c r="J16" i="26"/>
  <c r="I16" i="26"/>
  <c r="H16" i="26"/>
  <c r="G16" i="26"/>
  <c r="F16" i="26"/>
  <c r="E16" i="26"/>
  <c r="D16" i="26"/>
  <c r="C16" i="26"/>
  <c r="B16" i="26"/>
  <c r="Q15" i="26"/>
  <c r="P15" i="26"/>
  <c r="O15" i="26"/>
  <c r="N15" i="26"/>
  <c r="M15" i="26"/>
  <c r="L15" i="26"/>
  <c r="K15" i="26"/>
  <c r="J15" i="26"/>
  <c r="I15" i="26"/>
  <c r="H15" i="26"/>
  <c r="G15" i="26"/>
  <c r="F15" i="26"/>
  <c r="E15" i="26"/>
  <c r="D15" i="26"/>
  <c r="C15" i="26"/>
  <c r="B15" i="26"/>
  <c r="Q14" i="26"/>
  <c r="P14" i="26"/>
  <c r="O14" i="26"/>
  <c r="N14" i="26"/>
  <c r="M14" i="26"/>
  <c r="L14" i="26"/>
  <c r="K14" i="26"/>
  <c r="J14" i="26"/>
  <c r="I14" i="26"/>
  <c r="H14" i="26"/>
  <c r="G14" i="26"/>
  <c r="F14" i="26"/>
  <c r="E14" i="26"/>
  <c r="D14" i="26"/>
  <c r="C14" i="26"/>
  <c r="B14" i="26"/>
  <c r="Q13" i="26"/>
  <c r="P13" i="26"/>
  <c r="O13" i="26"/>
  <c r="N13" i="26"/>
  <c r="M13" i="26"/>
  <c r="L13" i="26"/>
  <c r="K13" i="26"/>
  <c r="J13" i="26"/>
  <c r="I13" i="26"/>
  <c r="H13" i="26"/>
  <c r="G13" i="26"/>
  <c r="F13" i="26"/>
  <c r="E13" i="26"/>
  <c r="D13" i="26"/>
  <c r="C13" i="26"/>
  <c r="B13" i="26"/>
  <c r="Q12" i="26"/>
  <c r="P12" i="26"/>
  <c r="O12" i="26"/>
  <c r="N12" i="26"/>
  <c r="M12" i="26"/>
  <c r="L12" i="26"/>
  <c r="K12" i="26"/>
  <c r="J12" i="26"/>
  <c r="I12" i="26"/>
  <c r="H12" i="26"/>
  <c r="G12" i="26"/>
  <c r="F12" i="26"/>
  <c r="E12" i="26"/>
  <c r="D12" i="26"/>
  <c r="C12" i="26"/>
  <c r="B12" i="26"/>
  <c r="Q11" i="26"/>
  <c r="P11" i="26"/>
  <c r="O11" i="26"/>
  <c r="N11" i="26"/>
  <c r="M11" i="26"/>
  <c r="L11" i="26"/>
  <c r="K11" i="26"/>
  <c r="J11" i="26"/>
  <c r="I11" i="26"/>
  <c r="H11" i="26"/>
  <c r="G11" i="26"/>
  <c r="F11" i="26"/>
  <c r="E11" i="26"/>
  <c r="D11" i="26"/>
  <c r="C11" i="26"/>
  <c r="B11" i="26"/>
  <c r="Q10" i="26"/>
  <c r="P10" i="26"/>
  <c r="O10" i="26"/>
  <c r="N10" i="26"/>
  <c r="M10" i="26"/>
  <c r="L10" i="26"/>
  <c r="K10" i="26"/>
  <c r="J10" i="26"/>
  <c r="I10" i="26"/>
  <c r="H10" i="26"/>
  <c r="G10" i="26"/>
  <c r="F10" i="26"/>
  <c r="E10" i="26"/>
  <c r="D10" i="26"/>
  <c r="C10" i="26"/>
  <c r="B10" i="26"/>
  <c r="Q9" i="26"/>
  <c r="P9" i="26"/>
  <c r="O9" i="26"/>
  <c r="N9" i="26"/>
  <c r="M9" i="26"/>
  <c r="L9" i="26"/>
  <c r="K9" i="26"/>
  <c r="J9" i="26"/>
  <c r="I9" i="26"/>
  <c r="H9" i="26"/>
  <c r="G9" i="26"/>
  <c r="F9" i="26"/>
  <c r="E9" i="26"/>
  <c r="D9" i="26"/>
  <c r="C9" i="26"/>
  <c r="B9" i="26"/>
  <c r="Q8" i="26"/>
  <c r="P8" i="26"/>
  <c r="O8" i="26"/>
  <c r="N8" i="26"/>
  <c r="M8" i="26"/>
  <c r="L8" i="26"/>
  <c r="K8" i="26"/>
  <c r="J8" i="26"/>
  <c r="I8" i="26"/>
  <c r="H8" i="26"/>
  <c r="G8" i="26"/>
  <c r="F8" i="26"/>
  <c r="E8" i="26"/>
  <c r="D8" i="26"/>
  <c r="C8" i="26"/>
  <c r="B8" i="26"/>
  <c r="Q7" i="26"/>
  <c r="P7" i="26"/>
  <c r="O7" i="26"/>
  <c r="N7" i="26"/>
  <c r="M7" i="26"/>
  <c r="L7" i="26"/>
  <c r="K7" i="26"/>
  <c r="J7" i="26"/>
  <c r="I7" i="26"/>
  <c r="H7" i="26"/>
  <c r="G7" i="26"/>
  <c r="F7" i="26"/>
  <c r="E7" i="26"/>
  <c r="D7" i="26"/>
  <c r="C7" i="26"/>
  <c r="B7" i="26"/>
  <c r="Q6" i="26"/>
  <c r="P6" i="26"/>
  <c r="O6" i="26"/>
  <c r="N6" i="26"/>
  <c r="M6" i="26"/>
  <c r="L6" i="26"/>
  <c r="K6" i="26"/>
  <c r="J6" i="26"/>
  <c r="I6" i="26"/>
  <c r="H6" i="26"/>
  <c r="G6" i="26"/>
  <c r="F6" i="26"/>
  <c r="E6" i="26"/>
  <c r="D6" i="26"/>
  <c r="C6" i="26"/>
  <c r="B6" i="26"/>
  <c r="Q5" i="26"/>
  <c r="P5" i="26"/>
  <c r="O5" i="26"/>
  <c r="N5" i="26"/>
  <c r="M5" i="26"/>
  <c r="L5" i="26"/>
  <c r="K5" i="26"/>
  <c r="J5" i="26"/>
  <c r="I5" i="26"/>
  <c r="H5" i="26"/>
  <c r="G5" i="26"/>
  <c r="F5" i="26"/>
  <c r="E5" i="26"/>
  <c r="D5" i="26"/>
  <c r="C5" i="26"/>
  <c r="B5" i="26"/>
  <c r="Q4" i="26"/>
  <c r="P4" i="26"/>
  <c r="O4" i="26"/>
  <c r="N4" i="26"/>
  <c r="M4" i="26"/>
  <c r="L4" i="26"/>
  <c r="K4" i="26"/>
  <c r="J4" i="26"/>
  <c r="I4" i="26"/>
  <c r="H4" i="26"/>
  <c r="G4" i="26"/>
  <c r="F4" i="26"/>
  <c r="E4" i="26"/>
  <c r="D4" i="26"/>
  <c r="C4" i="26"/>
  <c r="B4" i="26"/>
  <c r="Q3" i="26"/>
  <c r="P3" i="26"/>
  <c r="O3" i="26"/>
  <c r="N3" i="26"/>
  <c r="M3" i="26"/>
  <c r="L3" i="26"/>
  <c r="K3" i="26"/>
  <c r="J3" i="26"/>
  <c r="I3" i="26"/>
  <c r="H3" i="26"/>
  <c r="G3" i="26"/>
  <c r="F3" i="26"/>
  <c r="E3" i="26"/>
  <c r="D3" i="26"/>
  <c r="C3" i="26"/>
  <c r="B3" i="26"/>
  <c r="Q2" i="26"/>
  <c r="P2" i="26"/>
  <c r="O2" i="26"/>
  <c r="N2" i="26"/>
  <c r="M2" i="26"/>
  <c r="L2" i="26"/>
  <c r="K2" i="26"/>
  <c r="J2" i="26"/>
  <c r="I2" i="26"/>
  <c r="H2" i="26"/>
  <c r="G2" i="26"/>
  <c r="F2" i="26"/>
  <c r="E2" i="26"/>
  <c r="D2" i="26"/>
  <c r="C2" i="26"/>
  <c r="B2" i="26"/>
  <c r="Q1" i="26"/>
  <c r="P1" i="26"/>
  <c r="O1" i="26"/>
  <c r="N1" i="26"/>
  <c r="M1" i="26"/>
  <c r="L1" i="26"/>
  <c r="K1" i="26"/>
  <c r="J1" i="26"/>
  <c r="I1" i="26"/>
  <c r="H1" i="26"/>
  <c r="G1" i="26"/>
  <c r="F1" i="26"/>
  <c r="E1" i="26"/>
  <c r="D1" i="26"/>
  <c r="C1" i="26"/>
  <c r="B1" i="26"/>
  <c r="J207" i="32" l="1"/>
  <c r="J209" i="32"/>
  <c r="J206" i="32"/>
  <c r="J208" i="32"/>
  <c r="J205" i="32"/>
  <c r="K57" i="32"/>
  <c r="P55" i="32"/>
  <c r="H55" i="32"/>
  <c r="L55" i="32"/>
  <c r="D55" i="32"/>
  <c r="G13" i="32"/>
  <c r="G16" i="32"/>
  <c r="K203" i="32"/>
  <c r="S203" i="32"/>
  <c r="F55" i="32"/>
  <c r="Q55" i="32"/>
  <c r="Q86" i="32" s="1"/>
  <c r="U8" i="33" s="1"/>
  <c r="L57" i="32"/>
  <c r="F58" i="32"/>
  <c r="J59" i="32"/>
  <c r="E99" i="32"/>
  <c r="Q99" i="32"/>
  <c r="J101" i="32"/>
  <c r="E102" i="32"/>
  <c r="M246" i="32"/>
  <c r="U246" i="32"/>
  <c r="Q207" i="32"/>
  <c r="Q209" i="32"/>
  <c r="Q206" i="32"/>
  <c r="Q208" i="32"/>
  <c r="Q205" i="32"/>
  <c r="I57" i="32"/>
  <c r="O103" i="32"/>
  <c r="G103" i="32"/>
  <c r="N103" i="32"/>
  <c r="F103" i="32"/>
  <c r="K103" i="32"/>
  <c r="Q103" i="32"/>
  <c r="I103" i="32"/>
  <c r="R207" i="32"/>
  <c r="R209" i="32"/>
  <c r="R206" i="32"/>
  <c r="R208" i="32"/>
  <c r="R205" i="32"/>
  <c r="R211" i="32" s="1"/>
  <c r="U13" i="33" s="1"/>
  <c r="P103" i="32"/>
  <c r="L98" i="32"/>
  <c r="D98" i="32"/>
  <c r="K98" i="32"/>
  <c r="P98" i="32"/>
  <c r="H98" i="32"/>
  <c r="M58" i="32"/>
  <c r="E58" i="32"/>
  <c r="Q58" i="32"/>
  <c r="I58" i="32"/>
  <c r="G14" i="32"/>
  <c r="L203" i="32"/>
  <c r="G55" i="32"/>
  <c r="R55" i="32"/>
  <c r="R86" i="32" s="1"/>
  <c r="V8" i="33" s="1"/>
  <c r="M57" i="32"/>
  <c r="M86" i="32" s="1"/>
  <c r="Q8" i="33" s="1"/>
  <c r="G58" i="32"/>
  <c r="R58" i="32"/>
  <c r="K59" i="32"/>
  <c r="M98" i="32"/>
  <c r="F102" i="32"/>
  <c r="D103" i="32"/>
  <c r="I207" i="32"/>
  <c r="I209" i="32"/>
  <c r="I206" i="32"/>
  <c r="I208" i="32"/>
  <c r="I205" i="32"/>
  <c r="I211" i="32" s="1"/>
  <c r="L13" i="33" s="1"/>
  <c r="G11" i="32"/>
  <c r="Q101" i="32"/>
  <c r="I101" i="32"/>
  <c r="P101" i="32"/>
  <c r="H101" i="32"/>
  <c r="M101" i="32"/>
  <c r="E101" i="32"/>
  <c r="E203" i="32"/>
  <c r="M203" i="32"/>
  <c r="I55" i="32"/>
  <c r="I86" i="32" s="1"/>
  <c r="M8" i="33" s="1"/>
  <c r="D57" i="32"/>
  <c r="O57" i="32"/>
  <c r="O86" i="32" s="1"/>
  <c r="S8" i="33" s="1"/>
  <c r="H58" i="32"/>
  <c r="N98" i="32"/>
  <c r="L101" i="32"/>
  <c r="E103" i="32"/>
  <c r="L248" i="32"/>
  <c r="L59" i="32"/>
  <c r="D59" i="32"/>
  <c r="P59" i="32"/>
  <c r="H59" i="32"/>
  <c r="F203" i="32"/>
  <c r="N203" i="32"/>
  <c r="E57" i="32"/>
  <c r="E86" i="32" s="1"/>
  <c r="I8" i="33" s="1"/>
  <c r="P57" i="32"/>
  <c r="N59" i="32"/>
  <c r="O98" i="32"/>
  <c r="H103" i="32"/>
  <c r="U247" i="32"/>
  <c r="K99" i="32"/>
  <c r="R99" i="32"/>
  <c r="J99" i="32"/>
  <c r="J129" i="32" s="1"/>
  <c r="N11" i="33" s="1"/>
  <c r="O99" i="32"/>
  <c r="G99" i="32"/>
  <c r="G129" i="32" s="1"/>
  <c r="K11" i="33" s="1"/>
  <c r="P102" i="32"/>
  <c r="H102" i="32"/>
  <c r="O102" i="32"/>
  <c r="G102" i="32"/>
  <c r="L102" i="32"/>
  <c r="D102" i="32"/>
  <c r="R102" i="32"/>
  <c r="J102" i="32"/>
  <c r="G203" i="32"/>
  <c r="O203" i="32"/>
  <c r="K55" i="32"/>
  <c r="G57" i="32"/>
  <c r="K58" i="32"/>
  <c r="E59" i="32"/>
  <c r="O59" i="32"/>
  <c r="E98" i="32"/>
  <c r="Q98" i="32"/>
  <c r="L99" i="32"/>
  <c r="O101" i="32"/>
  <c r="M102" i="32"/>
  <c r="J103" i="32"/>
  <c r="U245" i="32"/>
  <c r="N57" i="32"/>
  <c r="N86" i="32" s="1"/>
  <c r="R8" i="33" s="1"/>
  <c r="F57" i="32"/>
  <c r="E425" i="32" s="1"/>
  <c r="R57" i="32"/>
  <c r="J57" i="32"/>
  <c r="J86" i="32" s="1"/>
  <c r="N8" i="33" s="1"/>
  <c r="G15" i="32"/>
  <c r="H203" i="32"/>
  <c r="P203" i="32"/>
  <c r="H57" i="32"/>
  <c r="F59" i="32"/>
  <c r="Q59" i="32"/>
  <c r="F98" i="32"/>
  <c r="R98" i="32"/>
  <c r="L103" i="32"/>
  <c r="O249" i="32"/>
  <c r="P247" i="32"/>
  <c r="K249" i="32"/>
  <c r="AL222" i="32"/>
  <c r="O253" i="32" s="1"/>
  <c r="AT222" i="32"/>
  <c r="AM226" i="32"/>
  <c r="AU226" i="32"/>
  <c r="AM230" i="32"/>
  <c r="AU230" i="32"/>
  <c r="C214" i="33"/>
  <c r="K214" i="33"/>
  <c r="AR237" i="32"/>
  <c r="AJ237" i="32"/>
  <c r="AO237" i="32"/>
  <c r="AP239" i="32"/>
  <c r="AH239" i="32"/>
  <c r="AO239" i="32"/>
  <c r="R248" i="32" s="1"/>
  <c r="AG239" i="32"/>
  <c r="J248" i="32" s="1"/>
  <c r="AU239" i="32"/>
  <c r="AM239" i="32"/>
  <c r="AS239" i="32"/>
  <c r="AD326" i="32"/>
  <c r="I254" i="32"/>
  <c r="AL217" i="32"/>
  <c r="O247" i="32" s="1"/>
  <c r="AT217" i="32"/>
  <c r="AK220" i="32"/>
  <c r="AS220" i="32"/>
  <c r="AS326" i="32" s="1"/>
  <c r="R209" i="33" s="1"/>
  <c r="AE222" i="32"/>
  <c r="AM222" i="32"/>
  <c r="P253" i="32" s="1"/>
  <c r="AU222" i="32"/>
  <c r="AU326" i="32" s="1"/>
  <c r="T209" i="33" s="1"/>
  <c r="AF226" i="32"/>
  <c r="AN226" i="32"/>
  <c r="AV226" i="32"/>
  <c r="AL227" i="32"/>
  <c r="AT227" i="32"/>
  <c r="AF230" i="32"/>
  <c r="AN230" i="32"/>
  <c r="AV230" i="32"/>
  <c r="AL231" i="32"/>
  <c r="AT231" i="32"/>
  <c r="I144" i="33"/>
  <c r="H239" i="32"/>
  <c r="Q144" i="33"/>
  <c r="P239" i="32"/>
  <c r="AS236" i="32"/>
  <c r="AK236" i="32"/>
  <c r="AO236" i="32"/>
  <c r="AG237" i="32"/>
  <c r="AP237" i="32"/>
  <c r="AI239" i="32"/>
  <c r="AT239" i="32"/>
  <c r="G288" i="33"/>
  <c r="F168" i="33"/>
  <c r="F88" i="33"/>
  <c r="F48" i="33"/>
  <c r="F128" i="33"/>
  <c r="H245" i="32"/>
  <c r="AL220" i="32"/>
  <c r="O250" i="32" s="1"/>
  <c r="AT220" i="32"/>
  <c r="AF222" i="32"/>
  <c r="AN222" i="32"/>
  <c r="AV222" i="32"/>
  <c r="AG226" i="32"/>
  <c r="J246" i="32" s="1"/>
  <c r="AO226" i="32"/>
  <c r="R246" i="32" s="1"/>
  <c r="AM227" i="32"/>
  <c r="AU227" i="32"/>
  <c r="AG230" i="32"/>
  <c r="AO230" i="32"/>
  <c r="AM231" i="32"/>
  <c r="AU231" i="32"/>
  <c r="E214" i="33"/>
  <c r="M214" i="33"/>
  <c r="AH237" i="32"/>
  <c r="AQ237" i="32"/>
  <c r="AJ239" i="32"/>
  <c r="M248" i="32" s="1"/>
  <c r="AV239" i="32"/>
  <c r="AT243" i="32"/>
  <c r="AL243" i="32"/>
  <c r="O254" i="32" s="1"/>
  <c r="AS243" i="32"/>
  <c r="AK243" i="32"/>
  <c r="N254" i="32" s="1"/>
  <c r="AQ243" i="32"/>
  <c r="AI243" i="32"/>
  <c r="AR243" i="32"/>
  <c r="AV264" i="32"/>
  <c r="AN264" i="32"/>
  <c r="Q254" i="32" s="1"/>
  <c r="AU264" i="32"/>
  <c r="AM264" i="32"/>
  <c r="AQ264" i="32"/>
  <c r="AP264" i="32"/>
  <c r="AO264" i="32"/>
  <c r="AL264" i="32"/>
  <c r="AK264" i="32"/>
  <c r="AT264" i="32"/>
  <c r="AJ264" i="32"/>
  <c r="AS273" i="32"/>
  <c r="AK273" i="32"/>
  <c r="AR273" i="32"/>
  <c r="AJ273" i="32"/>
  <c r="AT273" i="32"/>
  <c r="AQ273" i="32"/>
  <c r="AP273" i="32"/>
  <c r="S253" i="32" s="1"/>
  <c r="S255" i="32" s="1"/>
  <c r="T16" i="33" s="1"/>
  <c r="AO273" i="32"/>
  <c r="AN273" i="32"/>
  <c r="AM273" i="32"/>
  <c r="AT284" i="32"/>
  <c r="AL284" i="32"/>
  <c r="AS284" i="32"/>
  <c r="AK284" i="32"/>
  <c r="AR284" i="32"/>
  <c r="AQ284" i="32"/>
  <c r="AP284" i="32"/>
  <c r="AO284" i="32"/>
  <c r="AN284" i="32"/>
  <c r="AM284" i="32"/>
  <c r="K56" i="32"/>
  <c r="G60" i="32"/>
  <c r="O60" i="32"/>
  <c r="F100" i="32"/>
  <c r="N100" i="32"/>
  <c r="I248" i="32"/>
  <c r="G253" i="32"/>
  <c r="AL215" i="32"/>
  <c r="AL326" i="32" s="1"/>
  <c r="AT215" i="32"/>
  <c r="AT326" i="32" s="1"/>
  <c r="S209" i="33" s="1"/>
  <c r="AF217" i="32"/>
  <c r="I247" i="32" s="1"/>
  <c r="AN217" i="32"/>
  <c r="AN326" i="32" s="1"/>
  <c r="AV217" i="32"/>
  <c r="AV326" i="32" s="1"/>
  <c r="U209" i="33" s="1"/>
  <c r="AE220" i="32"/>
  <c r="H250" i="32" s="1"/>
  <c r="AM220" i="32"/>
  <c r="P250" i="32" s="1"/>
  <c r="AU220" i="32"/>
  <c r="AJ221" i="32"/>
  <c r="M251" i="32" s="1"/>
  <c r="AR221" i="32"/>
  <c r="AG222" i="32"/>
  <c r="AO222" i="32"/>
  <c r="AL223" i="32"/>
  <c r="AT223" i="32"/>
  <c r="AH226" i="32"/>
  <c r="K246" i="32" s="1"/>
  <c r="AP226" i="32"/>
  <c r="S246" i="32" s="1"/>
  <c r="AF227" i="32"/>
  <c r="AN227" i="32"/>
  <c r="AV227" i="32"/>
  <c r="AH230" i="32"/>
  <c r="AP230" i="32"/>
  <c r="S250" i="32" s="1"/>
  <c r="AF231" i="32"/>
  <c r="AN231" i="32"/>
  <c r="AV231" i="32"/>
  <c r="AK233" i="32"/>
  <c r="AS233" i="32"/>
  <c r="F214" i="33"/>
  <c r="N214" i="33"/>
  <c r="AH236" i="32"/>
  <c r="AQ236" i="32"/>
  <c r="T245" i="32" s="1"/>
  <c r="AI237" i="32"/>
  <c r="AS237" i="32"/>
  <c r="O239" i="32"/>
  <c r="AK239" i="32"/>
  <c r="N248" i="32" s="1"/>
  <c r="AO242" i="32"/>
  <c r="R253" i="32" s="1"/>
  <c r="AG243" i="32"/>
  <c r="AU243" i="32"/>
  <c r="AI264" i="32"/>
  <c r="AO271" i="32"/>
  <c r="AV271" i="32"/>
  <c r="AN271" i="32"/>
  <c r="AQ271" i="32"/>
  <c r="AP271" i="32"/>
  <c r="AM271" i="32"/>
  <c r="AL271" i="32"/>
  <c r="AU271" i="32"/>
  <c r="AK271" i="32"/>
  <c r="AT271" i="32"/>
  <c r="AJ271" i="32"/>
  <c r="AL273" i="32"/>
  <c r="AU284" i="32"/>
  <c r="E176" i="33"/>
  <c r="E144" i="33"/>
  <c r="J245" i="32"/>
  <c r="H253" i="32"/>
  <c r="L254" i="32"/>
  <c r="T254" i="32"/>
  <c r="AE215" i="32"/>
  <c r="AM215" i="32"/>
  <c r="AU215" i="32"/>
  <c r="AJ216" i="32"/>
  <c r="AR216" i="32"/>
  <c r="AR326" i="32" s="1"/>
  <c r="AG217" i="32"/>
  <c r="J247" i="32" s="1"/>
  <c r="AO217" i="32"/>
  <c r="R247" i="32" s="1"/>
  <c r="AL218" i="32"/>
  <c r="O248" i="32" s="1"/>
  <c r="AI219" i="32"/>
  <c r="AQ219" i="32"/>
  <c r="T249" i="32" s="1"/>
  <c r="AF220" i="32"/>
  <c r="I250" i="32" s="1"/>
  <c r="AN220" i="32"/>
  <c r="Q250" i="32" s="1"/>
  <c r="AV220" i="32"/>
  <c r="AK221" i="32"/>
  <c r="AS221" i="32"/>
  <c r="AH222" i="32"/>
  <c r="K253" i="32" s="1"/>
  <c r="AP222" i="32"/>
  <c r="AE223" i="32"/>
  <c r="H254" i="32" s="1"/>
  <c r="AM223" i="32"/>
  <c r="AU223" i="32"/>
  <c r="AK225" i="32"/>
  <c r="N245" i="32" s="1"/>
  <c r="AS225" i="32"/>
  <c r="AI226" i="32"/>
  <c r="AQ226" i="32"/>
  <c r="T246" i="32" s="1"/>
  <c r="AG227" i="32"/>
  <c r="AO227" i="32"/>
  <c r="AM228" i="32"/>
  <c r="P248" i="32" s="1"/>
  <c r="AU228" i="32"/>
  <c r="AK229" i="32"/>
  <c r="N249" i="32" s="1"/>
  <c r="AS229" i="32"/>
  <c r="AI230" i="32"/>
  <c r="AQ230" i="32"/>
  <c r="T250" i="32" s="1"/>
  <c r="AG231" i="32"/>
  <c r="J251" i="32" s="1"/>
  <c r="AO231" i="32"/>
  <c r="R251" i="32" s="1"/>
  <c r="AN232" i="32"/>
  <c r="AV232" i="32"/>
  <c r="AL233" i="32"/>
  <c r="AT233" i="32"/>
  <c r="G214" i="33"/>
  <c r="O214" i="33"/>
  <c r="AJ234" i="32"/>
  <c r="M254" i="32" s="1"/>
  <c r="AR234" i="32"/>
  <c r="AI236" i="32"/>
  <c r="L245" i="32" s="1"/>
  <c r="AR236" i="32"/>
  <c r="AK237" i="32"/>
  <c r="AT237" i="32"/>
  <c r="Q239" i="32"/>
  <c r="AL239" i="32"/>
  <c r="AH243" i="32"/>
  <c r="AV243" i="32"/>
  <c r="G251" i="32"/>
  <c r="AR264" i="32"/>
  <c r="AR271" i="32"/>
  <c r="AU273" i="32"/>
  <c r="AV284" i="32"/>
  <c r="AV293" i="32"/>
  <c r="AN293" i="32"/>
  <c r="AU293" i="32"/>
  <c r="AM293" i="32"/>
  <c r="AS293" i="32"/>
  <c r="AR293" i="32"/>
  <c r="AQ293" i="32"/>
  <c r="AP293" i="32"/>
  <c r="AO293" i="32"/>
  <c r="AL293" i="32"/>
  <c r="H246" i="32"/>
  <c r="H249" i="32"/>
  <c r="U254" i="32"/>
  <c r="AH217" i="32"/>
  <c r="AP217" i="32"/>
  <c r="S247" i="32" s="1"/>
  <c r="AG220" i="32"/>
  <c r="J250" i="32" s="1"/>
  <c r="AO220" i="32"/>
  <c r="R250" i="32" s="1"/>
  <c r="AL221" i="32"/>
  <c r="AT221" i="32"/>
  <c r="AI222" i="32"/>
  <c r="L253" i="32" s="1"/>
  <c r="L255" i="32" s="1"/>
  <c r="M16" i="33" s="1"/>
  <c r="AQ222" i="32"/>
  <c r="T253" i="32" s="1"/>
  <c r="T255" i="32" s="1"/>
  <c r="U16" i="33" s="1"/>
  <c r="AN223" i="32"/>
  <c r="AV223" i="32"/>
  <c r="AJ226" i="32"/>
  <c r="AR226" i="32"/>
  <c r="AH227" i="32"/>
  <c r="AP227" i="32"/>
  <c r="AP326" i="32" s="1"/>
  <c r="AJ230" i="32"/>
  <c r="M250" i="32" s="1"/>
  <c r="AR230" i="32"/>
  <c r="U250" i="32" s="1"/>
  <c r="AH231" i="32"/>
  <c r="K251" i="32" s="1"/>
  <c r="AP231" i="32"/>
  <c r="S251" i="32" s="1"/>
  <c r="AM233" i="32"/>
  <c r="AU233" i="32"/>
  <c r="H214" i="33"/>
  <c r="P214" i="33"/>
  <c r="AJ236" i="32"/>
  <c r="M245" i="32" s="1"/>
  <c r="AT236" i="32"/>
  <c r="AL237" i="32"/>
  <c r="AU237" i="32"/>
  <c r="G239" i="32"/>
  <c r="R239" i="32"/>
  <c r="AN239" i="32"/>
  <c r="Q248" i="32" s="1"/>
  <c r="AU242" i="32"/>
  <c r="AM242" i="32"/>
  <c r="AT242" i="32"/>
  <c r="AL242" i="32"/>
  <c r="AR242" i="32"/>
  <c r="AJ242" i="32"/>
  <c r="AQ242" i="32"/>
  <c r="AJ243" i="32"/>
  <c r="F245" i="32"/>
  <c r="F252" i="32" s="1"/>
  <c r="AS264" i="32"/>
  <c r="AS271" i="32"/>
  <c r="AV273" i="32"/>
  <c r="AO290" i="32"/>
  <c r="AV290" i="32"/>
  <c r="AN290" i="32"/>
  <c r="AS290" i="32"/>
  <c r="AR290" i="32"/>
  <c r="AQ290" i="32"/>
  <c r="AP290" i="32"/>
  <c r="AM290" i="32"/>
  <c r="AL290" i="32"/>
  <c r="H103" i="33"/>
  <c r="I100" i="32"/>
  <c r="I129" i="32" s="1"/>
  <c r="M11" i="33" s="1"/>
  <c r="Q100" i="32"/>
  <c r="I246" i="32"/>
  <c r="J253" i="32"/>
  <c r="AG215" i="32"/>
  <c r="AO215" i="32"/>
  <c r="AO326" i="32" s="1"/>
  <c r="AL216" i="32"/>
  <c r="O246" i="32" s="1"/>
  <c r="AT216" i="32"/>
  <c r="AI217" i="32"/>
  <c r="AQ217" i="32"/>
  <c r="AQ326" i="32" s="1"/>
  <c r="AH220" i="32"/>
  <c r="K250" i="32" s="1"/>
  <c r="AP220" i="32"/>
  <c r="AE221" i="32"/>
  <c r="H251" i="32" s="1"/>
  <c r="AM221" i="32"/>
  <c r="AU221" i="32"/>
  <c r="AJ222" i="32"/>
  <c r="M253" i="32" s="1"/>
  <c r="M255" i="32" s="1"/>
  <c r="N16" i="33" s="1"/>
  <c r="AR222" i="32"/>
  <c r="U253" i="32" s="1"/>
  <c r="U255" i="32" s="1"/>
  <c r="V16" i="33" s="1"/>
  <c r="AG223" i="32"/>
  <c r="AG326" i="32" s="1"/>
  <c r="AO223" i="32"/>
  <c r="R254" i="32" s="1"/>
  <c r="AM225" i="32"/>
  <c r="AU225" i="32"/>
  <c r="AK226" i="32"/>
  <c r="AS226" i="32"/>
  <c r="AI227" i="32"/>
  <c r="AQ227" i="32"/>
  <c r="AM229" i="32"/>
  <c r="P249" i="32" s="1"/>
  <c r="AU229" i="32"/>
  <c r="AK230" i="32"/>
  <c r="AS230" i="32"/>
  <c r="AI231" i="32"/>
  <c r="L251" i="32" s="1"/>
  <c r="AQ231" i="32"/>
  <c r="T251" i="32" s="1"/>
  <c r="AF233" i="32"/>
  <c r="I253" i="32" s="1"/>
  <c r="I255" i="32" s="1"/>
  <c r="J16" i="33" s="1"/>
  <c r="AN233" i="32"/>
  <c r="AV233" i="32"/>
  <c r="N144" i="33"/>
  <c r="M239" i="32"/>
  <c r="V144" i="33"/>
  <c r="U239" i="32"/>
  <c r="AL236" i="32"/>
  <c r="AU236" i="32"/>
  <c r="AM237" i="32"/>
  <c r="AV237" i="32"/>
  <c r="I239" i="32"/>
  <c r="AQ239" i="32"/>
  <c r="T248" i="32" s="1"/>
  <c r="AG242" i="32"/>
  <c r="AS242" i="32"/>
  <c r="AM243" i="32"/>
  <c r="G245" i="32"/>
  <c r="G252" i="32" s="1"/>
  <c r="AT245" i="32"/>
  <c r="AL245" i="32"/>
  <c r="AS245" i="32"/>
  <c r="AK245" i="32"/>
  <c r="AR245" i="32"/>
  <c r="AJ245" i="32"/>
  <c r="AQ245" i="32"/>
  <c r="AI245" i="32"/>
  <c r="AT246" i="32"/>
  <c r="AL246" i="32"/>
  <c r="AS246" i="32"/>
  <c r="AK246" i="32"/>
  <c r="AR246" i="32"/>
  <c r="AJ246" i="32"/>
  <c r="AQ246" i="32"/>
  <c r="AI246" i="32"/>
  <c r="AT247" i="32"/>
  <c r="AL247" i="32"/>
  <c r="AS247" i="32"/>
  <c r="AK247" i="32"/>
  <c r="N247" i="32" s="1"/>
  <c r="AR247" i="32"/>
  <c r="AJ247" i="32"/>
  <c r="AQ247" i="32"/>
  <c r="AI247" i="32"/>
  <c r="AT248" i="32"/>
  <c r="AL248" i="32"/>
  <c r="AS248" i="32"/>
  <c r="AK248" i="32"/>
  <c r="AR248" i="32"/>
  <c r="AJ248" i="32"/>
  <c r="AQ248" i="32"/>
  <c r="AI248" i="32"/>
  <c r="AT249" i="32"/>
  <c r="AL249" i="32"/>
  <c r="AS249" i="32"/>
  <c r="AK249" i="32"/>
  <c r="AR249" i="32"/>
  <c r="U249" i="32" s="1"/>
  <c r="AJ249" i="32"/>
  <c r="AQ249" i="32"/>
  <c r="AI249" i="32"/>
  <c r="AT250" i="32"/>
  <c r="AS250" i="32"/>
  <c r="AV250" i="32"/>
  <c r="AL250" i="32"/>
  <c r="AU250" i="32"/>
  <c r="AK250" i="32"/>
  <c r="AR250" i="32"/>
  <c r="AJ250" i="32"/>
  <c r="AQ250" i="32"/>
  <c r="AI250" i="32"/>
  <c r="AT290" i="32"/>
  <c r="AR294" i="32"/>
  <c r="AQ294" i="32"/>
  <c r="AS294" i="32"/>
  <c r="AP294" i="32"/>
  <c r="AO294" i="32"/>
  <c r="AN294" i="32"/>
  <c r="AM294" i="32"/>
  <c r="AV294" i="32"/>
  <c r="AL294" i="32"/>
  <c r="G56" i="32"/>
  <c r="J100" i="32"/>
  <c r="G254" i="32"/>
  <c r="AH215" i="32"/>
  <c r="AH326" i="32" s="1"/>
  <c r="AE216" i="32"/>
  <c r="AE326" i="32" s="1"/>
  <c r="AM216" i="32"/>
  <c r="P246" i="32" s="1"/>
  <c r="AJ217" i="32"/>
  <c r="AL219" i="32"/>
  <c r="AI220" i="32"/>
  <c r="AF221" i="32"/>
  <c r="I251" i="32" s="1"/>
  <c r="AN221" i="32"/>
  <c r="Q251" i="32" s="1"/>
  <c r="AK222" i="32"/>
  <c r="N253" i="32" s="1"/>
  <c r="N255" i="32" s="1"/>
  <c r="O16" i="33" s="1"/>
  <c r="AH223" i="32"/>
  <c r="K254" i="32" s="1"/>
  <c r="AF225" i="32"/>
  <c r="I245" i="32" s="1"/>
  <c r="AN225" i="32"/>
  <c r="Q245" i="32" s="1"/>
  <c r="AL226" i="32"/>
  <c r="AJ227" i="32"/>
  <c r="AH228" i="32"/>
  <c r="K248" i="32" s="1"/>
  <c r="AF229" i="32"/>
  <c r="I249" i="32" s="1"/>
  <c r="AN229" i="32"/>
  <c r="AL230" i="32"/>
  <c r="AJ231" i="32"/>
  <c r="AI232" i="32"/>
  <c r="AG233" i="32"/>
  <c r="D295" i="33"/>
  <c r="G144" i="33"/>
  <c r="J214" i="33"/>
  <c r="AM234" i="32"/>
  <c r="AM236" i="32"/>
  <c r="AV236" i="32"/>
  <c r="AN237" i="32"/>
  <c r="Q246" i="32" s="1"/>
  <c r="J239" i="32"/>
  <c r="T239" i="32"/>
  <c r="AR239" i="32"/>
  <c r="U248" i="32" s="1"/>
  <c r="AH242" i="32"/>
  <c r="AV242" i="32"/>
  <c r="AN243" i="32"/>
  <c r="AH245" i="32"/>
  <c r="K245" i="32" s="1"/>
  <c r="AH246" i="32"/>
  <c r="AH247" i="32"/>
  <c r="K247" i="32" s="1"/>
  <c r="AH248" i="32"/>
  <c r="AH249" i="32"/>
  <c r="AH250" i="32"/>
  <c r="AP280" i="32"/>
  <c r="S249" i="32" s="1"/>
  <c r="AO280" i="32"/>
  <c r="AS280" i="32"/>
  <c r="AR280" i="32"/>
  <c r="AQ280" i="32"/>
  <c r="AN280" i="32"/>
  <c r="Q249" i="32" s="1"/>
  <c r="AM280" i="32"/>
  <c r="AV280" i="32"/>
  <c r="AL280" i="32"/>
  <c r="AU290" i="32"/>
  <c r="AT294" i="32"/>
  <c r="E317" i="32"/>
  <c r="C176" i="33"/>
  <c r="C144" i="33"/>
  <c r="AT262" i="32"/>
  <c r="AL262" i="32"/>
  <c r="AS262" i="32"/>
  <c r="AK262" i="32"/>
  <c r="AR262" i="32"/>
  <c r="AU274" i="32"/>
  <c r="AM274" i="32"/>
  <c r="P254" i="32" s="1"/>
  <c r="AT274" i="32"/>
  <c r="AL274" i="32"/>
  <c r="AS274" i="32"/>
  <c r="AO277" i="32"/>
  <c r="AV277" i="32"/>
  <c r="AN277" i="32"/>
  <c r="AT277" i="32"/>
  <c r="AS314" i="32"/>
  <c r="AR314" i="32"/>
  <c r="AQ314" i="32"/>
  <c r="AP314" i="32"/>
  <c r="AO314" i="32"/>
  <c r="F70" i="33"/>
  <c r="F68" i="33"/>
  <c r="D176" i="33"/>
  <c r="D144" i="33"/>
  <c r="G76" i="33"/>
  <c r="H74" i="33"/>
  <c r="AU251" i="32"/>
  <c r="AM251" i="32"/>
  <c r="AT251" i="32"/>
  <c r="AL251" i="32"/>
  <c r="AQ251" i="32"/>
  <c r="AV256" i="32"/>
  <c r="AN256" i="32"/>
  <c r="AU256" i="32"/>
  <c r="AM256" i="32"/>
  <c r="AR256" i="32"/>
  <c r="AI262" i="32"/>
  <c r="AU262" i="32"/>
  <c r="AJ274" i="32"/>
  <c r="AV274" i="32"/>
  <c r="AK277" i="32"/>
  <c r="AU277" i="32"/>
  <c r="AO286" i="32"/>
  <c r="AV286" i="32"/>
  <c r="AN286" i="32"/>
  <c r="AU286" i="32"/>
  <c r="AU297" i="32"/>
  <c r="AS297" i="32"/>
  <c r="AR297" i="32"/>
  <c r="AR298" i="32"/>
  <c r="AP298" i="32"/>
  <c r="AO298" i="32"/>
  <c r="AQ301" i="32"/>
  <c r="AO301" i="32"/>
  <c r="AV301" i="32"/>
  <c r="AN301" i="32"/>
  <c r="D317" i="32"/>
  <c r="AR313" i="32"/>
  <c r="AQ313" i="32"/>
  <c r="AP313" i="32"/>
  <c r="AO313" i="32"/>
  <c r="AV313" i="32"/>
  <c r="AN313" i="32"/>
  <c r="AN314" i="32"/>
  <c r="AU320" i="32"/>
  <c r="AT320" i="32"/>
  <c r="AS320" i="32"/>
  <c r="AR320" i="32"/>
  <c r="AQ320" i="32"/>
  <c r="AS322" i="32"/>
  <c r="AR322" i="32"/>
  <c r="AQ322" i="32"/>
  <c r="AP322" i="32"/>
  <c r="AO322" i="32"/>
  <c r="H293" i="33"/>
  <c r="AN238" i="32"/>
  <c r="AV238" i="32"/>
  <c r="AL240" i="32"/>
  <c r="AT240" i="32"/>
  <c r="AH251" i="32"/>
  <c r="AR251" i="32"/>
  <c r="AI256" i="32"/>
  <c r="AS256" i="32"/>
  <c r="AR260" i="32"/>
  <c r="AJ260" i="32"/>
  <c r="AJ326" i="32" s="1"/>
  <c r="AQ260" i="32"/>
  <c r="AI260" i="32"/>
  <c r="AT260" i="32"/>
  <c r="AJ262" i="32"/>
  <c r="AV262" i="32"/>
  <c r="AU266" i="32"/>
  <c r="AM266" i="32"/>
  <c r="P245" i="32" s="1"/>
  <c r="AT266" i="32"/>
  <c r="AL266" i="32"/>
  <c r="AS266" i="32"/>
  <c r="AK274" i="32"/>
  <c r="AL277" i="32"/>
  <c r="AL286" i="32"/>
  <c r="AV296" i="32"/>
  <c r="AN296" i="32"/>
  <c r="AU296" i="32"/>
  <c r="AM296" i="32"/>
  <c r="AM297" i="32"/>
  <c r="AM298" i="32"/>
  <c r="AM301" i="32"/>
  <c r="AS303" i="32"/>
  <c r="AQ303" i="32"/>
  <c r="AP303" i="32"/>
  <c r="E318" i="32"/>
  <c r="AS313" i="32"/>
  <c r="AT314" i="32"/>
  <c r="AT317" i="32"/>
  <c r="AS317" i="32"/>
  <c r="AR317" i="32"/>
  <c r="AQ317" i="32"/>
  <c r="AP317" i="32"/>
  <c r="AO320" i="32"/>
  <c r="R249" i="32" s="1"/>
  <c r="AT322" i="32"/>
  <c r="B33" i="33"/>
  <c r="B36" i="33" s="1"/>
  <c r="AI251" i="32"/>
  <c r="AS251" i="32"/>
  <c r="AJ256" i="32"/>
  <c r="AT256" i="32"/>
  <c r="AM262" i="32"/>
  <c r="AU263" i="32"/>
  <c r="AM263" i="32"/>
  <c r="AT263" i="32"/>
  <c r="AL263" i="32"/>
  <c r="AR263" i="32"/>
  <c r="AS269" i="32"/>
  <c r="AK269" i="32"/>
  <c r="AR269" i="32"/>
  <c r="AJ269" i="32"/>
  <c r="AU269" i="32"/>
  <c r="AN274" i="32"/>
  <c r="AO276" i="32"/>
  <c r="AV276" i="32"/>
  <c r="AN276" i="32"/>
  <c r="AT276" i="32"/>
  <c r="AM277" i="32"/>
  <c r="AV282" i="32"/>
  <c r="AN282" i="32"/>
  <c r="AU282" i="32"/>
  <c r="AM282" i="32"/>
  <c r="AT282" i="32"/>
  <c r="AM286" i="32"/>
  <c r="AO296" i="32"/>
  <c r="AN297" i="32"/>
  <c r="AN298" i="32"/>
  <c r="AP301" i="32"/>
  <c r="AM303" i="32"/>
  <c r="AT313" i="32"/>
  <c r="AU314" i="32"/>
  <c r="AO317" i="32"/>
  <c r="AP320" i="32"/>
  <c r="AU322" i="32"/>
  <c r="C187" i="33"/>
  <c r="C185" i="33"/>
  <c r="C138" i="33"/>
  <c r="C194" i="33" s="1"/>
  <c r="C186" i="33"/>
  <c r="C39" i="33"/>
  <c r="D170" i="33"/>
  <c r="D173" i="33" s="1"/>
  <c r="D80" i="33"/>
  <c r="AN240" i="32"/>
  <c r="AV240" i="32"/>
  <c r="AJ251" i="32"/>
  <c r="AV251" i="32"/>
  <c r="AK256" i="32"/>
  <c r="AO257" i="32"/>
  <c r="AV257" i="32"/>
  <c r="AN257" i="32"/>
  <c r="AR257" i="32"/>
  <c r="AL260" i="32"/>
  <c r="AV260" i="32"/>
  <c r="AN262" i="32"/>
  <c r="AI263" i="32"/>
  <c r="AS263" i="32"/>
  <c r="AK266" i="32"/>
  <c r="AO267" i="32"/>
  <c r="AV267" i="32"/>
  <c r="AN267" i="32"/>
  <c r="AS267" i="32"/>
  <c r="AL269" i="32"/>
  <c r="AV269" i="32"/>
  <c r="AO274" i="32"/>
  <c r="AK276" i="32"/>
  <c r="AU276" i="32"/>
  <c r="AP277" i="32"/>
  <c r="AK282" i="32"/>
  <c r="AQ283" i="32"/>
  <c r="AP283" i="32"/>
  <c r="AT283" i="32"/>
  <c r="AP286" i="32"/>
  <c r="S245" i="32" s="1"/>
  <c r="AO288" i="32"/>
  <c r="AV288" i="32"/>
  <c r="AN288" i="32"/>
  <c r="AU288" i="32"/>
  <c r="AP296" i="32"/>
  <c r="AO297" i="32"/>
  <c r="AQ298" i="32"/>
  <c r="AR301" i="32"/>
  <c r="AN303" i="32"/>
  <c r="Q253" i="32" s="1"/>
  <c r="Q255" i="32" s="1"/>
  <c r="R16" i="33" s="1"/>
  <c r="G318" i="32"/>
  <c r="D318" i="32" s="1"/>
  <c r="AU313" i="32"/>
  <c r="AV314" i="32"/>
  <c r="AU317" i="32"/>
  <c r="AV320" i="32"/>
  <c r="AV322" i="32"/>
  <c r="E170" i="33"/>
  <c r="E173" i="33" s="1"/>
  <c r="E80" i="33"/>
  <c r="AI238" i="32"/>
  <c r="AG240" i="32"/>
  <c r="J249" i="32" s="1"/>
  <c r="AN241" i="32"/>
  <c r="AK251" i="32"/>
  <c r="AU253" i="32"/>
  <c r="AM253" i="32"/>
  <c r="AT253" i="32"/>
  <c r="AL253" i="32"/>
  <c r="AQ253" i="32"/>
  <c r="AU254" i="32"/>
  <c r="AM254" i="32"/>
  <c r="AT254" i="32"/>
  <c r="AL254" i="32"/>
  <c r="AQ254" i="32"/>
  <c r="AL256" i="32"/>
  <c r="AI257" i="32"/>
  <c r="AS257" i="32"/>
  <c r="AM260" i="32"/>
  <c r="AS261" i="32"/>
  <c r="AK261" i="32"/>
  <c r="AR261" i="32"/>
  <c r="AJ261" i="32"/>
  <c r="AT261" i="32"/>
  <c r="AO262" i="32"/>
  <c r="AJ263" i="32"/>
  <c r="AV263" i="32"/>
  <c r="AN266" i="32"/>
  <c r="AJ267" i="32"/>
  <c r="AT267" i="32"/>
  <c r="AM269" i="32"/>
  <c r="AU270" i="32"/>
  <c r="AM270" i="32"/>
  <c r="AT270" i="32"/>
  <c r="AL270" i="32"/>
  <c r="AS270" i="32"/>
  <c r="AP274" i="32"/>
  <c r="S254" i="32" s="1"/>
  <c r="AL276" i="32"/>
  <c r="AQ277" i="32"/>
  <c r="AU279" i="32"/>
  <c r="AM279" i="32"/>
  <c r="AT279" i="32"/>
  <c r="AL279" i="32"/>
  <c r="AV279" i="32"/>
  <c r="AL282" i="32"/>
  <c r="AK283" i="32"/>
  <c r="AU283" i="32"/>
  <c r="AQ286" i="32"/>
  <c r="AR292" i="32"/>
  <c r="AQ292" i="32"/>
  <c r="AU292" i="32"/>
  <c r="AQ296" i="32"/>
  <c r="AP297" i="32"/>
  <c r="AS298" i="32"/>
  <c r="AS301" i="32"/>
  <c r="AO303" i="32"/>
  <c r="AV317" i="32"/>
  <c r="AT321" i="32"/>
  <c r="AS321" i="32"/>
  <c r="AR321" i="32"/>
  <c r="AQ321" i="32"/>
  <c r="AP321" i="32"/>
  <c r="J215" i="33"/>
  <c r="B215" i="33"/>
  <c r="Q215" i="33"/>
  <c r="I215" i="33"/>
  <c r="M215" i="33"/>
  <c r="C215" i="33"/>
  <c r="L215" i="33"/>
  <c r="K215" i="33"/>
  <c r="H215" i="33"/>
  <c r="P215" i="33"/>
  <c r="F215" i="33"/>
  <c r="O215" i="33"/>
  <c r="N215" i="33"/>
  <c r="G215" i="33"/>
  <c r="E215" i="33"/>
  <c r="D215" i="33"/>
  <c r="E168" i="33"/>
  <c r="E128" i="33"/>
  <c r="E88" i="33"/>
  <c r="E48" i="33"/>
  <c r="E22" i="31"/>
  <c r="F22" i="31" s="1"/>
  <c r="AT304" i="32"/>
  <c r="AU312" i="32"/>
  <c r="AS316" i="32"/>
  <c r="AS318" i="32"/>
  <c r="AS324" i="32"/>
  <c r="AP259" i="32"/>
  <c r="S248" i="32" s="1"/>
  <c r="AP268" i="32"/>
  <c r="AP272" i="32"/>
  <c r="AQ278" i="32"/>
  <c r="AR281" i="32"/>
  <c r="AR287" i="32"/>
  <c r="AR289" i="32"/>
  <c r="AR291" i="32"/>
  <c r="AT299" i="32"/>
  <c r="AQ300" i="32"/>
  <c r="AM304" i="32"/>
  <c r="AU304" i="32"/>
  <c r="AU311" i="32"/>
  <c r="AN312" i="32"/>
  <c r="AV312" i="32"/>
  <c r="AT316" i="32"/>
  <c r="AT318" i="32"/>
  <c r="AS319" i="32"/>
  <c r="AV323" i="32"/>
  <c r="AT324" i="32"/>
  <c r="I60" i="33"/>
  <c r="H14" i="33"/>
  <c r="L104" i="33"/>
  <c r="M104" i="33" s="1"/>
  <c r="N104" i="33" s="1"/>
  <c r="O104" i="33" s="1"/>
  <c r="P104" i="33" s="1"/>
  <c r="Q104" i="33" s="1"/>
  <c r="R104" i="33" s="1"/>
  <c r="S104" i="33" s="1"/>
  <c r="T104" i="33" s="1"/>
  <c r="U104" i="33" s="1"/>
  <c r="V104" i="33" s="1"/>
  <c r="AI259" i="32"/>
  <c r="AK281" i="32"/>
  <c r="AM299" i="32"/>
  <c r="AR300" i="32"/>
  <c r="AN304" i="32"/>
  <c r="AV304" i="32"/>
  <c r="AN311" i="32"/>
  <c r="AO312" i="32"/>
  <c r="AU316" i="32"/>
  <c r="H318" i="32"/>
  <c r="AU318" i="32"/>
  <c r="AT319" i="32"/>
  <c r="AU324" i="32"/>
  <c r="D184" i="33"/>
  <c r="D33" i="33"/>
  <c r="D36" i="33" s="1"/>
  <c r="H61" i="33"/>
  <c r="I61" i="33" s="1"/>
  <c r="J61" i="33" s="1"/>
  <c r="K61" i="33" s="1"/>
  <c r="L61" i="33" s="1"/>
  <c r="M61" i="33" s="1"/>
  <c r="N61" i="33" s="1"/>
  <c r="O61" i="33" s="1"/>
  <c r="P61" i="33" s="1"/>
  <c r="Q61" i="33" s="1"/>
  <c r="R61" i="33" s="1"/>
  <c r="S61" i="33" s="1"/>
  <c r="T61" i="33" s="1"/>
  <c r="U61" i="33" s="1"/>
  <c r="V61" i="33" s="1"/>
  <c r="F110" i="33"/>
  <c r="F120" i="33" s="1"/>
  <c r="AV316" i="32"/>
  <c r="AV318" i="32"/>
  <c r="AV324" i="32"/>
  <c r="F76" i="33"/>
  <c r="F78" i="33"/>
  <c r="F146" i="33" s="1"/>
  <c r="B168" i="33"/>
  <c r="B88" i="33"/>
  <c r="B128" i="33"/>
  <c r="G295" i="33"/>
  <c r="F22" i="33"/>
  <c r="E184" i="33"/>
  <c r="E33" i="33"/>
  <c r="E36" i="33" s="1"/>
  <c r="B180" i="33"/>
  <c r="B192" i="33" s="1"/>
  <c r="G77" i="33"/>
  <c r="F77" i="33"/>
  <c r="C128" i="33"/>
  <c r="C168" i="33"/>
  <c r="B170" i="33"/>
  <c r="B173" i="33" s="1"/>
  <c r="B80" i="33"/>
  <c r="N91" i="33"/>
  <c r="D168" i="33"/>
  <c r="D128" i="33"/>
  <c r="B48" i="33"/>
  <c r="C170" i="33"/>
  <c r="C173" i="33" s="1"/>
  <c r="C80" i="33"/>
  <c r="G68" i="33"/>
  <c r="H59" i="33"/>
  <c r="C146" i="33"/>
  <c r="D146" i="33"/>
  <c r="E146" i="33"/>
  <c r="C180" i="33"/>
  <c r="C192" i="33" s="1"/>
  <c r="D197" i="33"/>
  <c r="D196" i="33"/>
  <c r="D195" i="33"/>
  <c r="D180" i="33"/>
  <c r="D192" i="33" s="1"/>
  <c r="E180" i="33"/>
  <c r="E192" i="33" s="1"/>
  <c r="D171" i="33"/>
  <c r="D191" i="33" s="1"/>
  <c r="D110" i="33"/>
  <c r="D120" i="33" s="1"/>
  <c r="F180" i="33"/>
  <c r="F192" i="33" s="1"/>
  <c r="E171" i="33"/>
  <c r="E191" i="33" s="1"/>
  <c r="E110" i="33"/>
  <c r="E120" i="33" s="1"/>
  <c r="B110" i="33"/>
  <c r="B120" i="33" s="1"/>
  <c r="C110" i="33"/>
  <c r="C120" i="33" s="1"/>
  <c r="J45" i="31"/>
  <c r="B197" i="33"/>
  <c r="B196" i="33"/>
  <c r="F42" i="31"/>
  <c r="F52" i="31"/>
  <c r="E196" i="33"/>
  <c r="E197" i="33"/>
  <c r="E23" i="31"/>
  <c r="F23" i="31" s="1"/>
  <c r="B44" i="31"/>
  <c r="D83" i="31"/>
  <c r="C44" i="31"/>
  <c r="B52" i="31"/>
  <c r="E83" i="31"/>
  <c r="D44" i="31"/>
  <c r="E44" i="31"/>
  <c r="F44" i="31"/>
  <c r="E320" i="33"/>
  <c r="G44" i="31"/>
  <c r="D82" i="31"/>
  <c r="H44" i="31"/>
  <c r="O255" i="32" l="1"/>
  <c r="P16" i="33" s="1"/>
  <c r="R183" i="33"/>
  <c r="R51" i="33"/>
  <c r="R25" i="33"/>
  <c r="S183" i="33"/>
  <c r="S51" i="33"/>
  <c r="S25" i="33"/>
  <c r="K53" i="33"/>
  <c r="K252" i="32"/>
  <c r="N53" i="33"/>
  <c r="J289" i="33"/>
  <c r="I183" i="33"/>
  <c r="I51" i="33"/>
  <c r="I25" i="33"/>
  <c r="J291" i="33"/>
  <c r="N252" i="32"/>
  <c r="N183" i="33"/>
  <c r="N51" i="33"/>
  <c r="N25" i="33"/>
  <c r="S252" i="32"/>
  <c r="P255" i="32"/>
  <c r="Q16" i="33" s="1"/>
  <c r="D292" i="33" s="1"/>
  <c r="Q252" i="32"/>
  <c r="R255" i="32"/>
  <c r="S16" i="33" s="1"/>
  <c r="I252" i="32"/>
  <c r="M53" i="33"/>
  <c r="K255" i="32"/>
  <c r="L16" i="33" s="1"/>
  <c r="P252" i="32"/>
  <c r="G243" i="33"/>
  <c r="Q183" i="33"/>
  <c r="Q51" i="33"/>
  <c r="Q25" i="33"/>
  <c r="I214" i="33"/>
  <c r="U251" i="32"/>
  <c r="M249" i="32"/>
  <c r="B48" i="31"/>
  <c r="C47" i="31"/>
  <c r="B54" i="31"/>
  <c r="C45" i="31"/>
  <c r="K44" i="31"/>
  <c r="AM326" i="32"/>
  <c r="I49" i="31"/>
  <c r="E185" i="33"/>
  <c r="E138" i="33"/>
  <c r="E186" i="33"/>
  <c r="E187" i="33"/>
  <c r="E39" i="33"/>
  <c r="J60" i="33"/>
  <c r="J14" i="33"/>
  <c r="K293" i="33" s="1"/>
  <c r="L250" i="32"/>
  <c r="L247" i="32"/>
  <c r="I103" i="33"/>
  <c r="N251" i="32"/>
  <c r="E156" i="33"/>
  <c r="O245" i="32"/>
  <c r="J254" i="32"/>
  <c r="J255" i="32" s="1"/>
  <c r="K16" i="33" s="1"/>
  <c r="H252" i="32"/>
  <c r="R129" i="32"/>
  <c r="V11" i="33" s="1"/>
  <c r="G86" i="32"/>
  <c r="K8" i="33" s="1"/>
  <c r="P129" i="32"/>
  <c r="T11" i="33" s="1"/>
  <c r="F86" i="32"/>
  <c r="J8" i="33" s="1"/>
  <c r="P86" i="32"/>
  <c r="T8" i="33" s="1"/>
  <c r="H208" i="32"/>
  <c r="H205" i="32"/>
  <c r="H211" i="32" s="1"/>
  <c r="K13" i="33" s="1"/>
  <c r="H207" i="32"/>
  <c r="H209" i="32"/>
  <c r="H206" i="32"/>
  <c r="D86" i="31"/>
  <c r="B214" i="33"/>
  <c r="V183" i="33"/>
  <c r="V51" i="33"/>
  <c r="V25" i="33"/>
  <c r="H15" i="33"/>
  <c r="O251" i="32"/>
  <c r="H255" i="32"/>
  <c r="I16" i="33" s="1"/>
  <c r="L214" i="33"/>
  <c r="F129" i="32"/>
  <c r="J11" i="33" s="1"/>
  <c r="T247" i="32"/>
  <c r="T252" i="32" s="1"/>
  <c r="M183" i="33"/>
  <c r="M51" i="33"/>
  <c r="M25" i="33"/>
  <c r="L209" i="32"/>
  <c r="L206" i="32"/>
  <c r="L208" i="32"/>
  <c r="L205" i="32"/>
  <c r="L207" i="32"/>
  <c r="K129" i="32"/>
  <c r="O11" i="33" s="1"/>
  <c r="S207" i="32"/>
  <c r="S209" i="32"/>
  <c r="S206" i="32"/>
  <c r="S208" i="32"/>
  <c r="S205" i="32"/>
  <c r="F256" i="32"/>
  <c r="G15" i="33"/>
  <c r="U252" i="32"/>
  <c r="N208" i="32"/>
  <c r="N205" i="32"/>
  <c r="N207" i="32"/>
  <c r="N209" i="32"/>
  <c r="N206" i="32"/>
  <c r="H68" i="33"/>
  <c r="I59" i="33"/>
  <c r="D187" i="33"/>
  <c r="D185" i="33"/>
  <c r="D186" i="33"/>
  <c r="D138" i="33"/>
  <c r="D39" i="33"/>
  <c r="F208" i="32"/>
  <c r="F205" i="32"/>
  <c r="F207" i="32"/>
  <c r="F209" i="32"/>
  <c r="F206" i="32"/>
  <c r="H129" i="32"/>
  <c r="L11" i="33" s="1"/>
  <c r="J54" i="31"/>
  <c r="J63" i="31" s="1"/>
  <c r="G130" i="33"/>
  <c r="G131" i="33"/>
  <c r="I45" i="31"/>
  <c r="I47" i="31"/>
  <c r="H54" i="31"/>
  <c r="J47" i="31"/>
  <c r="J48" i="31" s="1"/>
  <c r="F184" i="33"/>
  <c r="F33" i="33"/>
  <c r="F36" i="33" s="1"/>
  <c r="H76" i="33"/>
  <c r="I74" i="33"/>
  <c r="M247" i="32"/>
  <c r="M252" i="32" s="1"/>
  <c r="G255" i="32"/>
  <c r="H16" i="33" s="1"/>
  <c r="AF326" i="32"/>
  <c r="E24" i="31"/>
  <c r="F24" i="31" s="1"/>
  <c r="K86" i="32"/>
  <c r="O8" i="33" s="1"/>
  <c r="O129" i="32"/>
  <c r="S11" i="33" s="1"/>
  <c r="M209" i="32"/>
  <c r="M206" i="32"/>
  <c r="M208" i="32"/>
  <c r="M205" i="32"/>
  <c r="M207" i="32"/>
  <c r="M129" i="32"/>
  <c r="Q11" i="33" s="1"/>
  <c r="D129" i="32"/>
  <c r="H11" i="33" s="1"/>
  <c r="K207" i="32"/>
  <c r="K209" i="32"/>
  <c r="K206" i="32"/>
  <c r="K208" i="32"/>
  <c r="K205" i="32"/>
  <c r="J211" i="32"/>
  <c r="M13" i="33" s="1"/>
  <c r="H77" i="33"/>
  <c r="I77" i="33" s="1"/>
  <c r="J77" i="33" s="1"/>
  <c r="E54" i="31"/>
  <c r="F45" i="31"/>
  <c r="E49" i="31" s="1"/>
  <c r="F47" i="31"/>
  <c r="D54" i="31"/>
  <c r="E45" i="31"/>
  <c r="D49" i="31" s="1"/>
  <c r="E47" i="31"/>
  <c r="E48" i="31" s="1"/>
  <c r="E62" i="31" s="1"/>
  <c r="G78" i="33"/>
  <c r="N246" i="32"/>
  <c r="P251" i="32"/>
  <c r="D214" i="33"/>
  <c r="AK326" i="32"/>
  <c r="O208" i="32"/>
  <c r="O205" i="32"/>
  <c r="O207" i="32"/>
  <c r="O209" i="32"/>
  <c r="O206" i="32"/>
  <c r="E209" i="32"/>
  <c r="E206" i="32"/>
  <c r="E208" i="32"/>
  <c r="E205" i="32"/>
  <c r="E207" i="32"/>
  <c r="L129" i="32"/>
  <c r="P11" i="33" s="1"/>
  <c r="L246" i="32"/>
  <c r="L252" i="32" s="1"/>
  <c r="U183" i="33"/>
  <c r="U51" i="33"/>
  <c r="U25" i="33"/>
  <c r="I54" i="31"/>
  <c r="H45" i="31"/>
  <c r="G49" i="31" s="1"/>
  <c r="H47" i="31"/>
  <c r="G54" i="31"/>
  <c r="B187" i="33"/>
  <c r="B185" i="33"/>
  <c r="B186" i="33"/>
  <c r="B39" i="33"/>
  <c r="D156" i="33"/>
  <c r="Q214" i="33"/>
  <c r="AI326" i="32"/>
  <c r="R245" i="32"/>
  <c r="R252" i="32" s="1"/>
  <c r="Q247" i="32"/>
  <c r="N250" i="32"/>
  <c r="Q129" i="32"/>
  <c r="U11" i="33" s="1"/>
  <c r="G208" i="32"/>
  <c r="G205" i="32"/>
  <c r="G207" i="32"/>
  <c r="G209" i="32"/>
  <c r="G206" i="32"/>
  <c r="F54" i="31"/>
  <c r="G45" i="31"/>
  <c r="F49" i="31" s="1"/>
  <c r="F48" i="31"/>
  <c r="F62" i="31" s="1"/>
  <c r="G47" i="31"/>
  <c r="J252" i="32"/>
  <c r="L86" i="32"/>
  <c r="P8" i="33" s="1"/>
  <c r="F176" i="33"/>
  <c r="F144" i="33"/>
  <c r="F156" i="33" s="1"/>
  <c r="H86" i="32"/>
  <c r="L8" i="33" s="1"/>
  <c r="O91" i="33"/>
  <c r="D47" i="31"/>
  <c r="C54" i="31"/>
  <c r="D45" i="31"/>
  <c r="C49" i="31" s="1"/>
  <c r="C48" i="31"/>
  <c r="F320" i="33"/>
  <c r="E318" i="33"/>
  <c r="C141" i="33"/>
  <c r="F80" i="33"/>
  <c r="I14" i="33"/>
  <c r="J293" i="33" s="1"/>
  <c r="C156" i="33"/>
  <c r="L249" i="32"/>
  <c r="P208" i="32"/>
  <c r="P205" i="32"/>
  <c r="P207" i="32"/>
  <c r="P209" i="32"/>
  <c r="P206" i="32"/>
  <c r="E129" i="32"/>
  <c r="I11" i="33" s="1"/>
  <c r="N129" i="32"/>
  <c r="R11" i="33" s="1"/>
  <c r="Q211" i="32"/>
  <c r="T13" i="33" s="1"/>
  <c r="D86" i="32"/>
  <c r="H8" i="33" s="1"/>
  <c r="I293" i="33" s="1"/>
  <c r="M15" i="33" l="1"/>
  <c r="L256" i="32"/>
  <c r="N15" i="33"/>
  <c r="M256" i="32"/>
  <c r="K20" i="33"/>
  <c r="T256" i="32"/>
  <c r="U15" i="33"/>
  <c r="S15" i="33"/>
  <c r="R256" i="32"/>
  <c r="I15" i="33"/>
  <c r="H256" i="32"/>
  <c r="O53" i="33"/>
  <c r="K15" i="33"/>
  <c r="J256" i="32"/>
  <c r="K211" i="32"/>
  <c r="N13" i="33" s="1"/>
  <c r="M211" i="32"/>
  <c r="P13" i="33" s="1"/>
  <c r="G112" i="33"/>
  <c r="F211" i="32"/>
  <c r="I13" i="33" s="1"/>
  <c r="J292" i="33" s="1"/>
  <c r="I68" i="33"/>
  <c r="J59" i="33"/>
  <c r="B209" i="33"/>
  <c r="H294" i="33"/>
  <c r="G139" i="33"/>
  <c r="G69" i="33"/>
  <c r="G70" i="33" s="1"/>
  <c r="G176" i="33" s="1"/>
  <c r="G20" i="33"/>
  <c r="G256" i="32"/>
  <c r="T183" i="33"/>
  <c r="T51" i="33"/>
  <c r="T25" i="33"/>
  <c r="O252" i="32"/>
  <c r="K60" i="33"/>
  <c r="K14" i="33"/>
  <c r="S256" i="32"/>
  <c r="T15" i="33"/>
  <c r="J296" i="33"/>
  <c r="O15" i="33"/>
  <c r="N256" i="32"/>
  <c r="Q15" i="33"/>
  <c r="P256" i="32"/>
  <c r="L15" i="33"/>
  <c r="K256" i="32"/>
  <c r="P211" i="32"/>
  <c r="S13" i="33" s="1"/>
  <c r="G211" i="32"/>
  <c r="J13" i="33" s="1"/>
  <c r="K292" i="33" s="1"/>
  <c r="G48" i="31"/>
  <c r="G62" i="31" s="1"/>
  <c r="P53" i="33"/>
  <c r="H48" i="31"/>
  <c r="H62" i="31" s="1"/>
  <c r="H63" i="31" s="1"/>
  <c r="H70" i="33"/>
  <c r="H176" i="33" s="1"/>
  <c r="L211" i="32"/>
  <c r="O13" i="33" s="1"/>
  <c r="I294" i="33"/>
  <c r="C209" i="33"/>
  <c r="H139" i="33"/>
  <c r="H69" i="33"/>
  <c r="K289" i="33"/>
  <c r="J183" i="33"/>
  <c r="J51" i="33"/>
  <c r="J25" i="33"/>
  <c r="K291" i="33"/>
  <c r="K77" i="33"/>
  <c r="L77" i="33" s="1"/>
  <c r="M77" i="33" s="1"/>
  <c r="N77" i="33" s="1"/>
  <c r="O77" i="33" s="1"/>
  <c r="P77" i="33" s="1"/>
  <c r="Q77" i="33" s="1"/>
  <c r="R77" i="33" s="1"/>
  <c r="S77" i="33" s="1"/>
  <c r="T77" i="33" s="1"/>
  <c r="U77" i="33" s="1"/>
  <c r="V77" i="33" s="1"/>
  <c r="P183" i="33"/>
  <c r="P25" i="33"/>
  <c r="P51" i="33"/>
  <c r="V15" i="33"/>
  <c r="U256" i="32"/>
  <c r="I289" i="33"/>
  <c r="G254" i="33"/>
  <c r="G256" i="33" s="1"/>
  <c r="H183" i="33"/>
  <c r="H22" i="33"/>
  <c r="H51" i="33"/>
  <c r="H25" i="33"/>
  <c r="I291" i="33"/>
  <c r="C159" i="33"/>
  <c r="C160" i="33" s="1"/>
  <c r="D160" i="33" s="1"/>
  <c r="P91" i="33"/>
  <c r="O211" i="32"/>
  <c r="R13" i="33" s="1"/>
  <c r="I76" i="33"/>
  <c r="I78" i="33" s="1"/>
  <c r="J74" i="33"/>
  <c r="H49" i="31"/>
  <c r="I48" i="31"/>
  <c r="I62" i="31" s="1"/>
  <c r="I63" i="31" s="1"/>
  <c r="S211" i="32"/>
  <c r="V13" i="33" s="1"/>
  <c r="K290" i="33"/>
  <c r="J53" i="33"/>
  <c r="J20" i="33"/>
  <c r="E86" i="31"/>
  <c r="T53" i="33"/>
  <c r="B49" i="31"/>
  <c r="K45" i="31"/>
  <c r="G24" i="31"/>
  <c r="D24" i="31"/>
  <c r="R15" i="33"/>
  <c r="Q256" i="32"/>
  <c r="C63" i="31"/>
  <c r="E63" i="31"/>
  <c r="H78" i="33"/>
  <c r="G102" i="33"/>
  <c r="K183" i="33"/>
  <c r="K51" i="33"/>
  <c r="K25" i="33"/>
  <c r="K22" i="33"/>
  <c r="E206" i="33"/>
  <c r="E222" i="33" s="1"/>
  <c r="J88" i="33"/>
  <c r="J168" i="33"/>
  <c r="J128" i="33"/>
  <c r="C309" i="32"/>
  <c r="J48" i="33"/>
  <c r="J6" i="33"/>
  <c r="K288" i="33" s="1"/>
  <c r="H292" i="32"/>
  <c r="G265" i="32"/>
  <c r="I243" i="32"/>
  <c r="H166" i="32"/>
  <c r="I224" i="32"/>
  <c r="G200" i="32"/>
  <c r="H139" i="32"/>
  <c r="F52" i="32"/>
  <c r="J8" i="32"/>
  <c r="F95" i="32"/>
  <c r="E211" i="32"/>
  <c r="H13" i="33" s="1"/>
  <c r="S53" i="33"/>
  <c r="F185" i="33"/>
  <c r="F186" i="33"/>
  <c r="F187" i="33"/>
  <c r="F138" i="33"/>
  <c r="F39" i="33"/>
  <c r="G299" i="33" s="1"/>
  <c r="L53" i="33"/>
  <c r="D194" i="33"/>
  <c r="D141" i="33"/>
  <c r="D159" i="33" s="1"/>
  <c r="V53" i="33"/>
  <c r="J103" i="33"/>
  <c r="E194" i="33"/>
  <c r="E141" i="33"/>
  <c r="E159" i="33" s="1"/>
  <c r="K47" i="31"/>
  <c r="J15" i="33"/>
  <c r="I256" i="32"/>
  <c r="G244" i="33"/>
  <c r="G245" i="33" s="1"/>
  <c r="Q53" i="33"/>
  <c r="G63" i="31"/>
  <c r="L183" i="33"/>
  <c r="L51" i="33"/>
  <c r="L25" i="33"/>
  <c r="U53" i="33"/>
  <c r="R53" i="33"/>
  <c r="G320" i="33"/>
  <c r="F318" i="33"/>
  <c r="D48" i="31"/>
  <c r="D62" i="31" s="1"/>
  <c r="D63" i="31" s="1"/>
  <c r="J290" i="33"/>
  <c r="I53" i="33"/>
  <c r="C62" i="31"/>
  <c r="F63" i="31"/>
  <c r="G255" i="33"/>
  <c r="I290" i="33"/>
  <c r="H20" i="33"/>
  <c r="H53" i="33"/>
  <c r="O183" i="33"/>
  <c r="O25" i="33"/>
  <c r="O51" i="33"/>
  <c r="F26" i="31"/>
  <c r="N211" i="32"/>
  <c r="Q13" i="33" s="1"/>
  <c r="R55" i="31"/>
  <c r="Q55" i="31"/>
  <c r="O55" i="31"/>
  <c r="B62" i="31"/>
  <c r="B63" i="31" s="1"/>
  <c r="S55" i="31"/>
  <c r="O56" i="31"/>
  <c r="S56" i="31"/>
  <c r="R56" i="31"/>
  <c r="P15" i="33" l="1"/>
  <c r="O256" i="32"/>
  <c r="P209" i="33"/>
  <c r="U139" i="33"/>
  <c r="O57" i="31"/>
  <c r="K294" i="33"/>
  <c r="E209" i="33"/>
  <c r="J139" i="33"/>
  <c r="H195" i="33"/>
  <c r="G209" i="33"/>
  <c r="L139" i="33"/>
  <c r="Q56" i="31"/>
  <c r="Q57" i="31" s="1"/>
  <c r="P55" i="31"/>
  <c r="I20" i="33"/>
  <c r="K48" i="31"/>
  <c r="K195" i="33"/>
  <c r="M209" i="33"/>
  <c r="R139" i="33"/>
  <c r="W46" i="31"/>
  <c r="L45" i="31" s="1"/>
  <c r="H295" i="33"/>
  <c r="G90" i="33"/>
  <c r="G99" i="33" s="1"/>
  <c r="G22" i="33"/>
  <c r="G52" i="33"/>
  <c r="K52" i="33"/>
  <c r="K90" i="33"/>
  <c r="K99" i="33" s="1"/>
  <c r="I292" i="33"/>
  <c r="E310" i="33"/>
  <c r="C310" i="33"/>
  <c r="D310" i="33"/>
  <c r="F310" i="33"/>
  <c r="J90" i="33"/>
  <c r="J99" i="33" s="1"/>
  <c r="K295" i="33"/>
  <c r="J52" i="33"/>
  <c r="H184" i="33"/>
  <c r="Q91" i="33"/>
  <c r="D291" i="33"/>
  <c r="Q139" i="33"/>
  <c r="L209" i="33"/>
  <c r="H112" i="33"/>
  <c r="R57" i="31"/>
  <c r="G106" i="33"/>
  <c r="G178" i="33" s="1"/>
  <c r="H102" i="33"/>
  <c r="G27" i="33"/>
  <c r="E160" i="33"/>
  <c r="O209" i="33"/>
  <c r="T139" i="33"/>
  <c r="J294" i="33"/>
  <c r="I139" i="33"/>
  <c r="D209" i="33"/>
  <c r="I69" i="33"/>
  <c r="I70" i="33" s="1"/>
  <c r="I176" i="33" s="1"/>
  <c r="I209" i="33"/>
  <c r="N139" i="33"/>
  <c r="P56" i="31"/>
  <c r="G25" i="31"/>
  <c r="D22" i="31"/>
  <c r="D26" i="31" s="1"/>
  <c r="D23" i="31"/>
  <c r="G22" i="31"/>
  <c r="G23" i="31"/>
  <c r="F206" i="33"/>
  <c r="F222" i="33" s="1"/>
  <c r="K128" i="33"/>
  <c r="K168" i="33"/>
  <c r="K48" i="33"/>
  <c r="K6" i="33"/>
  <c r="C310" i="32"/>
  <c r="K88" i="33"/>
  <c r="I292" i="32"/>
  <c r="H265" i="32"/>
  <c r="J243" i="32"/>
  <c r="I166" i="32"/>
  <c r="J224" i="32"/>
  <c r="H200" i="32"/>
  <c r="G52" i="32"/>
  <c r="K8" i="32"/>
  <c r="G95" i="32"/>
  <c r="I139" i="32"/>
  <c r="K103" i="33"/>
  <c r="K74" i="33"/>
  <c r="J76" i="33"/>
  <c r="J78" i="33" s="1"/>
  <c r="I296" i="33"/>
  <c r="G25" i="33"/>
  <c r="J22" i="33"/>
  <c r="J209" i="33"/>
  <c r="O139" i="33"/>
  <c r="I295" i="33"/>
  <c r="H90" i="33"/>
  <c r="H99" i="33" s="1"/>
  <c r="H52" i="33"/>
  <c r="S57" i="31"/>
  <c r="G318" i="33"/>
  <c r="H320" i="33"/>
  <c r="F194" i="33"/>
  <c r="F141" i="33"/>
  <c r="F159" i="33" s="1"/>
  <c r="K184" i="33"/>
  <c r="Q209" i="33"/>
  <c r="V139" i="33"/>
  <c r="K296" i="33"/>
  <c r="L60" i="33"/>
  <c r="L14" i="33"/>
  <c r="L20" i="33" s="1"/>
  <c r="J68" i="33"/>
  <c r="K59" i="33"/>
  <c r="F209" i="33"/>
  <c r="K139" i="33"/>
  <c r="N209" i="33"/>
  <c r="S139" i="33"/>
  <c r="H209" i="33"/>
  <c r="M139" i="33"/>
  <c r="H171" i="33" l="1"/>
  <c r="J171" i="33"/>
  <c r="H318" i="33"/>
  <c r="I320" i="33"/>
  <c r="P57" i="31"/>
  <c r="L90" i="33"/>
  <c r="L99" i="33" s="1"/>
  <c r="L52" i="33"/>
  <c r="L22" i="33"/>
  <c r="M60" i="33"/>
  <c r="M14" i="33"/>
  <c r="R91" i="33"/>
  <c r="K171" i="33"/>
  <c r="L103" i="33"/>
  <c r="G171" i="33"/>
  <c r="G110" i="33"/>
  <c r="H145" i="33"/>
  <c r="P139" i="33"/>
  <c r="K209" i="33"/>
  <c r="K145" i="33"/>
  <c r="F160" i="33"/>
  <c r="K68" i="33"/>
  <c r="K70" i="33" s="1"/>
  <c r="K176" i="33" s="1"/>
  <c r="L59" i="33"/>
  <c r="I112" i="33"/>
  <c r="H296" i="33"/>
  <c r="D87" i="31"/>
  <c r="G31" i="33"/>
  <c r="G33" i="33" s="1"/>
  <c r="G206" i="33"/>
  <c r="G222" i="33" s="1"/>
  <c r="L168" i="33"/>
  <c r="L128" i="33"/>
  <c r="L48" i="33"/>
  <c r="L6" i="33"/>
  <c r="L88" i="33"/>
  <c r="C311" i="32"/>
  <c r="J292" i="32"/>
  <c r="I265" i="32"/>
  <c r="K243" i="32"/>
  <c r="AB265" i="32"/>
  <c r="J139" i="32"/>
  <c r="K224" i="32"/>
  <c r="I200" i="32"/>
  <c r="H52" i="32"/>
  <c r="L8" i="32"/>
  <c r="H95" i="32"/>
  <c r="J166" i="32"/>
  <c r="K76" i="33"/>
  <c r="K78" i="33" s="1"/>
  <c r="L74" i="33"/>
  <c r="H298" i="33"/>
  <c r="B210" i="33"/>
  <c r="B225" i="33" s="1"/>
  <c r="G161" i="33"/>
  <c r="G125" i="33"/>
  <c r="G145" i="33"/>
  <c r="J184" i="33"/>
  <c r="J195" i="33" s="1"/>
  <c r="H106" i="33"/>
  <c r="H178" i="33" s="1"/>
  <c r="I102" i="33"/>
  <c r="H27" i="33"/>
  <c r="G310" i="33"/>
  <c r="H310" i="33"/>
  <c r="G184" i="33"/>
  <c r="G195" i="33" s="1"/>
  <c r="J295" i="33"/>
  <c r="I90" i="33"/>
  <c r="I99" i="33" s="1"/>
  <c r="I52" i="33"/>
  <c r="I22" i="33"/>
  <c r="J69" i="33"/>
  <c r="K69" i="33" s="1"/>
  <c r="L69" i="33" s="1"/>
  <c r="M69" i="33" s="1"/>
  <c r="N69" i="33" s="1"/>
  <c r="O69" i="33" s="1"/>
  <c r="P69" i="33" s="1"/>
  <c r="Q69" i="33" s="1"/>
  <c r="R69" i="33" s="1"/>
  <c r="S69" i="33" s="1"/>
  <c r="T69" i="33" s="1"/>
  <c r="U69" i="33" s="1"/>
  <c r="V69" i="33" s="1"/>
  <c r="G36" i="33" l="1"/>
  <c r="G34" i="33"/>
  <c r="E87" i="31"/>
  <c r="E88" i="31" s="1"/>
  <c r="E89" i="31" s="1"/>
  <c r="D88" i="31"/>
  <c r="J145" i="33"/>
  <c r="H110" i="33"/>
  <c r="I184" i="33"/>
  <c r="I195" i="33" s="1"/>
  <c r="C216" i="33"/>
  <c r="C219" i="33" s="1"/>
  <c r="H156" i="33"/>
  <c r="L184" i="33"/>
  <c r="L195" i="33" s="1"/>
  <c r="F216" i="33"/>
  <c r="F219" i="33" s="1"/>
  <c r="K156" i="33"/>
  <c r="L171" i="33"/>
  <c r="I106" i="33"/>
  <c r="I178" i="33" s="1"/>
  <c r="J102" i="33"/>
  <c r="I27" i="33"/>
  <c r="J112" i="33"/>
  <c r="S91" i="33"/>
  <c r="J70" i="33"/>
  <c r="J176" i="33" s="1"/>
  <c r="N60" i="33"/>
  <c r="N14" i="33"/>
  <c r="I298" i="33"/>
  <c r="H161" i="33"/>
  <c r="C210" i="33"/>
  <c r="C225" i="33" s="1"/>
  <c r="H125" i="33"/>
  <c r="H31" i="33"/>
  <c r="M103" i="33"/>
  <c r="H206" i="33"/>
  <c r="H222" i="33" s="1"/>
  <c r="M168" i="33"/>
  <c r="M128" i="33"/>
  <c r="M88" i="33"/>
  <c r="M6" i="33"/>
  <c r="M48" i="33"/>
  <c r="C312" i="32"/>
  <c r="L243" i="32"/>
  <c r="AB275" i="32"/>
  <c r="K139" i="32"/>
  <c r="I52" i="32"/>
  <c r="L224" i="32"/>
  <c r="J200" i="32"/>
  <c r="I95" i="32"/>
  <c r="M8" i="32"/>
  <c r="J265" i="32"/>
  <c r="K166" i="32"/>
  <c r="I171" i="33"/>
  <c r="M74" i="33"/>
  <c r="L76" i="33"/>
  <c r="L78" i="33" s="1"/>
  <c r="B216" i="33"/>
  <c r="B219" i="33" s="1"/>
  <c r="G156" i="33"/>
  <c r="L68" i="33"/>
  <c r="L70" i="33" s="1"/>
  <c r="L176" i="33" s="1"/>
  <c r="M59" i="33"/>
  <c r="I145" i="33"/>
  <c r="M20" i="33"/>
  <c r="I310" i="33"/>
  <c r="I318" i="33"/>
  <c r="J320" i="33"/>
  <c r="L145" i="33"/>
  <c r="N168" i="33" l="1"/>
  <c r="N128" i="33"/>
  <c r="N88" i="33"/>
  <c r="N48" i="33"/>
  <c r="C313" i="32"/>
  <c r="K265" i="32"/>
  <c r="I206" i="33"/>
  <c r="I222" i="33" s="1"/>
  <c r="N6" i="33"/>
  <c r="AB285" i="32"/>
  <c r="L166" i="32"/>
  <c r="M224" i="32"/>
  <c r="M243" i="32"/>
  <c r="K200" i="32"/>
  <c r="N8" i="32"/>
  <c r="J95" i="32"/>
  <c r="J52" i="32"/>
  <c r="L139" i="32"/>
  <c r="N103" i="33"/>
  <c r="H299" i="33"/>
  <c r="G186" i="33"/>
  <c r="B208" i="33"/>
  <c r="B211" i="33" s="1"/>
  <c r="B220" i="33" s="1"/>
  <c r="G185" i="33"/>
  <c r="G138" i="33"/>
  <c r="H33" i="33"/>
  <c r="N74" i="33"/>
  <c r="M76" i="33"/>
  <c r="M78" i="33" s="1"/>
  <c r="M90" i="33"/>
  <c r="M99" i="33" s="1"/>
  <c r="M52" i="33"/>
  <c r="M22" i="33"/>
  <c r="I110" i="33"/>
  <c r="E216" i="33"/>
  <c r="E219" i="33" s="1"/>
  <c r="J156" i="33"/>
  <c r="G216" i="33"/>
  <c r="G219" i="33" s="1"/>
  <c r="L156" i="33"/>
  <c r="K112" i="33"/>
  <c r="T91" i="33"/>
  <c r="D216" i="33"/>
  <c r="D219" i="33" s="1"/>
  <c r="I156" i="33"/>
  <c r="J318" i="33"/>
  <c r="K320" i="33"/>
  <c r="M68" i="33"/>
  <c r="M70" i="33" s="1"/>
  <c r="M176" i="33" s="1"/>
  <c r="N59" i="33"/>
  <c r="N20" i="33"/>
  <c r="D210" i="33"/>
  <c r="D225" i="33" s="1"/>
  <c r="J298" i="33"/>
  <c r="I161" i="33"/>
  <c r="I125" i="33"/>
  <c r="I31" i="33"/>
  <c r="I33" i="33" s="1"/>
  <c r="O60" i="33"/>
  <c r="O14" i="33"/>
  <c r="J106" i="33"/>
  <c r="K102" i="33"/>
  <c r="J27" i="33"/>
  <c r="E210" i="33" l="1"/>
  <c r="E225" i="33" s="1"/>
  <c r="K298" i="33"/>
  <c r="J161" i="33"/>
  <c r="J125" i="33"/>
  <c r="J31" i="33"/>
  <c r="M145" i="33"/>
  <c r="O20" i="33"/>
  <c r="J310" i="33"/>
  <c r="N76" i="33"/>
  <c r="N78" i="33" s="1"/>
  <c r="O74" i="33"/>
  <c r="M171" i="33"/>
  <c r="J178" i="33"/>
  <c r="J110" i="33"/>
  <c r="J206" i="33"/>
  <c r="J222" i="33" s="1"/>
  <c r="O168" i="33"/>
  <c r="O128" i="33"/>
  <c r="O88" i="33"/>
  <c r="L265" i="32"/>
  <c r="C314" i="32"/>
  <c r="O6" i="33"/>
  <c r="O48" i="33"/>
  <c r="AB295" i="32"/>
  <c r="M166" i="32"/>
  <c r="N224" i="32"/>
  <c r="N243" i="32"/>
  <c r="L200" i="32"/>
  <c r="M139" i="32"/>
  <c r="K95" i="32"/>
  <c r="K52" i="32"/>
  <c r="O8" i="32"/>
  <c r="G196" i="33"/>
  <c r="G86" i="33"/>
  <c r="G121" i="33" s="1"/>
  <c r="G37" i="33" s="1"/>
  <c r="M239" i="33"/>
  <c r="B227" i="33"/>
  <c r="B224" i="33"/>
  <c r="P14" i="33"/>
  <c r="K310" i="33" s="1"/>
  <c r="P60" i="33"/>
  <c r="U91" i="33"/>
  <c r="I34" i="33"/>
  <c r="I36" i="33" s="1"/>
  <c r="L102" i="33"/>
  <c r="K106" i="33"/>
  <c r="K27" i="33"/>
  <c r="N90" i="33"/>
  <c r="N99" i="33" s="1"/>
  <c r="N52" i="33"/>
  <c r="N22" i="33"/>
  <c r="H36" i="33"/>
  <c r="H34" i="33"/>
  <c r="N68" i="33"/>
  <c r="N70" i="33" s="1"/>
  <c r="N176" i="33" s="1"/>
  <c r="O59" i="33"/>
  <c r="O103" i="33"/>
  <c r="K318" i="33"/>
  <c r="L320" i="33"/>
  <c r="L112" i="33"/>
  <c r="M184" i="33"/>
  <c r="M195" i="33" s="1"/>
  <c r="G187" i="33"/>
  <c r="G197" i="33" s="1"/>
  <c r="G194" i="33"/>
  <c r="G141" i="33"/>
  <c r="G159" i="33" s="1"/>
  <c r="J299" i="33" l="1"/>
  <c r="I186" i="33"/>
  <c r="D208" i="33"/>
  <c r="D211" i="33" s="1"/>
  <c r="D220" i="33" s="1"/>
  <c r="I185" i="33"/>
  <c r="I138" i="33"/>
  <c r="H157" i="33"/>
  <c r="H216" i="33"/>
  <c r="H219" i="33" s="1"/>
  <c r="M156" i="33"/>
  <c r="G115" i="33"/>
  <c r="G39" i="33"/>
  <c r="G114" i="33" s="1"/>
  <c r="N171" i="33"/>
  <c r="J33" i="33"/>
  <c r="N184" i="33"/>
  <c r="N195" i="33" s="1"/>
  <c r="O76" i="33"/>
  <c r="O78" i="33" s="1"/>
  <c r="P74" i="33"/>
  <c r="F210" i="33"/>
  <c r="F225" i="33" s="1"/>
  <c r="K161" i="33"/>
  <c r="K125" i="33"/>
  <c r="K31" i="33"/>
  <c r="K33" i="33" s="1"/>
  <c r="V91" i="33"/>
  <c r="I299" i="33"/>
  <c r="H186" i="33"/>
  <c r="C208" i="33"/>
  <c r="C211" i="33" s="1"/>
  <c r="C220" i="33" s="1"/>
  <c r="H185" i="33"/>
  <c r="H138" i="33"/>
  <c r="N145" i="33"/>
  <c r="P59" i="33"/>
  <c r="O68" i="33"/>
  <c r="O70" i="33" s="1"/>
  <c r="O176" i="33" s="1"/>
  <c r="K178" i="33"/>
  <c r="K110" i="33"/>
  <c r="P103" i="33"/>
  <c r="M112" i="33"/>
  <c r="L318" i="33"/>
  <c r="M320" i="33"/>
  <c r="M102" i="33"/>
  <c r="L106" i="33"/>
  <c r="L27" i="33"/>
  <c r="Q14" i="33"/>
  <c r="Q60" i="33"/>
  <c r="O90" i="33"/>
  <c r="O99" i="33" s="1"/>
  <c r="O52" i="33"/>
  <c r="O22" i="33"/>
  <c r="G160" i="33"/>
  <c r="G50" i="33"/>
  <c r="K206" i="33"/>
  <c r="K222" i="33" s="1"/>
  <c r="P168" i="33"/>
  <c r="P128" i="33"/>
  <c r="P88" i="33"/>
  <c r="P6" i="33"/>
  <c r="C315" i="32"/>
  <c r="P48" i="33"/>
  <c r="O224" i="32"/>
  <c r="O243" i="32"/>
  <c r="M200" i="32"/>
  <c r="L95" i="32"/>
  <c r="AB305" i="32"/>
  <c r="M265" i="32"/>
  <c r="N139" i="32"/>
  <c r="N166" i="32"/>
  <c r="L52" i="32"/>
  <c r="P8" i="32"/>
  <c r="P20" i="33"/>
  <c r="H187" i="33" l="1"/>
  <c r="H197" i="33" s="1"/>
  <c r="H141" i="33"/>
  <c r="H159" i="33" s="1"/>
  <c r="H160" i="33" s="1"/>
  <c r="I160" i="33" s="1"/>
  <c r="O171" i="33"/>
  <c r="H86" i="33"/>
  <c r="H121" i="33" s="1"/>
  <c r="H37" i="33" s="1"/>
  <c r="H196" i="33"/>
  <c r="I187" i="33"/>
  <c r="I197" i="33" s="1"/>
  <c r="I194" i="33"/>
  <c r="I141" i="33"/>
  <c r="I159" i="33" s="1"/>
  <c r="N320" i="33"/>
  <c r="M318" i="33"/>
  <c r="L206" i="33"/>
  <c r="L222" i="33" s="1"/>
  <c r="Q168" i="33"/>
  <c r="Q128" i="33"/>
  <c r="Q88" i="33"/>
  <c r="Q6" i="33"/>
  <c r="Q48" i="33"/>
  <c r="C316" i="32"/>
  <c r="F389" i="32"/>
  <c r="AB315" i="32"/>
  <c r="N265" i="32"/>
  <c r="P243" i="32"/>
  <c r="N200" i="32"/>
  <c r="M95" i="32"/>
  <c r="Q8" i="32"/>
  <c r="O139" i="32"/>
  <c r="M52" i="32"/>
  <c r="O166" i="32"/>
  <c r="P224" i="32"/>
  <c r="K34" i="33"/>
  <c r="K36" i="33"/>
  <c r="R14" i="33"/>
  <c r="R60" i="33"/>
  <c r="N112" i="33"/>
  <c r="C227" i="33"/>
  <c r="N239" i="33"/>
  <c r="C224" i="33"/>
  <c r="I196" i="33"/>
  <c r="N102" i="33"/>
  <c r="M106" i="33"/>
  <c r="M27" i="33"/>
  <c r="O184" i="33"/>
  <c r="O195" i="33" s="1"/>
  <c r="P90" i="33"/>
  <c r="P99" i="33" s="1"/>
  <c r="P52" i="33"/>
  <c r="P22" i="33"/>
  <c r="D227" i="33"/>
  <c r="O239" i="33"/>
  <c r="D224" i="33"/>
  <c r="Q20" i="33"/>
  <c r="L310" i="33"/>
  <c r="G257" i="33" s="1"/>
  <c r="P68" i="33"/>
  <c r="P70" i="33" s="1"/>
  <c r="P176" i="33" s="1"/>
  <c r="Q59" i="33"/>
  <c r="G118" i="33"/>
  <c r="G210" i="33"/>
  <c r="G225" i="33" s="1"/>
  <c r="L161" i="33"/>
  <c r="L125" i="33"/>
  <c r="L31" i="33"/>
  <c r="L33" i="33" s="1"/>
  <c r="Q103" i="33"/>
  <c r="I216" i="33"/>
  <c r="I219" i="33" s="1"/>
  <c r="N156" i="33"/>
  <c r="P76" i="33"/>
  <c r="P78" i="33" s="1"/>
  <c r="Q74" i="33"/>
  <c r="G57" i="33"/>
  <c r="L178" i="33"/>
  <c r="L110" i="33"/>
  <c r="O145" i="33"/>
  <c r="J34" i="33"/>
  <c r="J36" i="33" s="1"/>
  <c r="K299" i="33" l="1"/>
  <c r="E208" i="33"/>
  <c r="E211" i="33" s="1"/>
  <c r="E220" i="33" s="1"/>
  <c r="J185" i="33"/>
  <c r="J186" i="33"/>
  <c r="J138" i="33"/>
  <c r="I157" i="33"/>
  <c r="G180" i="33"/>
  <c r="G192" i="33" s="1"/>
  <c r="G120" i="33"/>
  <c r="F208" i="33"/>
  <c r="F211" i="33" s="1"/>
  <c r="F220" i="33" s="1"/>
  <c r="K185" i="33"/>
  <c r="K186" i="33"/>
  <c r="K138" i="33"/>
  <c r="J157" i="33"/>
  <c r="H194" i="33"/>
  <c r="O320" i="33"/>
  <c r="N318" i="33"/>
  <c r="P184" i="33"/>
  <c r="P195" i="33" s="1"/>
  <c r="R20" i="33"/>
  <c r="M310" i="33"/>
  <c r="R59" i="33"/>
  <c r="Q68" i="33"/>
  <c r="Q70" i="33" s="1"/>
  <c r="Q176" i="33" s="1"/>
  <c r="G170" i="33"/>
  <c r="G80" i="33"/>
  <c r="R103" i="33"/>
  <c r="P171" i="33"/>
  <c r="O112" i="33"/>
  <c r="H50" i="33"/>
  <c r="P145" i="33"/>
  <c r="M178" i="33"/>
  <c r="M110" i="33"/>
  <c r="J216" i="33"/>
  <c r="J219" i="33" s="1"/>
  <c r="O156" i="33"/>
  <c r="N106" i="33"/>
  <c r="O102" i="33"/>
  <c r="N27" i="33"/>
  <c r="S14" i="33"/>
  <c r="S60" i="33"/>
  <c r="L34" i="33"/>
  <c r="L36" i="33"/>
  <c r="E246" i="33"/>
  <c r="Q90" i="33"/>
  <c r="Q99" i="33" s="1"/>
  <c r="Q52" i="33"/>
  <c r="Q145" i="33" s="1"/>
  <c r="Q22" i="33"/>
  <c r="H115" i="33"/>
  <c r="I86" i="33" s="1"/>
  <c r="I121" i="33" s="1"/>
  <c r="I37" i="33" s="1"/>
  <c r="H39" i="33"/>
  <c r="H114" i="33" s="1"/>
  <c r="Q76" i="33"/>
  <c r="Q78" i="33" s="1"/>
  <c r="R74" i="33"/>
  <c r="H210" i="33"/>
  <c r="H225" i="33" s="1"/>
  <c r="M161" i="33"/>
  <c r="M125" i="33"/>
  <c r="M31" i="33"/>
  <c r="M33" i="33" s="1"/>
  <c r="M206" i="33"/>
  <c r="M222" i="33" s="1"/>
  <c r="R168" i="33"/>
  <c r="R88" i="33"/>
  <c r="R6" i="33"/>
  <c r="R48" i="33"/>
  <c r="R128" i="33"/>
  <c r="F306" i="32"/>
  <c r="Q243" i="32"/>
  <c r="P166" i="32"/>
  <c r="Q224" i="32"/>
  <c r="O200" i="32"/>
  <c r="P139" i="32"/>
  <c r="N95" i="32"/>
  <c r="N52" i="32"/>
  <c r="R8" i="32"/>
  <c r="L216" i="33" l="1"/>
  <c r="L219" i="33" s="1"/>
  <c r="Q156" i="33"/>
  <c r="T60" i="33"/>
  <c r="T14" i="33"/>
  <c r="G173" i="33"/>
  <c r="G191" i="33"/>
  <c r="N206" i="33"/>
  <c r="N222" i="33" s="1"/>
  <c r="S128" i="33"/>
  <c r="S168" i="33"/>
  <c r="S88" i="33"/>
  <c r="S6" i="33"/>
  <c r="S48" i="33"/>
  <c r="F307" i="32"/>
  <c r="Q166" i="32"/>
  <c r="R224" i="32"/>
  <c r="P200" i="32"/>
  <c r="R243" i="32"/>
  <c r="Q139" i="32"/>
  <c r="O52" i="32"/>
  <c r="S8" i="32"/>
  <c r="O95" i="32"/>
  <c r="F227" i="33"/>
  <c r="F224" i="33"/>
  <c r="Q239" i="33"/>
  <c r="J187" i="33"/>
  <c r="J197" i="33" s="1"/>
  <c r="J194" i="33"/>
  <c r="J141" i="33"/>
  <c r="J159" i="33" s="1"/>
  <c r="J160" i="33" s="1"/>
  <c r="K187" i="33"/>
  <c r="K197" i="33" s="1"/>
  <c r="K141" i="33"/>
  <c r="K159" i="33" s="1"/>
  <c r="S20" i="33"/>
  <c r="N310" i="33"/>
  <c r="K216" i="33"/>
  <c r="K219" i="33" s="1"/>
  <c r="P156" i="33"/>
  <c r="P112" i="33"/>
  <c r="O318" i="33"/>
  <c r="P320" i="33"/>
  <c r="M34" i="33"/>
  <c r="M36" i="33"/>
  <c r="S103" i="33"/>
  <c r="H57" i="33"/>
  <c r="I50" i="33"/>
  <c r="I210" i="33"/>
  <c r="I225" i="33" s="1"/>
  <c r="N161" i="33"/>
  <c r="N125" i="33"/>
  <c r="N31" i="33"/>
  <c r="R68" i="33"/>
  <c r="R70" i="33" s="1"/>
  <c r="R176" i="33" s="1"/>
  <c r="S59" i="33"/>
  <c r="J196" i="33"/>
  <c r="G208" i="33"/>
  <c r="G211" i="33" s="1"/>
  <c r="G220" i="33" s="1"/>
  <c r="L185" i="33"/>
  <c r="L186" i="33"/>
  <c r="L138" i="33"/>
  <c r="K157" i="33"/>
  <c r="Q184" i="33"/>
  <c r="Q195" i="33" s="1"/>
  <c r="Q171" i="33"/>
  <c r="O106" i="33"/>
  <c r="P102" i="33"/>
  <c r="O27" i="33"/>
  <c r="P239" i="33"/>
  <c r="E224" i="33"/>
  <c r="E227" i="33"/>
  <c r="I115" i="33"/>
  <c r="J86" i="33" s="1"/>
  <c r="J121" i="33" s="1"/>
  <c r="J37" i="33" s="1"/>
  <c r="I39" i="33"/>
  <c r="K196" i="33"/>
  <c r="S74" i="33"/>
  <c r="R76" i="33"/>
  <c r="R78" i="33" s="1"/>
  <c r="I114" i="33"/>
  <c r="H118" i="33"/>
  <c r="G246" i="33"/>
  <c r="N178" i="33"/>
  <c r="N110" i="33"/>
  <c r="R90" i="33"/>
  <c r="R99" i="33" s="1"/>
  <c r="R52" i="33"/>
  <c r="R22" i="33"/>
  <c r="J115" i="33" l="1"/>
  <c r="K86" i="33" s="1"/>
  <c r="K121" i="33" s="1"/>
  <c r="K37" i="33" s="1"/>
  <c r="J39" i="33"/>
  <c r="S145" i="33"/>
  <c r="P318" i="33"/>
  <c r="Q320" i="33"/>
  <c r="R145" i="33"/>
  <c r="O206" i="33"/>
  <c r="O222" i="33" s="1"/>
  <c r="T168" i="33"/>
  <c r="T128" i="33"/>
  <c r="T6" i="33"/>
  <c r="T48" i="33"/>
  <c r="S243" i="32"/>
  <c r="T88" i="33"/>
  <c r="F308" i="32"/>
  <c r="R139" i="32"/>
  <c r="S224" i="32"/>
  <c r="Q200" i="32"/>
  <c r="P52" i="32"/>
  <c r="T8" i="32"/>
  <c r="R166" i="32"/>
  <c r="P95" i="32"/>
  <c r="K194" i="33"/>
  <c r="R184" i="33"/>
  <c r="R195" i="33" s="1"/>
  <c r="R171" i="33"/>
  <c r="Q102" i="33"/>
  <c r="P106" i="33"/>
  <c r="P27" i="33"/>
  <c r="I57" i="33"/>
  <c r="J50" i="33"/>
  <c r="T20" i="33"/>
  <c r="O310" i="33"/>
  <c r="H208" i="33"/>
  <c r="H211" i="33" s="1"/>
  <c r="H220" i="33" s="1"/>
  <c r="M185" i="33"/>
  <c r="M138" i="33"/>
  <c r="M186" i="33"/>
  <c r="L157" i="33"/>
  <c r="H170" i="33"/>
  <c r="H80" i="33"/>
  <c r="K160" i="33"/>
  <c r="U60" i="33"/>
  <c r="U14" i="33"/>
  <c r="G227" i="33"/>
  <c r="G224" i="33"/>
  <c r="R239" i="33"/>
  <c r="H180" i="33"/>
  <c r="H192" i="33" s="1"/>
  <c r="H120" i="33"/>
  <c r="S90" i="33"/>
  <c r="S99" i="33" s="1"/>
  <c r="S52" i="33"/>
  <c r="S22" i="33"/>
  <c r="Q112" i="33"/>
  <c r="O178" i="33"/>
  <c r="O110" i="33"/>
  <c r="L187" i="33"/>
  <c r="L197" i="33" s="1"/>
  <c r="L194" i="33"/>
  <c r="L141" i="33"/>
  <c r="L159" i="33" s="1"/>
  <c r="N33" i="33"/>
  <c r="J114" i="33"/>
  <c r="I118" i="33"/>
  <c r="O161" i="33"/>
  <c r="J210" i="33"/>
  <c r="J225" i="33" s="1"/>
  <c r="O125" i="33"/>
  <c r="O31" i="33"/>
  <c r="O33" i="33" s="1"/>
  <c r="S76" i="33"/>
  <c r="S78" i="33" s="1"/>
  <c r="T74" i="33"/>
  <c r="T59" i="33"/>
  <c r="S68" i="33"/>
  <c r="S70" i="33" s="1"/>
  <c r="S176" i="33" s="1"/>
  <c r="L196" i="33"/>
  <c r="T103" i="33"/>
  <c r="N216" i="33" l="1"/>
  <c r="N219" i="33" s="1"/>
  <c r="S156" i="33"/>
  <c r="I180" i="33"/>
  <c r="I192" i="33" s="1"/>
  <c r="I120" i="33"/>
  <c r="T68" i="33"/>
  <c r="T70" i="33" s="1"/>
  <c r="T176" i="33" s="1"/>
  <c r="U59" i="33"/>
  <c r="V60" i="33"/>
  <c r="V14" i="33"/>
  <c r="M187" i="33"/>
  <c r="M197" i="33" s="1"/>
  <c r="M141" i="33"/>
  <c r="M159" i="33" s="1"/>
  <c r="P178" i="33"/>
  <c r="P110" i="33"/>
  <c r="P206" i="33"/>
  <c r="P222" i="33" s="1"/>
  <c r="U168" i="33"/>
  <c r="U128" i="33"/>
  <c r="U88" i="33"/>
  <c r="U6" i="33"/>
  <c r="U48" i="33"/>
  <c r="T243" i="32"/>
  <c r="S139" i="32"/>
  <c r="Q52" i="32"/>
  <c r="T224" i="32"/>
  <c r="R200" i="32"/>
  <c r="Q95" i="32"/>
  <c r="U8" i="32"/>
  <c r="F309" i="32"/>
  <c r="S166" i="32"/>
  <c r="S184" i="33"/>
  <c r="S195" i="33" s="1"/>
  <c r="S171" i="33"/>
  <c r="N36" i="33"/>
  <c r="N34" i="33"/>
  <c r="U20" i="33"/>
  <c r="P310" i="33"/>
  <c r="Q106" i="33"/>
  <c r="R102" i="33"/>
  <c r="Q27" i="33"/>
  <c r="S239" i="33"/>
  <c r="H224" i="33"/>
  <c r="H227" i="33"/>
  <c r="M216" i="33"/>
  <c r="M219" i="33" s="1"/>
  <c r="R156" i="33"/>
  <c r="T90" i="33"/>
  <c r="T99" i="33" s="1"/>
  <c r="T52" i="33"/>
  <c r="T145" i="33" s="1"/>
  <c r="T22" i="33"/>
  <c r="J57" i="33"/>
  <c r="K50" i="33"/>
  <c r="I80" i="33"/>
  <c r="I170" i="33"/>
  <c r="P161" i="33"/>
  <c r="K210" i="33"/>
  <c r="K225" i="33" s="1"/>
  <c r="P31" i="33"/>
  <c r="P33" i="33" s="1"/>
  <c r="P125" i="33"/>
  <c r="U103" i="33"/>
  <c r="J118" i="33"/>
  <c r="U74" i="33"/>
  <c r="T76" i="33"/>
  <c r="T78" i="33" s="1"/>
  <c r="L160" i="33"/>
  <c r="M160" i="33" s="1"/>
  <c r="M196" i="33"/>
  <c r="O34" i="33"/>
  <c r="O36" i="33" s="1"/>
  <c r="R112" i="33"/>
  <c r="H173" i="33"/>
  <c r="H191" i="33"/>
  <c r="Q318" i="33"/>
  <c r="R320" i="33"/>
  <c r="K115" i="33"/>
  <c r="L86" i="33" s="1"/>
  <c r="L121" i="33" s="1"/>
  <c r="L37" i="33" s="1"/>
  <c r="K39" i="33"/>
  <c r="K114" i="33" s="1"/>
  <c r="O186" i="33" l="1"/>
  <c r="O185" i="33"/>
  <c r="J208" i="33"/>
  <c r="J211" i="33" s="1"/>
  <c r="J220" i="33" s="1"/>
  <c r="O138" i="33"/>
  <c r="N157" i="33"/>
  <c r="O216" i="33"/>
  <c r="O219" i="33" s="1"/>
  <c r="T156" i="33"/>
  <c r="K118" i="33"/>
  <c r="L210" i="33"/>
  <c r="D289" i="33"/>
  <c r="Q161" i="33"/>
  <c r="Q31" i="33"/>
  <c r="Q125" i="33"/>
  <c r="P34" i="33"/>
  <c r="P36" i="33" s="1"/>
  <c r="L115" i="33"/>
  <c r="M86" i="33" s="1"/>
  <c r="M121" i="33" s="1"/>
  <c r="M37" i="33" s="1"/>
  <c r="L39" i="33"/>
  <c r="L114" i="33" s="1"/>
  <c r="R318" i="33"/>
  <c r="F311" i="32" s="1"/>
  <c r="S320" i="33"/>
  <c r="J180" i="33"/>
  <c r="J192" i="33" s="1"/>
  <c r="J120" i="33"/>
  <c r="I173" i="33"/>
  <c r="I191" i="33"/>
  <c r="R106" i="33"/>
  <c r="S102" i="33"/>
  <c r="R27" i="33"/>
  <c r="S112" i="33"/>
  <c r="V74" i="33"/>
  <c r="V76" i="33" s="1"/>
  <c r="V78" i="33" s="1"/>
  <c r="U76" i="33"/>
  <c r="U78" i="33" s="1"/>
  <c r="Q206" i="33"/>
  <c r="Q222" i="33" s="1"/>
  <c r="V168" i="33"/>
  <c r="V128" i="33"/>
  <c r="V88" i="33"/>
  <c r="V48" i="33"/>
  <c r="V6" i="33"/>
  <c r="F310" i="32"/>
  <c r="T166" i="32"/>
  <c r="U224" i="32"/>
  <c r="S200" i="32"/>
  <c r="U243" i="32"/>
  <c r="T139" i="32"/>
  <c r="R52" i="32"/>
  <c r="V8" i="32"/>
  <c r="R95" i="32"/>
  <c r="U90" i="33"/>
  <c r="U99" i="33" s="1"/>
  <c r="U52" i="33"/>
  <c r="U22" i="33"/>
  <c r="T171" i="33"/>
  <c r="K57" i="33"/>
  <c r="L50" i="33"/>
  <c r="U68" i="33"/>
  <c r="U70" i="33" s="1"/>
  <c r="U176" i="33" s="1"/>
  <c r="V59" i="33"/>
  <c r="V68" i="33" s="1"/>
  <c r="V70" i="33" s="1"/>
  <c r="V176" i="33" s="1"/>
  <c r="T184" i="33"/>
  <c r="T195" i="33" s="1"/>
  <c r="I208" i="33"/>
  <c r="I211" i="33" s="1"/>
  <c r="I220" i="33" s="1"/>
  <c r="N185" i="33"/>
  <c r="N186" i="33"/>
  <c r="N138" i="33"/>
  <c r="M157" i="33"/>
  <c r="U145" i="33"/>
  <c r="Q178" i="33"/>
  <c r="Q110" i="33"/>
  <c r="M194" i="33"/>
  <c r="V20" i="33"/>
  <c r="Q310" i="33"/>
  <c r="U310" i="33"/>
  <c r="R310" i="33"/>
  <c r="T310" i="33"/>
  <c r="S310" i="33"/>
  <c r="V103" i="33"/>
  <c r="J80" i="33"/>
  <c r="J170" i="33"/>
  <c r="P186" i="33" l="1"/>
  <c r="P185" i="33"/>
  <c r="K208" i="33"/>
  <c r="K211" i="33" s="1"/>
  <c r="K220" i="33" s="1"/>
  <c r="P138" i="33"/>
  <c r="O157" i="33"/>
  <c r="M114" i="33"/>
  <c r="L118" i="33"/>
  <c r="M50" i="33"/>
  <c r="L57" i="33"/>
  <c r="T112" i="33"/>
  <c r="S318" i="33"/>
  <c r="T320" i="33"/>
  <c r="O187" i="33"/>
  <c r="O197" i="33" s="1"/>
  <c r="O194" i="33"/>
  <c r="O141" i="33"/>
  <c r="O159" i="33" s="1"/>
  <c r="T102" i="33"/>
  <c r="S106" i="33"/>
  <c r="S27" i="33"/>
  <c r="U210" i="33"/>
  <c r="T210" i="33"/>
  <c r="S210" i="33"/>
  <c r="R210" i="33"/>
  <c r="L225" i="33"/>
  <c r="V210" i="33"/>
  <c r="U239" i="33"/>
  <c r="J224" i="33"/>
  <c r="J227" i="33"/>
  <c r="N86" i="33"/>
  <c r="N121" i="33" s="1"/>
  <c r="N37" i="33" s="1"/>
  <c r="N196" i="33"/>
  <c r="I227" i="33"/>
  <c r="T239" i="33"/>
  <c r="I224" i="33"/>
  <c r="O232" i="33"/>
  <c r="O230" i="33"/>
  <c r="P216" i="33"/>
  <c r="P219" i="33" s="1"/>
  <c r="U156" i="33"/>
  <c r="M210" i="33"/>
  <c r="M225" i="33" s="1"/>
  <c r="R161" i="33"/>
  <c r="R31" i="33"/>
  <c r="R33" i="33" s="1"/>
  <c r="R125" i="33"/>
  <c r="U184" i="33"/>
  <c r="U195" i="33" s="1"/>
  <c r="R178" i="33"/>
  <c r="R110" i="33"/>
  <c r="M115" i="33"/>
  <c r="M39" i="33"/>
  <c r="K180" i="33"/>
  <c r="K192" i="33" s="1"/>
  <c r="K120" i="33"/>
  <c r="O196" i="33"/>
  <c r="K170" i="33"/>
  <c r="K80" i="33"/>
  <c r="G248" i="33"/>
  <c r="G249" i="33" s="1"/>
  <c r="G250" i="33" s="1"/>
  <c r="Q33" i="33"/>
  <c r="G258" i="33"/>
  <c r="G260" i="33" s="1"/>
  <c r="J173" i="33"/>
  <c r="J191" i="33"/>
  <c r="N187" i="33"/>
  <c r="N197" i="33" s="1"/>
  <c r="N194" i="33"/>
  <c r="N141" i="33"/>
  <c r="N159" i="33" s="1"/>
  <c r="N160" i="33" s="1"/>
  <c r="O160" i="33" s="1"/>
  <c r="V90" i="33"/>
  <c r="V99" i="33" s="1"/>
  <c r="V52" i="33"/>
  <c r="V145" i="33" s="1"/>
  <c r="V22" i="33"/>
  <c r="U171" i="33"/>
  <c r="Q216" i="33" l="1"/>
  <c r="Q219" i="33" s="1"/>
  <c r="V156" i="33"/>
  <c r="G261" i="33"/>
  <c r="E273" i="33"/>
  <c r="D272" i="33"/>
  <c r="D271" i="33"/>
  <c r="E274" i="33"/>
  <c r="L180" i="33"/>
  <c r="L192" i="33" s="1"/>
  <c r="L120" i="33"/>
  <c r="V171" i="33"/>
  <c r="R34" i="33"/>
  <c r="R36" i="33" s="1"/>
  <c r="N210" i="33"/>
  <c r="N225" i="33" s="1"/>
  <c r="S161" i="33"/>
  <c r="S31" i="33"/>
  <c r="S33" i="33" s="1"/>
  <c r="S125" i="33"/>
  <c r="T318" i="33"/>
  <c r="U320" i="33"/>
  <c r="N115" i="33"/>
  <c r="O86" i="33" s="1"/>
  <c r="O121" i="33" s="1"/>
  <c r="O37" i="33" s="1"/>
  <c r="N39" i="33"/>
  <c r="N114" i="33" s="1"/>
  <c r="P194" i="33"/>
  <c r="P187" i="33"/>
  <c r="P197" i="33" s="1"/>
  <c r="P141" i="33"/>
  <c r="P159" i="33" s="1"/>
  <c r="P160" i="33" s="1"/>
  <c r="M118" i="33"/>
  <c r="S178" i="33"/>
  <c r="S110" i="33"/>
  <c r="K173" i="33"/>
  <c r="K191" i="33"/>
  <c r="U112" i="33"/>
  <c r="K224" i="33"/>
  <c r="V239" i="33"/>
  <c r="K227" i="33"/>
  <c r="O231" i="33"/>
  <c r="V184" i="33"/>
  <c r="V195" i="33" s="1"/>
  <c r="F312" i="32"/>
  <c r="X8" i="32"/>
  <c r="L170" i="33"/>
  <c r="L80" i="33"/>
  <c r="P196" i="33"/>
  <c r="D290" i="33"/>
  <c r="D294" i="33" s="1"/>
  <c r="Q34" i="33"/>
  <c r="Q36" i="33"/>
  <c r="U102" i="33"/>
  <c r="T106" i="33"/>
  <c r="T27" i="33"/>
  <c r="Q233" i="33"/>
  <c r="Q232" i="33"/>
  <c r="O233" i="33"/>
  <c r="N50" i="33"/>
  <c r="M57" i="33"/>
  <c r="N118" i="33" l="1"/>
  <c r="M208" i="33"/>
  <c r="M211" i="33" s="1"/>
  <c r="M220" i="33" s="1"/>
  <c r="R186" i="33"/>
  <c r="R138" i="33"/>
  <c r="R185" i="33"/>
  <c r="Q157" i="33"/>
  <c r="T161" i="33"/>
  <c r="O210" i="33"/>
  <c r="O225" i="33" s="1"/>
  <c r="T31" i="33"/>
  <c r="T33" i="33" s="1"/>
  <c r="T125" i="33"/>
  <c r="S34" i="33"/>
  <c r="S36" i="33" s="1"/>
  <c r="T178" i="33"/>
  <c r="T110" i="33"/>
  <c r="V102" i="33"/>
  <c r="U106" i="33"/>
  <c r="U27" i="33"/>
  <c r="O115" i="33"/>
  <c r="P86" i="33" s="1"/>
  <c r="P121" i="33" s="1"/>
  <c r="P37" i="33" s="1"/>
  <c r="O39" i="33"/>
  <c r="O114" i="33" s="1"/>
  <c r="M170" i="33"/>
  <c r="M80" i="33"/>
  <c r="Q186" i="33"/>
  <c r="L208" i="33"/>
  <c r="Q185" i="33"/>
  <c r="Q138" i="33"/>
  <c r="P157" i="33"/>
  <c r="O50" i="33"/>
  <c r="N57" i="33"/>
  <c r="Q230" i="33"/>
  <c r="Q231" i="33"/>
  <c r="V320" i="33"/>
  <c r="U318" i="33"/>
  <c r="F314" i="32" s="1"/>
  <c r="D296" i="33"/>
  <c r="D297" i="33"/>
  <c r="F313" i="32"/>
  <c r="Y8" i="32"/>
  <c r="V112" i="33"/>
  <c r="L173" i="33"/>
  <c r="L191" i="33"/>
  <c r="M180" i="33"/>
  <c r="M192" i="33" s="1"/>
  <c r="M120" i="33"/>
  <c r="N208" i="33" l="1"/>
  <c r="N211" i="33" s="1"/>
  <c r="N220" i="33" s="1"/>
  <c r="S185" i="33"/>
  <c r="S138" i="33"/>
  <c r="S186" i="33"/>
  <c r="R157" i="33"/>
  <c r="O118" i="33"/>
  <c r="P50" i="33"/>
  <c r="O57" i="33"/>
  <c r="M173" i="33"/>
  <c r="M191" i="33"/>
  <c r="R196" i="33"/>
  <c r="M227" i="33"/>
  <c r="M224" i="33"/>
  <c r="P210" i="33"/>
  <c r="P225" i="33" s="1"/>
  <c r="U161" i="33"/>
  <c r="U31" i="33"/>
  <c r="U33" i="33" s="1"/>
  <c r="U125" i="33"/>
  <c r="Q196" i="33"/>
  <c r="V208" i="33"/>
  <c r="V211" i="33" s="1"/>
  <c r="V220" i="33" s="1"/>
  <c r="V227" i="33" s="1"/>
  <c r="S208" i="33"/>
  <c r="S211" i="33" s="1"/>
  <c r="S220" i="33" s="1"/>
  <c r="S227" i="33" s="1"/>
  <c r="L211" i="33"/>
  <c r="L220" i="33" s="1"/>
  <c r="U208" i="33"/>
  <c r="U211" i="33" s="1"/>
  <c r="U220" i="33" s="1"/>
  <c r="T208" i="33"/>
  <c r="T211" i="33" s="1"/>
  <c r="T220" i="33" s="1"/>
  <c r="T227" i="33" s="1"/>
  <c r="N180" i="33"/>
  <c r="N192" i="33" s="1"/>
  <c r="N120" i="33"/>
  <c r="P115" i="33"/>
  <c r="Q86" i="33" s="1"/>
  <c r="Q121" i="33" s="1"/>
  <c r="Q37" i="33" s="1"/>
  <c r="P39" i="33"/>
  <c r="P114" i="33" s="1"/>
  <c r="R194" i="33"/>
  <c r="R187" i="33"/>
  <c r="R197" i="33" s="1"/>
  <c r="R141" i="33"/>
  <c r="R159" i="33" s="1"/>
  <c r="Q187" i="33"/>
  <c r="Q197" i="33" s="1"/>
  <c r="Q194" i="33"/>
  <c r="Q141" i="33"/>
  <c r="Q159" i="33" s="1"/>
  <c r="Q160" i="33" s="1"/>
  <c r="R160" i="33" s="1"/>
  <c r="W320" i="33"/>
  <c r="W318" i="33" s="1"/>
  <c r="F316" i="32" s="1"/>
  <c r="V318" i="33"/>
  <c r="F315" i="32" s="1"/>
  <c r="U178" i="33"/>
  <c r="U110" i="33"/>
  <c r="V106" i="33"/>
  <c r="V27" i="33"/>
  <c r="T34" i="33"/>
  <c r="T36" i="33"/>
  <c r="N170" i="33"/>
  <c r="N80" i="33"/>
  <c r="P118" i="33" l="1"/>
  <c r="Q115" i="33"/>
  <c r="R86" i="33" s="1"/>
  <c r="R121" i="33" s="1"/>
  <c r="R37" i="33" s="1"/>
  <c r="Q39" i="33"/>
  <c r="Q114" i="33" s="1"/>
  <c r="O208" i="33"/>
  <c r="O211" i="33" s="1"/>
  <c r="O220" i="33" s="1"/>
  <c r="T185" i="33"/>
  <c r="T186" i="33"/>
  <c r="T138" i="33"/>
  <c r="S157" i="33"/>
  <c r="N173" i="33"/>
  <c r="N191" i="33"/>
  <c r="S160" i="33"/>
  <c r="Q210" i="33"/>
  <c r="Q225" i="33" s="1"/>
  <c r="V161" i="33"/>
  <c r="V31" i="33"/>
  <c r="V33" i="33" s="1"/>
  <c r="V125" i="33"/>
  <c r="O180" i="33"/>
  <c r="O192" i="33" s="1"/>
  <c r="O120" i="33"/>
  <c r="V178" i="33"/>
  <c r="V110" i="33"/>
  <c r="U34" i="33"/>
  <c r="U36" i="33"/>
  <c r="S187" i="33"/>
  <c r="S197" i="33" s="1"/>
  <c r="S194" i="33"/>
  <c r="S141" i="33"/>
  <c r="S159" i="33" s="1"/>
  <c r="U227" i="33"/>
  <c r="L227" i="33"/>
  <c r="L224" i="33"/>
  <c r="O170" i="33"/>
  <c r="O80" i="33"/>
  <c r="S196" i="33"/>
  <c r="P57" i="33"/>
  <c r="Q50" i="33"/>
  <c r="N227" i="33"/>
  <c r="N224" i="33"/>
  <c r="Q118" i="33" l="1"/>
  <c r="T196" i="33"/>
  <c r="V34" i="33"/>
  <c r="V36" i="33" s="1"/>
  <c r="T160" i="33"/>
  <c r="T187" i="33"/>
  <c r="T197" i="33" s="1"/>
  <c r="T194" i="33"/>
  <c r="T141" i="33"/>
  <c r="T159" i="33" s="1"/>
  <c r="R115" i="33"/>
  <c r="S86" i="33" s="1"/>
  <c r="S121" i="33" s="1"/>
  <c r="S37" i="33" s="1"/>
  <c r="R39" i="33"/>
  <c r="R114" i="33" s="1"/>
  <c r="P180" i="33"/>
  <c r="P192" i="33" s="1"/>
  <c r="P120" i="33"/>
  <c r="Q57" i="33"/>
  <c r="R50" i="33"/>
  <c r="U185" i="33"/>
  <c r="P208" i="33"/>
  <c r="P211" i="33" s="1"/>
  <c r="P220" i="33" s="1"/>
  <c r="U138" i="33"/>
  <c r="U186" i="33"/>
  <c r="P170" i="33"/>
  <c r="P80" i="33"/>
  <c r="O227" i="33"/>
  <c r="O224" i="33"/>
  <c r="O173" i="33"/>
  <c r="O191" i="33"/>
  <c r="V185" i="33" l="1"/>
  <c r="Q208" i="33"/>
  <c r="V186" i="33"/>
  <c r="V138" i="33"/>
  <c r="S114" i="33"/>
  <c r="R118" i="33"/>
  <c r="R57" i="33"/>
  <c r="S50" i="33"/>
  <c r="Q170" i="33"/>
  <c r="Q80" i="33"/>
  <c r="P227" i="33"/>
  <c r="P224" i="33"/>
  <c r="Q180" i="33"/>
  <c r="Q192" i="33" s="1"/>
  <c r="Q120" i="33"/>
  <c r="U196" i="33"/>
  <c r="S115" i="33"/>
  <c r="T86" i="33" s="1"/>
  <c r="T121" i="33" s="1"/>
  <c r="T37" i="33" s="1"/>
  <c r="S39" i="33"/>
  <c r="P173" i="33"/>
  <c r="P191" i="33"/>
  <c r="U194" i="33"/>
  <c r="U187" i="33"/>
  <c r="U197" i="33" s="1"/>
  <c r="U141" i="33"/>
  <c r="U159" i="33" s="1"/>
  <c r="U160" i="33" s="1"/>
  <c r="V194" i="33" l="1"/>
  <c r="V187" i="33"/>
  <c r="V197" i="33" s="1"/>
  <c r="V141" i="33"/>
  <c r="V159" i="33" s="1"/>
  <c r="V160" i="33" s="1"/>
  <c r="T114" i="33"/>
  <c r="S118" i="33"/>
  <c r="T115" i="33"/>
  <c r="U86" i="33" s="1"/>
  <c r="U121" i="33" s="1"/>
  <c r="U37" i="33" s="1"/>
  <c r="T39" i="33"/>
  <c r="Q173" i="33"/>
  <c r="Q191" i="33"/>
  <c r="R208" i="33"/>
  <c r="R211" i="33" s="1"/>
  <c r="R220" i="33" s="1"/>
  <c r="R227" i="33" s="1"/>
  <c r="Q211" i="33"/>
  <c r="Q220" i="33" s="1"/>
  <c r="S57" i="33"/>
  <c r="T50" i="33"/>
  <c r="V196" i="33"/>
  <c r="R180" i="33"/>
  <c r="R192" i="33" s="1"/>
  <c r="R120" i="33"/>
  <c r="R170" i="33"/>
  <c r="R80" i="33"/>
  <c r="U115" i="33" l="1"/>
  <c r="V86" i="33" s="1"/>
  <c r="V121" i="33" s="1"/>
  <c r="V37" i="33" s="1"/>
  <c r="U39" i="33"/>
  <c r="S170" i="33"/>
  <c r="S80" i="33"/>
  <c r="U50" i="33"/>
  <c r="T57" i="33"/>
  <c r="U114" i="33"/>
  <c r="T118" i="33"/>
  <c r="R173" i="33"/>
  <c r="R191" i="33"/>
  <c r="S180" i="33"/>
  <c r="S192" i="33" s="1"/>
  <c r="S120" i="33"/>
  <c r="Q227" i="33"/>
  <c r="Q224" i="33"/>
  <c r="D231" i="33"/>
  <c r="B231" i="33"/>
  <c r="C231" i="33"/>
  <c r="T80" i="33" l="1"/>
  <c r="T170" i="33"/>
  <c r="T180" i="33"/>
  <c r="T192" i="33" s="1"/>
  <c r="T120" i="33"/>
  <c r="U118" i="33"/>
  <c r="V50" i="33"/>
  <c r="V57" i="33" s="1"/>
  <c r="U57" i="33"/>
  <c r="R228" i="33"/>
  <c r="S228" i="33" s="1"/>
  <c r="T228" i="33" s="1"/>
  <c r="U228" i="33" s="1"/>
  <c r="K231" i="33"/>
  <c r="J231" i="33"/>
  <c r="I231" i="33"/>
  <c r="S173" i="33"/>
  <c r="S191" i="33"/>
  <c r="V115" i="33"/>
  <c r="W86" i="33" s="1"/>
  <c r="V39" i="33"/>
  <c r="V114" i="33" s="1"/>
  <c r="V118" i="33" s="1"/>
  <c r="V180" i="33" l="1"/>
  <c r="V192" i="33" s="1"/>
  <c r="V120" i="33"/>
  <c r="V170" i="33"/>
  <c r="V80" i="33"/>
  <c r="U180" i="33"/>
  <c r="U192" i="33" s="1"/>
  <c r="U120" i="33"/>
  <c r="U80" i="33"/>
  <c r="U170" i="33"/>
  <c r="T173" i="33"/>
  <c r="T191" i="33"/>
  <c r="U173" i="33" l="1"/>
  <c r="U191" i="33"/>
  <c r="V173" i="33"/>
  <c r="V191" i="33"/>
</calcChain>
</file>

<file path=xl/sharedStrings.xml><?xml version="1.0" encoding="utf-8"?>
<sst xmlns="http://schemas.openxmlformats.org/spreadsheetml/2006/main" count="1545" uniqueCount="541">
  <si>
    <t>Year</t>
  </si>
  <si>
    <t>Acpay</t>
  </si>
  <si>
    <t>Std</t>
  </si>
  <si>
    <t>Accruals</t>
  </si>
  <si>
    <t>Cplsidf</t>
  </si>
  <si>
    <t>Cplbank</t>
  </si>
  <si>
    <t>Cplother</t>
  </si>
  <si>
    <t>Other1</t>
  </si>
  <si>
    <t>Other2</t>
  </si>
  <si>
    <t>Currentliab</t>
  </si>
  <si>
    <t>Ltdsidf</t>
  </si>
  <si>
    <t>Ltdbank</t>
  </si>
  <si>
    <t>Ltdother</t>
  </si>
  <si>
    <t>Totltd</t>
  </si>
  <si>
    <t>Nonsubltd</t>
  </si>
  <si>
    <t>Totliab</t>
  </si>
  <si>
    <t>Paidincap</t>
  </si>
  <si>
    <t>Suborddebt</t>
  </si>
  <si>
    <t>Retearn</t>
  </si>
  <si>
    <t>Statres</t>
  </si>
  <si>
    <t>Other3</t>
  </si>
  <si>
    <t>Totequi</t>
  </si>
  <si>
    <t>Totliabeq</t>
  </si>
  <si>
    <t>Months</t>
  </si>
  <si>
    <t>Factorycash</t>
  </si>
  <si>
    <t>Accntsrec</t>
  </si>
  <si>
    <t>Inventory</t>
  </si>
  <si>
    <t>Lcmargins</t>
  </si>
  <si>
    <t>Prepaid</t>
  </si>
  <si>
    <t>Currentassets</t>
  </si>
  <si>
    <t>Land</t>
  </si>
  <si>
    <t>Buildings</t>
  </si>
  <si>
    <t>Machinery</t>
  </si>
  <si>
    <t>Furniture</t>
  </si>
  <si>
    <t>Vehicles</t>
  </si>
  <si>
    <t>Lossprev</t>
  </si>
  <si>
    <t>Contigencies</t>
  </si>
  <si>
    <t>Totfixassets</t>
  </si>
  <si>
    <t>Accumdepre</t>
  </si>
  <si>
    <t>Netfixassets</t>
  </si>
  <si>
    <t>Otherncassets</t>
  </si>
  <si>
    <t>Sidfcharge</t>
  </si>
  <si>
    <t>Preopexp</t>
  </si>
  <si>
    <t>Totintang</t>
  </si>
  <si>
    <t>Accumamort</t>
  </si>
  <si>
    <t>Netintang</t>
  </si>
  <si>
    <t>Totassets</t>
  </si>
  <si>
    <t>Sales</t>
  </si>
  <si>
    <t>Rawmat</t>
  </si>
  <si>
    <t>Dirlab</t>
  </si>
  <si>
    <t>Utils</t>
  </si>
  <si>
    <t>Maint</t>
  </si>
  <si>
    <t>Deprec</t>
  </si>
  <si>
    <t>Amort</t>
  </si>
  <si>
    <t>Othdirexp</t>
  </si>
  <si>
    <t>Cgs</t>
  </si>
  <si>
    <t>Grossmar</t>
  </si>
  <si>
    <t>Salesad</t>
  </si>
  <si>
    <t>Salar</t>
  </si>
  <si>
    <t>Finchar</t>
  </si>
  <si>
    <t>Othexp</t>
  </si>
  <si>
    <t>Totindcost</t>
  </si>
  <si>
    <t>Pbtzak</t>
  </si>
  <si>
    <t>Taxzak</t>
  </si>
  <si>
    <t>Profit</t>
  </si>
  <si>
    <t>Divid</t>
  </si>
  <si>
    <t>Retear</t>
  </si>
  <si>
    <t>FSYEAR</t>
  </si>
  <si>
    <t xml:space="preserve">     FORECAST ASSUMPTIONS</t>
  </si>
  <si>
    <t xml:space="preserve">       Attachment  C-1</t>
  </si>
  <si>
    <t xml:space="preserve"> </t>
  </si>
  <si>
    <t>1.</t>
  </si>
  <si>
    <t>Sales Assumptions:  The following tables set out the selling price per product, raw material cost per product and quantities of the various product lines to be sold in each of the forecast years.  It further show the contributin per product (percentage o</t>
  </si>
  <si>
    <t>margine left after deducting the RM cost from the selling price).</t>
  </si>
  <si>
    <t>Product Line</t>
  </si>
  <si>
    <t>Unit</t>
  </si>
  <si>
    <t xml:space="preserve">                     SR</t>
  </si>
  <si>
    <t>Contribution</t>
  </si>
  <si>
    <t>Type</t>
  </si>
  <si>
    <t>Selling Price</t>
  </si>
  <si>
    <t>RM Cost</t>
  </si>
  <si>
    <t>Per Product</t>
  </si>
  <si>
    <t>Volume</t>
  </si>
  <si>
    <t>Total Units</t>
  </si>
  <si>
    <t>Revenues Per Products:  (SR'000)</t>
  </si>
  <si>
    <t xml:space="preserve">       Attachment  C-2</t>
  </si>
  <si>
    <t>Revnue</t>
  </si>
  <si>
    <t>Alt A</t>
  </si>
  <si>
    <t>Print Out Income Statement</t>
  </si>
  <si>
    <t>{goto}it~{goto}v6~{windowsoff}{paneloff}</t>
  </si>
  <si>
    <t>{s}pssra1..l39~qagpq</t>
  </si>
  <si>
    <t>3.</t>
  </si>
  <si>
    <t>Raw Material Cost Per product :  (SR'000)</t>
  </si>
  <si>
    <t xml:space="preserve">       Attachment  C- 3</t>
  </si>
  <si>
    <t>{if t42=1}{branch v49}</t>
  </si>
  <si>
    <t>{windowson}{panelon}{beep}{quit}</t>
  </si>
  <si>
    <t>{if t42=1}{branch v55}</t>
  </si>
  <si>
    <t xml:space="preserve">       Attachment  C- 4</t>
  </si>
  <si>
    <t>{let u130,1}{calc}</t>
  </si>
  <si>
    <t>Manning Assumptions:  The following tables set out the total manning requirements of the project broken down into years and positions.  Positions are further summed up into either salaries (indirect) and wages</t>
  </si>
  <si>
    <t>{panelon}{beep}{beep}{quit}</t>
  </si>
  <si>
    <t>(direct).  The wages and salaries shown are annual amounts.</t>
  </si>
  <si>
    <t>Indirect</t>
  </si>
  <si>
    <t>Basic Salary</t>
  </si>
  <si>
    <t>Benefit</t>
  </si>
  <si>
    <t>Positions</t>
  </si>
  <si>
    <t>in SR</t>
  </si>
  <si>
    <t>Rate</t>
  </si>
  <si>
    <t>No. of Staff</t>
  </si>
  <si>
    <t>Total</t>
  </si>
  <si>
    <t xml:space="preserve"> Annual Cost  (SR'000)</t>
  </si>
  <si>
    <t>Direct</t>
  </si>
  <si>
    <t xml:space="preserve">       Attachment  C- 5</t>
  </si>
  <si>
    <t>5.</t>
  </si>
  <si>
    <t>Utilities Assumptions:  Utilities expense is prorated based on sales and will not exceed that in the Maximum column. The capacity utilization figures are also based on sales.  The capacity percent shown in</t>
  </si>
  <si>
    <t>the Maximum column is the maximum capacity utilization achieved. All values are SR in 000's.</t>
  </si>
  <si>
    <t xml:space="preserve">    Maximum</t>
  </si>
  <si>
    <t xml:space="preserve">    Cost</t>
  </si>
  <si>
    <t>Capacity Used</t>
  </si>
  <si>
    <t>Existing FA</t>
  </si>
  <si>
    <t>Water</t>
  </si>
  <si>
    <t>Electricity</t>
  </si>
  <si>
    <t>Telephone &amp; Tlx</t>
  </si>
  <si>
    <t>Other</t>
  </si>
  <si>
    <t>Loss Prevention</t>
  </si>
  <si>
    <t>SIDF Charge</t>
  </si>
  <si>
    <t>Total (000's)</t>
  </si>
  <si>
    <t>Preop. Exp.</t>
  </si>
  <si>
    <t>6.</t>
  </si>
  <si>
    <t>Capital Expenditure, Depreciation, Amortization and Maintenance Assumptions:</t>
  </si>
  <si>
    <t xml:space="preserve">       Attachment  C- 6</t>
  </si>
  <si>
    <t>The following table sets out the Capital Expenditures plus the depreciation, amortization and maintenance rates used for the entire forecast.</t>
  </si>
  <si>
    <t>Contingencies</t>
  </si>
  <si>
    <t>SIDF Evaluation charge</t>
  </si>
  <si>
    <t>Dep.&amp;Amor.</t>
  </si>
  <si>
    <t>Maintenance</t>
  </si>
  <si>
    <t>Capital Cost  (SR'000)</t>
  </si>
  <si>
    <t>Rates</t>
  </si>
  <si>
    <t>Fixed Assets:</t>
  </si>
  <si>
    <t>N/A</t>
  </si>
  <si>
    <t>Total Fixed Assets</t>
  </si>
  <si>
    <t>Intangible Assets:</t>
  </si>
  <si>
    <t>%</t>
  </si>
  <si>
    <t>NA</t>
  </si>
  <si>
    <t>Pre-operating Cost</t>
  </si>
  <si>
    <t>Total Intangible Assets</t>
  </si>
  <si>
    <t>Grand Total</t>
  </si>
  <si>
    <t xml:space="preserve">Depreciation &amp; Amortization calculation include those for </t>
  </si>
  <si>
    <t>Depreciation  &amp; Amortization  (SR'000)</t>
  </si>
  <si>
    <t>the existing fixed and intangible assets.</t>
  </si>
  <si>
    <t xml:space="preserve">       Attachment  C- 7</t>
  </si>
  <si>
    <t>7.</t>
  </si>
  <si>
    <t>Selling, General and Admin. Expense Assumptions:  These are set to a</t>
  </si>
  <si>
    <t>percentage of sales but will not fall below the minimum amount set.</t>
  </si>
  <si>
    <t>Minimum (SR in 000s)</t>
  </si>
  <si>
    <t>Percent of Sales</t>
  </si>
  <si>
    <t>8.</t>
  </si>
  <si>
    <t>Finance Charge Assumptions:  Below are the assumed interest rates plus</t>
  </si>
  <si>
    <t>an estimate of SIDF follow up charges.</t>
  </si>
  <si>
    <t xml:space="preserve">     Annual</t>
  </si>
  <si>
    <t xml:space="preserve">     Charge</t>
  </si>
  <si>
    <t>SIDF FUF (SR in 000s)</t>
  </si>
  <si>
    <t>STD</t>
  </si>
  <si>
    <t>Bank Term Loan</t>
  </si>
  <si>
    <t>Other Term Loan</t>
  </si>
  <si>
    <t>9.</t>
  </si>
  <si>
    <t>Balance Sheet Assumptions:  The levels of the following balance sheet</t>
  </si>
  <si>
    <t>items are set as a function of the indicated income statement items.</t>
  </si>
  <si>
    <t xml:space="preserve">                      Number Of Days</t>
  </si>
  <si>
    <t xml:space="preserve">                 Days Of</t>
  </si>
  <si>
    <t>Receivables</t>
  </si>
  <si>
    <t xml:space="preserve">  Sales</t>
  </si>
  <si>
    <t>L/C Margins</t>
  </si>
  <si>
    <t xml:space="preserve">  Raw Materials</t>
  </si>
  <si>
    <t xml:space="preserve">  COGS Less Non Cash Chgs.</t>
  </si>
  <si>
    <t>Payables</t>
  </si>
  <si>
    <t>10.</t>
  </si>
  <si>
    <t>Term Loan Repayment Assumptions:  The SIDF and Bank term loans are</t>
  </si>
  <si>
    <t xml:space="preserve">       Attachment  C- 8</t>
  </si>
  <si>
    <t>assumed to have the following maturity schedules.  The Other term loan</t>
  </si>
  <si>
    <t>is not to be repaid according to a fixed schedule (SR in 000s).</t>
  </si>
  <si>
    <t>Period</t>
  </si>
  <si>
    <t>SIDF</t>
  </si>
  <si>
    <t>Bank</t>
  </si>
  <si>
    <t>Total A</t>
  </si>
  <si>
    <t xml:space="preserve">Total(A+B)       </t>
  </si>
  <si>
    <t>Total B</t>
  </si>
  <si>
    <t>11.</t>
  </si>
  <si>
    <t>Existing Fixed and Intangible Asset Assumptions: The following fixed and intangible assets</t>
  </si>
  <si>
    <t>no expenditures in that year.  Depreciation, amortization and maintenance rates are the</t>
  </si>
  <si>
    <t>the same as those is Assumptions #9 and #10.</t>
  </si>
  <si>
    <t>Capital</t>
  </si>
  <si>
    <t>Accumulate</t>
  </si>
  <si>
    <t>Cost</t>
  </si>
  <si>
    <t>Depn.</t>
  </si>
  <si>
    <t>Mtce.</t>
  </si>
  <si>
    <t xml:space="preserve">     Total Fixed Assets</t>
  </si>
  <si>
    <t>Preoperating Exp.</t>
  </si>
  <si>
    <t xml:space="preserve">  </t>
  </si>
  <si>
    <t xml:space="preserve">    Total Intangible Assets</t>
  </si>
  <si>
    <t xml:space="preserve">       Attachment  C- 9</t>
  </si>
  <si>
    <t>12.</t>
  </si>
  <si>
    <t>Internal Rate of Return Assumptions:  To maintain consistency with both new projects and expansions</t>
  </si>
  <si>
    <t>the entire cash flow stream is utilized in calculating the internal rate of return.  Similarly, all the relevent</t>
  </si>
  <si>
    <t>cash uses are used - in the case of expansions the fixed and intangible assets from the opening balance sheet</t>
  </si>
  <si>
    <t>are included at their net book values.  There is the ability to select what treatment is desired for Other</t>
  </si>
  <si>
    <t>Assets and Liabilites and the options are listed below.  Note that only one option can have a "Y" (Yes) and</t>
  </si>
  <si>
    <t xml:space="preserve">and that the remaining three must have an "N" (No) selected.  </t>
  </si>
  <si>
    <t xml:space="preserve">  Optionally Included in Cash Uses</t>
  </si>
  <si>
    <t xml:space="preserve">        Y or N</t>
  </si>
  <si>
    <t>13.</t>
  </si>
  <si>
    <t>Value Added &amp; Capital Investment Assumptions:  The investment in fixed and intangible assets includes</t>
  </si>
  <si>
    <t>pre-existing assets at their net book value.  Expansion assets are those in Assumptions #6 and #7 and are</t>
  </si>
  <si>
    <t>included at their gross value.  The Year for the value added calculation is the one shown below.</t>
  </si>
  <si>
    <t>ulation is the one shown below.</t>
  </si>
  <si>
    <t>Number</t>
  </si>
  <si>
    <t>Value Added Year</t>
  </si>
  <si>
    <t>14.</t>
  </si>
  <si>
    <t>Sensitivity Analysis Assumptions:  The time period to be used for the debt service breakeven calculation is</t>
  </si>
  <si>
    <t>the one in the following table.  The final year is also the one used to calculate the volume breakeven.</t>
  </si>
  <si>
    <t>Starting at Year</t>
  </si>
  <si>
    <t>Ending at Year</t>
  </si>
  <si>
    <t>19.</t>
  </si>
  <si>
    <t>Opening Balance Sheet Assumptions:  The following plus those entered</t>
  </si>
  <si>
    <t>under the heading "Existing Fixed and Intangible Assets Assumptions"</t>
  </si>
  <si>
    <t>assets are echoed here to insure the assets and liabilities balance.</t>
  </si>
  <si>
    <t>(SR in 000)</t>
  </si>
  <si>
    <t>Cash</t>
  </si>
  <si>
    <t>Accounts Receivable</t>
  </si>
  <si>
    <t>Current Assets</t>
  </si>
  <si>
    <t>Net Fixed Assets</t>
  </si>
  <si>
    <t>Other Assets</t>
  </si>
  <si>
    <t>Net Intangible Assets</t>
  </si>
  <si>
    <t>Total Assets</t>
  </si>
  <si>
    <t>Liabilities</t>
  </si>
  <si>
    <t>Bank Overdraft</t>
  </si>
  <si>
    <t>Accounts Payable</t>
  </si>
  <si>
    <t>CPLTD - SIDF</t>
  </si>
  <si>
    <t xml:space="preserve">      - Bank</t>
  </si>
  <si>
    <t>Current Liabilities</t>
  </si>
  <si>
    <t>Long Term Debt</t>
  </si>
  <si>
    <t>Other Liabilities</t>
  </si>
  <si>
    <t>Total Liabilities</t>
  </si>
  <si>
    <t>Paid in Capital</t>
  </si>
  <si>
    <t>Subordinated Debt</t>
  </si>
  <si>
    <t>Retained Earnings</t>
  </si>
  <si>
    <t>Total Equity</t>
  </si>
  <si>
    <t>Total Liab &amp; Equity</t>
  </si>
  <si>
    <t xml:space="preserve">     Income Statement</t>
  </si>
  <si>
    <t xml:space="preserve">   Attachment B-1</t>
  </si>
  <si>
    <t>(SR in 000s)</t>
  </si>
  <si>
    <t xml:space="preserve">                HISTORICAL</t>
  </si>
  <si>
    <t xml:space="preserve">              PROJECTIONS</t>
  </si>
  <si>
    <t xml:space="preserve">     </t>
  </si>
  <si>
    <t>Cost of Goods Sold:</t>
  </si>
  <si>
    <t>Raw Materials</t>
  </si>
  <si>
    <t>Labour</t>
  </si>
  <si>
    <t>Utilities</t>
  </si>
  <si>
    <t>Depreciation</t>
  </si>
  <si>
    <t>Amortization</t>
  </si>
  <si>
    <t>Total of CGS</t>
  </si>
  <si>
    <t>Gross Margin</t>
  </si>
  <si>
    <t>Indirect Costs:</t>
  </si>
  <si>
    <t>Sales, Gen. &amp; Admin.</t>
  </si>
  <si>
    <t>Salaries</t>
  </si>
  <si>
    <t>Finance Charges</t>
  </si>
  <si>
    <t>Other Exp. (Income)</t>
  </si>
  <si>
    <t>Total Indirect Cost</t>
  </si>
  <si>
    <t>Profit Before Zakat</t>
  </si>
  <si>
    <t>Zakat</t>
  </si>
  <si>
    <t>Profit After Zakat</t>
  </si>
  <si>
    <t>Satutory Reserve</t>
  </si>
  <si>
    <t>Dividends</t>
  </si>
  <si>
    <t>Balance Sheet- Assets</t>
  </si>
  <si>
    <t xml:space="preserve">   Attachment B-2</t>
  </si>
  <si>
    <t>Accum. Depreciation</t>
  </si>
  <si>
    <t>Preoperating Expense</t>
  </si>
  <si>
    <t>Total Intangibles</t>
  </si>
  <si>
    <t>Accum. Amortization</t>
  </si>
  <si>
    <t>Net Intangibles</t>
  </si>
  <si>
    <t>Balance Sheet- Liabilities &amp; Equity</t>
  </si>
  <si>
    <t xml:space="preserve">   Attachment B-3</t>
  </si>
  <si>
    <t>CPLTD    - SIDF</t>
  </si>
  <si>
    <t xml:space="preserve">               - Bank</t>
  </si>
  <si>
    <t>Long Term Debt:</t>
  </si>
  <si>
    <t>Source And Application Of Cash</t>
  </si>
  <si>
    <t xml:space="preserve">   Attachment B-4</t>
  </si>
  <si>
    <t>Sources of Cash:</t>
  </si>
  <si>
    <t>LTD - SIDF</t>
  </si>
  <si>
    <t>LTD - Bank</t>
  </si>
  <si>
    <t>Other Liabilities &amp; Equity</t>
  </si>
  <si>
    <t>Non Cash Charges</t>
  </si>
  <si>
    <t>Total Sources</t>
  </si>
  <si>
    <t>Uses of Cash:</t>
  </si>
  <si>
    <t>Capital Expenditures</t>
  </si>
  <si>
    <t>Working Investment</t>
  </si>
  <si>
    <t>Other Liabilites &amp; Equity</t>
  </si>
  <si>
    <t>Total Uses</t>
  </si>
  <si>
    <t>Cash Flow</t>
  </si>
  <si>
    <t>Ending Cash</t>
  </si>
  <si>
    <t xml:space="preserve">   Forecast Summary</t>
  </si>
  <si>
    <t xml:space="preserve">   Attachment B-5</t>
  </si>
  <si>
    <t>Working Capital</t>
  </si>
  <si>
    <t>Tangible Net Worth</t>
  </si>
  <si>
    <t>Profit After Tax</t>
  </si>
  <si>
    <t>EBITDA</t>
  </si>
  <si>
    <t>Operating Cash Flow</t>
  </si>
  <si>
    <t>Ratios/Percentages</t>
  </si>
  <si>
    <t>Current Ratio</t>
  </si>
  <si>
    <t>Leverage Ratio</t>
  </si>
  <si>
    <t>Debt Service Cov. Ratio</t>
  </si>
  <si>
    <t>Gross Margin/Sales</t>
  </si>
  <si>
    <t>Prof. Aft. Tax/Sales</t>
  </si>
  <si>
    <t>Cash Flow/Sales</t>
  </si>
  <si>
    <t xml:space="preserve">    Internal Rate Of Return</t>
  </si>
  <si>
    <t xml:space="preserve">   Attachment D-1</t>
  </si>
  <si>
    <t>Sources:</t>
  </si>
  <si>
    <t>Uses:</t>
  </si>
  <si>
    <t>Free Cash Flow To Firm</t>
  </si>
  <si>
    <t>Sources</t>
  </si>
  <si>
    <t xml:space="preserve">Net Debt </t>
  </si>
  <si>
    <t>Free Cash Flow To Equity</t>
  </si>
  <si>
    <t>Over</t>
  </si>
  <si>
    <t>NPV : Discount rate of</t>
  </si>
  <si>
    <t>Without Salvage</t>
  </si>
  <si>
    <t>With  Salvage</t>
  </si>
  <si>
    <t>10 Years</t>
  </si>
  <si>
    <t>15 Years</t>
  </si>
  <si>
    <t>20 Years</t>
  </si>
  <si>
    <t>The Unlevered IRR  Is</t>
  </si>
  <si>
    <t>The Levered IRR  Is</t>
  </si>
  <si>
    <t>.</t>
  </si>
  <si>
    <t xml:space="preserve">  Sensitivity Analysis</t>
  </si>
  <si>
    <t xml:space="preserve">   Attachment D-2</t>
  </si>
  <si>
    <t>Volume Break-Even:</t>
  </si>
  <si>
    <t>Labour, Utilities, Maintenance,</t>
  </si>
  <si>
    <t>Fixed (Indirect) Costs</t>
  </si>
  <si>
    <t>Total Fixed Costs</t>
  </si>
  <si>
    <t>Breakeven Sales</t>
  </si>
  <si>
    <t>Debt Service Break-Even</t>
  </si>
  <si>
    <t>Total Sales</t>
  </si>
  <si>
    <t>Total Raw Materials</t>
  </si>
  <si>
    <t>Total Contribution</t>
  </si>
  <si>
    <t xml:space="preserve">Total Fixed (Indirect) Costs </t>
  </si>
  <si>
    <t>=CHOOSE((Assumptions!F387)+1;"            N/A";SUM(I145:I147);SUM(I145:J147);SUM(I145:K147);SUM(I145:L147);SUM(I145:M147);SUM(I145:N147);SUM(I145:O147);SUM(I145:P147);SUM(I145:Q147);SUM(I145:R147))</t>
  </si>
  <si>
    <t>Total Payments</t>
  </si>
  <si>
    <t>Sensitivity:</t>
  </si>
  <si>
    <t>On the basis of the above figures, and assuming no increase in</t>
  </si>
  <si>
    <t>working capital, replacement of fixed assets or dividends, the</t>
  </si>
  <si>
    <t>project could withstand the following changes and still meet</t>
  </si>
  <si>
    <t>its debt service commitments by the end of the period.</t>
  </si>
  <si>
    <t xml:space="preserve">        Change Item</t>
  </si>
  <si>
    <t>Maximum 
Fall</t>
  </si>
  <si>
    <t>Maximum 
Rise</t>
  </si>
  <si>
    <t xml:space="preserve">          Sales Volume</t>
  </si>
  <si>
    <t xml:space="preserve">          Selling Price</t>
  </si>
  <si>
    <t xml:space="preserve">          Raw Materials</t>
  </si>
  <si>
    <t xml:space="preserve">          Total Indirect Costs</t>
  </si>
  <si>
    <t>Value Added &amp; Vertical Analysis</t>
  </si>
  <si>
    <t xml:space="preserve">   Attachment D-3</t>
  </si>
  <si>
    <t>Added Valuation Based on Year-10</t>
  </si>
  <si>
    <t>Vertical Analysis</t>
  </si>
  <si>
    <t xml:space="preserve">      Labor Cost</t>
  </si>
  <si>
    <t>ITEMS</t>
  </si>
  <si>
    <t>Historical</t>
  </si>
  <si>
    <t>Projection</t>
  </si>
  <si>
    <t xml:space="preserve">      Salaries</t>
  </si>
  <si>
    <t xml:space="preserve">      Finance charges</t>
  </si>
  <si>
    <t xml:space="preserve">      Profit before tax &amp; Zakat</t>
  </si>
  <si>
    <t>RM</t>
  </si>
  <si>
    <t xml:space="preserve">      Depreciation </t>
  </si>
  <si>
    <t>Labor</t>
  </si>
  <si>
    <t xml:space="preserve">      Amortization</t>
  </si>
  <si>
    <t xml:space="preserve">      Rent</t>
  </si>
  <si>
    <t>Mainten.</t>
  </si>
  <si>
    <r>
      <rPr>
        <b/>
        <sz val="18"/>
        <color indexed="8"/>
        <rFont val="Arial"/>
        <family val="2"/>
      </rPr>
      <t xml:space="preserve">      </t>
    </r>
    <r>
      <rPr>
        <b/>
        <u/>
        <sz val="18"/>
        <color indexed="8"/>
        <rFont val="Arial"/>
        <family val="2"/>
      </rPr>
      <t>Gross Value Added (GVA)</t>
    </r>
  </si>
  <si>
    <t>Depr.</t>
  </si>
  <si>
    <t xml:space="preserve">      Capital Investment</t>
  </si>
  <si>
    <t>COGS</t>
  </si>
  <si>
    <t>GVA/Capital Investment</t>
  </si>
  <si>
    <t>SG&amp;A</t>
  </si>
  <si>
    <t>GVA / Sales</t>
  </si>
  <si>
    <t>Fin Charge</t>
  </si>
  <si>
    <t xml:space="preserve">Profit </t>
  </si>
  <si>
    <t>Cumulative Direct Costs</t>
  </si>
  <si>
    <t>Number of Employees</t>
  </si>
  <si>
    <t>Other Assets &amp; Liabilities</t>
  </si>
  <si>
    <t>Year Numbers Used</t>
  </si>
  <si>
    <t xml:space="preserve">    - DEFAULT</t>
  </si>
  <si>
    <t>Year 0</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</si>
  <si>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</si>
  <si>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</si>
  <si>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</si>
  <si>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</si>
  <si>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</si>
  <si>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</si>
  <si>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</si>
  <si>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</si>
  <si>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</si>
  <si>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</si>
  <si>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</si>
  <si>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</si>
  <si>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</si>
  <si>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</si>
  <si>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</si>
  <si>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</si>
  <si>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</si>
  <si>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</si>
  <si>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</si>
  <si>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</si>
  <si>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 xml:space="preserve">     - OPTION</t>
  </si>
  <si>
    <t>Historical Yrs</t>
  </si>
  <si>
    <t>Year -5</t>
  </si>
  <si>
    <t xml:space="preserve"> Year -4</t>
  </si>
  <si>
    <t xml:space="preserve"> Year -3</t>
  </si>
  <si>
    <t xml:space="preserve"> Year -2</t>
  </si>
  <si>
    <t xml:space="preserve"> Year -1</t>
  </si>
  <si>
    <t xml:space="preserve"> Year 5</t>
  </si>
  <si>
    <t>Historical Years</t>
  </si>
  <si>
    <t>AAABBBABBAA~</t>
  </si>
  <si>
    <t/>
  </si>
  <si>
    <t>Attachment "A"</t>
  </si>
  <si>
    <t>Implementation Starting year</t>
  </si>
  <si>
    <t>To Be Filled If There is a Disbursement Through L/C</t>
  </si>
  <si>
    <t>Yes</t>
  </si>
  <si>
    <t>No</t>
  </si>
  <si>
    <t>L/C?</t>
  </si>
  <si>
    <t>Amount SR '000</t>
  </si>
  <si>
    <t>1st Q</t>
  </si>
  <si>
    <t>2nd Q</t>
  </si>
  <si>
    <t>3rd Q</t>
  </si>
  <si>
    <t>4th Q</t>
  </si>
  <si>
    <t xml:space="preserve">SIDF Loan </t>
  </si>
  <si>
    <t>Project Cost</t>
  </si>
  <si>
    <t>Items</t>
  </si>
  <si>
    <t>Total Projected</t>
  </si>
  <si>
    <t>Non Financeable</t>
  </si>
  <si>
    <t>Total Financeable</t>
  </si>
  <si>
    <t>SR '000</t>
  </si>
  <si>
    <t>Building &amp; Civil works</t>
  </si>
  <si>
    <t xml:space="preserve">steps:
1- L/C?: choose Yes or No?
2- Amount: insert the amount of the LC
3- Choose which Quarter by Choosing Yes or No
4- Insert the amount under the chosen  Quarter
5- It will be reflect  directly on the liquidity needed table (row 40) </t>
  </si>
  <si>
    <t>Machinary &amp; Equipment</t>
  </si>
  <si>
    <t>Office Furniture</t>
  </si>
  <si>
    <t>Funded Working Capital</t>
  </si>
  <si>
    <t>Pre-Operating Expenses</t>
  </si>
  <si>
    <t>SIDF Evaluation Charges</t>
  </si>
  <si>
    <t>Total Project Costs</t>
  </si>
  <si>
    <t>Source of Finance</t>
  </si>
  <si>
    <t>To be Financed by:</t>
  </si>
  <si>
    <t>SR'000</t>
  </si>
  <si>
    <t>Say</t>
  </si>
  <si>
    <t>% Of Project Cost</t>
  </si>
  <si>
    <t>SIDF Loan</t>
  </si>
  <si>
    <t>Commercial Loan</t>
  </si>
  <si>
    <t>Internally Generated Fund</t>
  </si>
  <si>
    <t xml:space="preserve">Implementation Status </t>
  </si>
  <si>
    <t xml:space="preserve">1-  Insert the % of implementation  completion for each category under each Quarter
2-The cumulative  completion % of each category should not exceed 100% (check column j)
3- M&amp;E % completion should not include any L/C in the Implementation status table as it should be reflected in the L/C table above 
</t>
  </si>
  <si>
    <t>completion %</t>
  </si>
  <si>
    <t>To validate the following:
1- SIDF loan (row 44) should not exceed the approved loan amount minus Evaluation fees
2- L/C amount (row 45) should not exceed the approved loan amount. If there is no LC the row should be colored black  and if there is an LC it will automatically be reflected from the LC table above 
3- Evaluation Cost (row 46) should not exceed the approved Evaluation cost
4- The sum of SIDF loan, L/C and Evaluation Cost should not exceed the approved Loan amount 
5- Total SIDF disbursements should be equal to SIDF loan minus SIDF evaluation Cost</t>
  </si>
  <si>
    <r>
      <t xml:space="preserve">Liquidity Needed </t>
    </r>
    <r>
      <rPr>
        <b/>
        <i/>
        <sz val="9"/>
        <rFont val="Arial"/>
        <family val="2"/>
      </rPr>
      <t>(Automatically Filled)</t>
    </r>
  </si>
  <si>
    <t>Valdiation</t>
  </si>
  <si>
    <t>Quarter</t>
  </si>
  <si>
    <t>Liquidity Need</t>
  </si>
  <si>
    <t>L/C</t>
  </si>
  <si>
    <t xml:space="preserve">Add: Evaluation Cost </t>
  </si>
  <si>
    <t xml:space="preserve">Liquidity Needed by Client </t>
  </si>
  <si>
    <t>Total SIDF Disbursments</t>
  </si>
  <si>
    <t xml:space="preserve">Source of Liquidity </t>
  </si>
  <si>
    <t>Negotiation with client: Liquidity Need with/without LC</t>
  </si>
  <si>
    <t xml:space="preserve">LC % </t>
  </si>
  <si>
    <t xml:space="preserve">Without LC prior to full reimbursment </t>
  </si>
  <si>
    <t>With LC</t>
  </si>
  <si>
    <t xml:space="preserve">Equity </t>
  </si>
  <si>
    <t>Liquidity Saving</t>
  </si>
  <si>
    <t>Subordinated Shareholder loan</t>
  </si>
  <si>
    <t xml:space="preserve">Other </t>
  </si>
  <si>
    <t>1- This table is a comparison between reimbursement and LC to help in negotiation with the client on the liquidity benefit of LC
2- The table will not count for equity participation as the source of liquidity table (on the left) will do
3- In order for this table to be valid the implementation status table above should be completed 
4- Cell# S53 is highlighted in yellow to allow using different LC percentages</t>
  </si>
  <si>
    <t>Source of Liquidity</t>
  </si>
  <si>
    <r>
      <t xml:space="preserve">1-Paid In Capital is automatically calculated at 25% from the submitted claims  
2-The remaining sources of liquidity should be manually filled 
3- Make sure the Source of Liquidity (row 62) is equal to the Liquidity needed by Client (row 47) 
</t>
    </r>
    <r>
      <rPr>
        <b/>
        <sz val="10"/>
        <rFont val="Arial"/>
        <family val="2"/>
      </rPr>
      <t xml:space="preserve">RM/PM  to make sure it's liquid assets (example: cash) not fixed assets </t>
    </r>
  </si>
  <si>
    <t>"Attachment "A-1"</t>
  </si>
  <si>
    <t>Working Capital is as follows:</t>
  </si>
  <si>
    <t>First Year</t>
  </si>
  <si>
    <t>Financeable Cost</t>
  </si>
  <si>
    <t>Raw Material</t>
  </si>
  <si>
    <t xml:space="preserve">   a. local 1 month</t>
  </si>
  <si>
    <t xml:space="preserve">   b. Import 3 month</t>
  </si>
  <si>
    <t>Total Recommended Working Capital</t>
  </si>
  <si>
    <t>Attachment - D</t>
  </si>
  <si>
    <t xml:space="preserve"> "ECONOMIC EVALUATION"</t>
  </si>
  <si>
    <t>Attachment - C</t>
  </si>
  <si>
    <t>"ASSUMPTIONS TO PROJECTION"</t>
  </si>
  <si>
    <t>Attachment - B</t>
  </si>
  <si>
    <t>"FINANCIAL STATEMENTS PROJECTIONS"</t>
  </si>
  <si>
    <t>LA</t>
  </si>
  <si>
    <t>BC</t>
  </si>
  <si>
    <t>SA</t>
  </si>
  <si>
    <t>ME</t>
  </si>
  <si>
    <t>VE</t>
  </si>
  <si>
    <t>FU</t>
  </si>
  <si>
    <t>WC</t>
  </si>
  <si>
    <t>PR</t>
  </si>
  <si>
    <t>CO</t>
  </si>
  <si>
    <t>EC</t>
  </si>
  <si>
    <t>PC</t>
  </si>
  <si>
    <t>PIC</t>
  </si>
  <si>
    <t>CL</t>
  </si>
  <si>
    <t>IGF</t>
  </si>
  <si>
    <t>Attachement E</t>
  </si>
  <si>
    <t>Application#</t>
  </si>
  <si>
    <t>Project Name</t>
  </si>
  <si>
    <t>Sector</t>
  </si>
  <si>
    <t>Products</t>
  </si>
  <si>
    <t>Loan amount  (SR’000”)</t>
  </si>
  <si>
    <t>Project cost (SR’000”)</t>
  </si>
  <si>
    <t>Labour (SR’000”)</t>
  </si>
  <si>
    <t>Gross Added Value / Capital Cost</t>
  </si>
  <si>
    <t>Total sales (maximum year) (SR’000”)</t>
  </si>
  <si>
    <t>Added value- Year 10 (SR’000”)</t>
  </si>
  <si>
    <t xml:space="preserve">Unlevered IRR </t>
  </si>
  <si>
    <t>PROJECTIONS</t>
  </si>
  <si>
    <t xml:space="preserve">             Ratios/Percentages</t>
  </si>
  <si>
    <t>Debt Service Coverage Ratio</t>
  </si>
  <si>
    <t>Prof. Aft. Zakat/Sales</t>
  </si>
  <si>
    <t>Avg. Debt Service Coverage Ratio</t>
  </si>
  <si>
    <t>y</t>
  </si>
  <si>
    <t>n</t>
  </si>
  <si>
    <t>PP Containers (Export)</t>
  </si>
  <si>
    <t>PET Cups (Export)</t>
  </si>
  <si>
    <t>PET Containers (Export)</t>
  </si>
  <si>
    <t>Man power</t>
  </si>
  <si>
    <t>IT software</t>
  </si>
  <si>
    <t>Industrial Safety System</t>
  </si>
  <si>
    <t>puc</t>
  </si>
  <si>
    <t xml:space="preserve">end </t>
  </si>
  <si>
    <t xml:space="preserve">other </t>
  </si>
  <si>
    <t>Prepaid expenses and other  current assests</t>
  </si>
  <si>
    <t>Dues from related parties</t>
  </si>
  <si>
    <t xml:space="preserve">PET Cups Local </t>
  </si>
  <si>
    <t xml:space="preserve">PP Containers Local </t>
  </si>
  <si>
    <t xml:space="preserve">PET Containers Local </t>
  </si>
  <si>
    <t>WUC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</si>
</sst>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_-* #,##0.00\-;_-* &quot;-&quot;??_-;_-@_-"/>
    <numFmt numFmtId="165" formatCode="0.0%"/>
    <numFmt numFmtId="166" formatCode="0.0"/>
    <numFmt numFmtId="167" formatCode="_-* #,##0_-;_-* #,##0\-;_-* &quot;-&quot;??_-;_-@_-"/>
    <numFmt numFmtId="168" formatCode="0.0000%"/>
    <numFmt numFmtId="169" formatCode="#,##0.00;[Red]#,##0.00"/>
    <numFmt numFmtId="170" formatCode="_-* #,##0.0000000000_-;_-* #,##0.0000000000\-;_-* &quot;-&quot;??_-;_-@_-"/>
    <numFmt numFmtId="171" formatCode=";;;"/>
    <numFmt numFmtId="172" formatCode="#,##0.0"/>
    <numFmt numFmtId="173" formatCode="#,##0_);\(#,##0\);\-\-_)"/>
    <numFmt numFmtId="174" formatCode="#,##0.0_);\(#,##0.0\);\-\-_)"/>
    <numFmt numFmtId="175" formatCode="0.0%_);\(0.0%\);\-\-\%_);* @_)"/>
  </numFmts>
  <fonts count="64">
    <font>
      <sz val="10"/>
      <name val="Arial"/>
      <family val="2"/>
      <charset val="178"/>
    </font>
    <font>
      <sz val="11"/>
      <color theme="1"/>
      <name val="Calibri"/>
      <family val="2"/>
      <scheme val="minor"/>
    </font>
    <font>
      <sz val="16"/>
      <name val="Arial"/>
      <family val="2"/>
      <charset val="178"/>
    </font>
    <font>
      <sz val="12"/>
      <name val="Arial"/>
      <family val="2"/>
      <charset val="178"/>
    </font>
    <font>
      <sz val="10"/>
      <name val="SWISS"/>
      <charset val="178"/>
    </font>
    <font>
      <sz val="10"/>
      <name val="Arial"/>
      <family val="2"/>
    </font>
    <font>
      <b/>
      <sz val="12"/>
      <name val="Arial"/>
      <family val="2"/>
    </font>
    <font>
      <b/>
      <sz val="8"/>
      <name val="Arial"/>
      <family val="2"/>
    </font>
    <font>
      <b/>
      <u/>
      <sz val="8"/>
      <name val="Arial"/>
      <family val="2"/>
    </font>
    <font>
      <u/>
      <sz val="8"/>
      <name val="Arial"/>
      <family val="2"/>
    </font>
    <font>
      <sz val="8"/>
      <name val="Arial"/>
      <family val="2"/>
    </font>
    <font>
      <sz val="8"/>
      <color indexed="10"/>
      <name val="Arial"/>
      <family val="2"/>
    </font>
    <font>
      <i/>
      <sz val="8"/>
      <name val="Arial"/>
      <family val="2"/>
    </font>
    <font>
      <sz val="10"/>
      <color indexed="10"/>
      <name val="Arial"/>
      <family val="2"/>
    </font>
    <font>
      <b/>
      <sz val="9"/>
      <name val="Arial"/>
      <family val="2"/>
    </font>
    <font>
      <sz val="10"/>
      <name val="Book Antiqua"/>
      <family val="1"/>
    </font>
    <font>
      <b/>
      <sz val="10"/>
      <name val="Book Antiqua"/>
      <family val="1"/>
    </font>
    <font>
      <b/>
      <sz val="16"/>
      <name val="Arial"/>
      <family val="2"/>
    </font>
    <font>
      <b/>
      <sz val="16"/>
      <name val="Calibri"/>
      <family val="2"/>
    </font>
    <font>
      <b/>
      <sz val="14"/>
      <name val="Calibri"/>
      <family val="2"/>
    </font>
    <font>
      <b/>
      <sz val="14"/>
      <name val="Arial"/>
      <family val="2"/>
    </font>
    <font>
      <sz val="11"/>
      <color theme="1"/>
      <name val="Calibri"/>
      <family val="2"/>
      <scheme val="minor"/>
    </font>
    <font>
      <sz val="11"/>
      <color theme="1"/>
      <name val="Calibri"/>
      <family val="2"/>
      <charset val="178"/>
      <scheme val="minor"/>
    </font>
    <font>
      <b/>
      <sz val="9"/>
      <color theme="1"/>
      <name val="Book Antiqua"/>
      <family val="1"/>
    </font>
    <font>
      <sz val="8"/>
      <color theme="0"/>
      <name val="Arial"/>
      <family val="2"/>
    </font>
    <font>
      <sz val="10"/>
      <color rgb="FFFF0000"/>
      <name val="Arial"/>
      <family val="2"/>
    </font>
    <font>
      <sz val="14"/>
      <color rgb="FFFF0000"/>
      <name val="Arial"/>
      <family val="2"/>
    </font>
    <font>
      <b/>
      <i/>
      <sz val="8"/>
      <name val="Arial"/>
      <family val="2"/>
    </font>
    <font>
      <b/>
      <sz val="10"/>
      <name val="Arial"/>
      <family val="2"/>
    </font>
    <font>
      <sz val="9"/>
      <name val="Arial"/>
      <family val="2"/>
    </font>
    <font>
      <b/>
      <i/>
      <sz val="9"/>
      <name val="Arial"/>
      <family val="2"/>
    </font>
    <font>
      <sz val="10"/>
      <name val="Arial"/>
      <family val="2"/>
      <charset val="178"/>
    </font>
    <font>
      <b/>
      <sz val="16"/>
      <name val="Arial"/>
      <family val="2"/>
      <charset val="178"/>
    </font>
    <font>
      <sz val="16"/>
      <color indexed="12"/>
      <name val="Arial"/>
      <family val="2"/>
      <charset val="178"/>
    </font>
    <font>
      <b/>
      <u/>
      <sz val="16"/>
      <name val="Arial"/>
      <family val="2"/>
      <charset val="178"/>
    </font>
    <font>
      <u/>
      <sz val="16"/>
      <name val="Arial"/>
      <family val="2"/>
      <charset val="178"/>
    </font>
    <font>
      <b/>
      <sz val="16"/>
      <color indexed="12"/>
      <name val="Arial"/>
      <family val="2"/>
      <charset val="178"/>
    </font>
    <font>
      <i/>
      <sz val="16"/>
      <name val="Arial"/>
      <family val="2"/>
      <charset val="178"/>
    </font>
    <font>
      <b/>
      <u/>
      <sz val="16"/>
      <name val="Arial"/>
      <family val="2"/>
    </font>
    <font>
      <b/>
      <u/>
      <sz val="18"/>
      <name val="Arial"/>
      <family val="2"/>
      <charset val="178"/>
    </font>
    <font>
      <sz val="16"/>
      <name val="Arial"/>
      <family val="2"/>
    </font>
    <font>
      <sz val="18"/>
      <name val="Arial"/>
      <family val="2"/>
      <charset val="178"/>
    </font>
    <font>
      <b/>
      <u/>
      <sz val="18"/>
      <color theme="1"/>
      <name val="Arial"/>
      <family val="2"/>
    </font>
    <font>
      <b/>
      <u/>
      <sz val="18"/>
      <name val="Arial"/>
      <family val="2"/>
    </font>
    <font>
      <b/>
      <sz val="18"/>
      <color theme="1"/>
      <name val="Arial"/>
      <family val="2"/>
    </font>
    <font>
      <b/>
      <sz val="18"/>
      <color indexed="8"/>
      <name val="Arial"/>
      <family val="2"/>
    </font>
    <font>
      <b/>
      <u/>
      <sz val="18"/>
      <color indexed="8"/>
      <name val="Arial"/>
      <family val="2"/>
    </font>
    <font>
      <sz val="18"/>
      <color theme="1"/>
      <name val="Arial"/>
      <family val="2"/>
    </font>
    <font>
      <b/>
      <sz val="18"/>
      <name val="Arial"/>
      <family val="2"/>
    </font>
    <font>
      <b/>
      <sz val="20"/>
      <color theme="1"/>
      <name val="Arial"/>
      <family val="2"/>
    </font>
    <font>
      <u/>
      <sz val="18"/>
      <name val="Arial"/>
      <family val="2"/>
    </font>
    <font>
      <b/>
      <sz val="17"/>
      <name val="Arial"/>
      <family val="2"/>
    </font>
    <font>
      <sz val="16"/>
      <name val="Arial Unicode MS"/>
      <family val="2"/>
    </font>
    <font>
      <sz val="16"/>
      <color indexed="63"/>
      <name val="Arial"/>
      <family val="2"/>
      <charset val="178"/>
    </font>
    <font>
      <sz val="16"/>
      <color theme="1"/>
      <name val="Arial"/>
      <family val="2"/>
      <charset val="178"/>
    </font>
    <font>
      <sz val="16"/>
      <color indexed="10"/>
      <name val="Arial"/>
      <family val="2"/>
      <charset val="178"/>
    </font>
    <font>
      <b/>
      <sz val="10"/>
      <color rgb="FFFFFFFF"/>
      <name val="Lato"/>
      <family val="2"/>
    </font>
    <font>
      <sz val="8"/>
      <color rgb="FF53565A"/>
      <name val="Lato"/>
      <family val="2"/>
    </font>
    <font>
      <b/>
      <sz val="8"/>
      <color rgb="FF53565A"/>
      <name val="Lato"/>
      <family val="2"/>
    </font>
    <font>
      <sz val="8"/>
      <color rgb="FF0000FF"/>
      <name val="Lato"/>
      <family val="2"/>
    </font>
    <font>
      <b/>
      <sz val="8"/>
      <color rgb="FF333333"/>
      <name val="Lato"/>
      <family val="2"/>
    </font>
    <font>
      <b/>
      <sz val="8"/>
      <color rgb="FFFFFFFF"/>
      <name val="Lato"/>
      <family val="2"/>
    </font>
    <font>
      <sz val="8"/>
      <color rgb="FFCC0033"/>
      <name val="Lato"/>
      <family val="2"/>
    </font>
    <font>
      <b/>
      <sz val="9"/>
      <color theme="0" tint="-0.14999847407452621"/>
      <name val="Arial"/>
      <family val="2"/>
    </font>
  </fonts>
  <fills count="36">
    <fill>
      <patternFill patternType="none"/>
    </fill>
    <fill>
      <patternFill patternType="gray125"/>
    </fill>
    <fill>
      <patternFill patternType="solid">
        <fgColor indexed="56"/>
        <bgColor indexed="64"/>
      </patternFill>
    </fill>
    <fill>
      <patternFill patternType="solid">
        <fgColor theme="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92D05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1" tint="4.9989318521683403E-2"/>
        <bgColor indexed="64"/>
      </patternFill>
    </fill>
    <fill>
      <patternFill patternType="solid">
        <fgColor theme="1"/>
        <bgColor indexed="64"/>
      </patternFill>
    </fill>
    <fill>
      <patternFill patternType="solid">
        <fgColor theme="0" tint="-0.34998626667073579"/>
        <bgColor indexed="64"/>
      </patternFill>
    </fill>
    <fill>
      <patternFill patternType="solid">
        <fgColor rgb="FFFFF357"/>
        <bgColor indexed="64"/>
      </patternFill>
    </fill>
    <fill>
      <patternFill patternType="solid">
        <fgColor rgb="FFFFFF00"/>
        <bgColor indexed="64"/>
      </patternFill>
    </fill>
    <fill>
      <patternFill patternType="solid">
        <fgColor rgb="FFF8EDEC"/>
        <bgColor indexed="64"/>
      </patternFill>
    </fill>
    <fill>
      <patternFill patternType="solid">
        <fgColor indexed="9"/>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indexed="55"/>
        <bgColor indexed="64"/>
      </patternFill>
    </fill>
    <fill>
      <patternFill patternType="solid">
        <fgColor theme="6" tint="0.59999389629810485"/>
        <bgColor indexed="26"/>
      </patternFill>
    </fill>
    <fill>
      <patternFill patternType="solid">
        <fgColor theme="6" tint="0.79998168889431442"/>
        <bgColor indexed="26"/>
      </patternFill>
    </fill>
    <fill>
      <patternFill patternType="solid">
        <fgColor rgb="FF007A87"/>
        <bgColor indexed="64"/>
      </patternFill>
    </fill>
    <fill>
      <patternFill patternType="solid">
        <fgColor rgb="FFFFFFEB"/>
        <bgColor indexed="64"/>
      </patternFill>
    </fill>
    <fill>
      <patternFill patternType="solid">
        <fgColor rgb="FF174174"/>
        <bgColor indexed="64"/>
      </patternFill>
    </fill>
    <fill>
      <patternFill patternType="solid">
        <fgColor rgb="FFE6EBF6"/>
        <bgColor indexed="64"/>
      </patternFill>
    </fill>
    <fill>
      <patternFill patternType="solid">
        <fgColor rgb="FFF2F2F2"/>
        <bgColor indexed="64"/>
      </patternFill>
    </fill>
    <fill>
      <patternFill patternType="solid">
        <fgColor rgb="FF2A8ABF"/>
        <bgColor indexed="64"/>
      </patternFill>
    </fill>
  </fills>
  <borders count="175">
    <border>
      <left/>
      <right/>
      <top/>
      <bottom/>
      <diagonal/>
    </border>
    <border>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auto="1"/>
      </left>
      <right/>
      <top/>
      <bottom style="thin">
        <color auto="1"/>
      </bottom>
      <diagonal/>
    </border>
    <border>
      <left style="thin">
        <color indexed="8"/>
      </left>
      <right style="thin">
        <color indexed="8"/>
      </right>
      <top style="thin">
        <color indexed="64"/>
      </top>
      <bottom style="thin">
        <color indexed="64"/>
      </bottom>
      <diagonal/>
    </border>
    <border>
      <left style="thick">
        <color indexed="8"/>
      </left>
      <right/>
      <top style="thin">
        <color indexed="64"/>
      </top>
      <bottom style="thin">
        <color indexed="64"/>
      </bottom>
      <diagonal/>
    </border>
    <border>
      <left style="thick">
        <color indexed="8"/>
      </left>
      <right/>
      <top/>
      <bottom/>
      <diagonal/>
    </border>
    <border>
      <left/>
      <right style="thick">
        <color indexed="8"/>
      </right>
      <top style="thick">
        <color indexed="8"/>
      </top>
      <bottom style="thick">
        <color indexed="8"/>
      </bottom>
      <diagonal/>
    </border>
    <border>
      <left style="thick">
        <color indexed="8"/>
      </left>
      <right/>
      <top style="thick">
        <color indexed="8"/>
      </top>
      <bottom style="thick">
        <color indexed="8"/>
      </bottom>
      <diagonal/>
    </border>
    <border>
      <left style="thin">
        <color indexed="8"/>
      </left>
      <right/>
      <top/>
      <bottom/>
      <diagonal/>
    </border>
    <border>
      <left/>
      <right/>
      <top style="double">
        <color indexed="8"/>
      </top>
      <bottom/>
      <diagonal/>
    </border>
    <border>
      <left style="double">
        <color indexed="8"/>
      </left>
      <right/>
      <top/>
      <bottom/>
      <diagonal/>
    </border>
    <border>
      <left style="thin">
        <color indexed="8"/>
      </left>
      <right style="double">
        <color indexed="8"/>
      </right>
      <top/>
      <bottom style="double">
        <color indexed="8"/>
      </bottom>
      <diagonal/>
    </border>
    <border>
      <left style="thin">
        <color indexed="8"/>
      </left>
      <right/>
      <top style="thick">
        <color indexed="8"/>
      </top>
      <bottom/>
      <diagonal/>
    </border>
    <border>
      <left style="double">
        <color indexed="8"/>
      </left>
      <right/>
      <top style="thick">
        <color indexed="8"/>
      </top>
      <bottom/>
      <diagonal/>
    </border>
    <border>
      <left style="double">
        <color indexed="8"/>
      </left>
      <right/>
      <top style="double">
        <color indexed="8"/>
      </top>
      <bottom/>
      <diagonal/>
    </border>
    <border>
      <left style="thin">
        <color indexed="8"/>
      </left>
      <right/>
      <top style="double">
        <color indexed="8"/>
      </top>
      <bottom/>
      <diagonal/>
    </border>
    <border>
      <left/>
      <right/>
      <top style="thick">
        <color indexed="8"/>
      </top>
      <bottom/>
      <diagonal/>
    </border>
    <border>
      <left style="thin">
        <color indexed="8"/>
      </left>
      <right style="double">
        <color indexed="8"/>
      </right>
      <top/>
      <bottom/>
      <diagonal/>
    </border>
    <border>
      <left style="thin">
        <color indexed="8"/>
      </left>
      <right style="thin">
        <color indexed="8"/>
      </right>
      <top/>
      <bottom/>
      <diagonal/>
    </border>
    <border>
      <left style="double">
        <color indexed="8"/>
      </left>
      <right style="thin">
        <color indexed="8"/>
      </right>
      <top/>
      <bottom/>
      <diagonal/>
    </border>
    <border>
      <left style="thin">
        <color indexed="8"/>
      </left>
      <right style="double">
        <color indexed="8"/>
      </right>
      <top style="double">
        <color indexed="8"/>
      </top>
      <bottom style="thick">
        <color indexed="8"/>
      </bottom>
      <diagonal/>
    </border>
    <border>
      <left style="thin">
        <color indexed="8"/>
      </left>
      <right style="thin">
        <color indexed="8"/>
      </right>
      <top style="double">
        <color indexed="8"/>
      </top>
      <bottom style="thick">
        <color indexed="8"/>
      </bottom>
      <diagonal/>
    </border>
    <border>
      <left style="double">
        <color indexed="8"/>
      </left>
      <right style="thin">
        <color indexed="8"/>
      </right>
      <top style="double">
        <color indexed="8"/>
      </top>
      <bottom style="thick">
        <color indexed="8"/>
      </bottom>
      <diagonal/>
    </border>
    <border>
      <left style="thick">
        <color indexed="8"/>
      </left>
      <right/>
      <top style="double">
        <color indexed="8"/>
      </top>
      <bottom/>
      <diagonal/>
    </border>
    <border>
      <left style="thin">
        <color indexed="8"/>
      </left>
      <right style="double">
        <color indexed="64"/>
      </right>
      <top/>
      <bottom style="double">
        <color indexed="8"/>
      </bottom>
      <diagonal/>
    </border>
    <border>
      <left style="thin">
        <color indexed="8"/>
      </left>
      <right style="thin">
        <color indexed="8"/>
      </right>
      <top/>
      <bottom style="double">
        <color indexed="8"/>
      </bottom>
      <diagonal/>
    </border>
    <border>
      <left style="thin">
        <color indexed="8"/>
      </left>
      <right style="double">
        <color indexed="64"/>
      </right>
      <top/>
      <bottom/>
      <diagonal/>
    </border>
    <border>
      <left style="thin">
        <color indexed="8"/>
      </left>
      <right style="double">
        <color indexed="64"/>
      </right>
      <top style="thick">
        <color indexed="8"/>
      </top>
      <bottom/>
      <diagonal/>
    </border>
    <border>
      <left style="double">
        <color indexed="64"/>
      </left>
      <right/>
      <top/>
      <bottom/>
      <diagonal/>
    </border>
    <border>
      <left style="thin">
        <color indexed="8"/>
      </left>
      <right style="double">
        <color indexed="64"/>
      </right>
      <top style="double">
        <color indexed="8"/>
      </top>
      <bottom style="thick">
        <color indexed="8"/>
      </bottom>
      <diagonal/>
    </border>
    <border>
      <left style="thin">
        <color indexed="8"/>
      </left>
      <right style="double">
        <color indexed="64"/>
      </right>
      <top style="double">
        <color indexed="8"/>
      </top>
      <bottom style="double">
        <color indexed="8"/>
      </bottom>
      <diagonal/>
    </border>
    <border>
      <left style="thin">
        <color indexed="8"/>
      </left>
      <right/>
      <top style="double">
        <color indexed="8"/>
      </top>
      <bottom style="double">
        <color indexed="8"/>
      </bottom>
      <diagonal/>
    </border>
    <border>
      <left style="thick">
        <color indexed="8"/>
      </left>
      <right/>
      <top style="thick">
        <color indexed="8"/>
      </top>
      <bottom/>
      <diagonal/>
    </border>
    <border>
      <left style="thin">
        <color indexed="8"/>
      </left>
      <right style="double">
        <color indexed="64"/>
      </right>
      <top style="double">
        <color indexed="8"/>
      </top>
      <bottom/>
      <diagonal/>
    </border>
    <border>
      <left/>
      <right style="double">
        <color indexed="64"/>
      </right>
      <top style="double">
        <color indexed="8"/>
      </top>
      <bottom style="thin">
        <color indexed="8"/>
      </bottom>
      <diagonal/>
    </border>
    <border>
      <left/>
      <right/>
      <top style="double">
        <color indexed="8"/>
      </top>
      <bottom style="thin">
        <color indexed="8"/>
      </bottom>
      <diagonal/>
    </border>
    <border>
      <left style="thick">
        <color indexed="8"/>
      </left>
      <right/>
      <top style="double">
        <color indexed="8"/>
      </top>
      <bottom style="thin">
        <color indexed="8"/>
      </bottom>
      <diagonal/>
    </border>
    <border>
      <left style="thin">
        <color indexed="8"/>
      </left>
      <right style="double">
        <color indexed="64"/>
      </right>
      <top style="double">
        <color indexed="8"/>
      </top>
      <bottom style="double">
        <color indexed="64"/>
      </bottom>
      <diagonal/>
    </border>
    <border>
      <left style="thin">
        <color indexed="8"/>
      </left>
      <right/>
      <top style="double">
        <color indexed="8"/>
      </top>
      <bottom style="double">
        <color indexed="64"/>
      </bottom>
      <diagonal/>
    </border>
    <border>
      <left style="double">
        <color indexed="64"/>
      </left>
      <right style="thin">
        <color indexed="8"/>
      </right>
      <top style="double">
        <color indexed="8"/>
      </top>
      <bottom style="double">
        <color indexed="64"/>
      </bottom>
      <diagonal/>
    </border>
    <border>
      <left style="double">
        <color indexed="64"/>
      </left>
      <right/>
      <top style="thick">
        <color indexed="8"/>
      </top>
      <bottom/>
      <diagonal/>
    </border>
    <border>
      <left style="double">
        <color indexed="64"/>
      </left>
      <right/>
      <top style="double">
        <color indexed="8"/>
      </top>
      <bottom/>
      <diagonal/>
    </border>
    <border>
      <left style="double">
        <color indexed="64"/>
      </left>
      <right style="thin">
        <color indexed="8"/>
      </right>
      <top style="thick">
        <color indexed="8"/>
      </top>
      <bottom style="double">
        <color indexed="8"/>
      </bottom>
      <diagonal/>
    </border>
    <border>
      <left style="thin">
        <color indexed="8"/>
      </left>
      <right style="thick">
        <color indexed="64"/>
      </right>
      <top/>
      <bottom/>
      <diagonal/>
    </border>
    <border>
      <left style="thin">
        <color indexed="64"/>
      </left>
      <right style="thick">
        <color indexed="64"/>
      </right>
      <top/>
      <bottom/>
      <diagonal/>
    </border>
    <border>
      <left style="double">
        <color indexed="8"/>
      </left>
      <right style="thin">
        <color indexed="8"/>
      </right>
      <top style="double">
        <color indexed="8"/>
      </top>
      <bottom/>
      <diagonal/>
    </border>
    <border>
      <left/>
      <right style="double">
        <color indexed="64"/>
      </right>
      <top style="double">
        <color indexed="64"/>
      </top>
      <bottom style="thin">
        <color indexed="8"/>
      </bottom>
      <diagonal/>
    </border>
    <border>
      <left/>
      <right/>
      <top style="double">
        <color indexed="64"/>
      </top>
      <bottom style="thin">
        <color indexed="8"/>
      </bottom>
      <diagonal/>
    </border>
    <border>
      <left style="double">
        <color indexed="64"/>
      </left>
      <right/>
      <top style="double">
        <color indexed="64"/>
      </top>
      <bottom style="thin">
        <color indexed="8"/>
      </bottom>
      <diagonal/>
    </border>
    <border>
      <left style="double">
        <color indexed="8"/>
      </left>
      <right style="double">
        <color indexed="64"/>
      </right>
      <top style="double">
        <color indexed="8"/>
      </top>
      <bottom style="double">
        <color indexed="8"/>
      </bottom>
      <diagonal/>
    </border>
    <border>
      <left style="double">
        <color indexed="8"/>
      </left>
      <right/>
      <top style="double">
        <color indexed="8"/>
      </top>
      <bottom style="double">
        <color indexed="8"/>
      </bottom>
      <diagonal/>
    </border>
    <border>
      <left/>
      <right style="double">
        <color indexed="64"/>
      </right>
      <top/>
      <bottom/>
      <diagonal/>
    </border>
    <border>
      <left style="double">
        <color indexed="8"/>
      </left>
      <right style="double">
        <color indexed="64"/>
      </right>
      <top style="double">
        <color indexed="8"/>
      </top>
      <bottom/>
      <diagonal/>
    </border>
    <border>
      <left style="thin">
        <color indexed="8"/>
      </left>
      <right style="thin">
        <color indexed="8"/>
      </right>
      <top style="double">
        <color indexed="8"/>
      </top>
      <bottom style="double">
        <color indexed="8"/>
      </bottom>
      <diagonal/>
    </border>
    <border>
      <left style="thin">
        <color indexed="8"/>
      </left>
      <right/>
      <top/>
      <bottom style="double">
        <color indexed="8"/>
      </bottom>
      <diagonal/>
    </border>
    <border>
      <left style="double">
        <color indexed="8"/>
      </left>
      <right/>
      <top/>
      <bottom style="double">
        <color indexed="64"/>
      </bottom>
      <diagonal/>
    </border>
    <border>
      <left/>
      <right/>
      <top/>
      <bottom style="double">
        <color indexed="64"/>
      </bottom>
      <diagonal/>
    </border>
    <border>
      <left style="thin">
        <color indexed="8"/>
      </left>
      <right style="thin">
        <color indexed="8"/>
      </right>
      <top style="double">
        <color indexed="64"/>
      </top>
      <bottom style="thin">
        <color indexed="8"/>
      </bottom>
      <diagonal/>
    </border>
    <border>
      <left/>
      <right style="double">
        <color indexed="8"/>
      </right>
      <top style="double">
        <color indexed="8"/>
      </top>
      <bottom style="double">
        <color indexed="8"/>
      </bottom>
      <diagonal/>
    </border>
    <border>
      <left/>
      <right/>
      <top style="double">
        <color indexed="8"/>
      </top>
      <bottom style="double">
        <color indexed="8"/>
      </bottom>
      <diagonal/>
    </border>
    <border>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top/>
      <bottom style="double">
        <color indexed="64"/>
      </bottom>
      <diagonal/>
    </border>
    <border>
      <left style="double">
        <color indexed="64"/>
      </left>
      <right style="double">
        <color indexed="64"/>
      </right>
      <top/>
      <bottom/>
      <diagonal/>
    </border>
    <border>
      <left style="double">
        <color indexed="64"/>
      </left>
      <right style="double">
        <color indexed="64"/>
      </right>
      <top style="double">
        <color indexed="64"/>
      </top>
      <bottom style="double">
        <color indexed="64"/>
      </bottom>
      <diagonal/>
    </border>
    <border>
      <left/>
      <right/>
      <top style="double">
        <color indexed="64"/>
      </top>
      <bottom style="double">
        <color indexed="64"/>
      </bottom>
      <diagonal/>
    </border>
    <border>
      <left style="medium">
        <color indexed="64"/>
      </left>
      <right/>
      <top style="double">
        <color indexed="64"/>
      </top>
      <bottom style="double">
        <color indexed="64"/>
      </bottom>
      <diagonal/>
    </border>
    <border>
      <left style="double">
        <color indexed="8"/>
      </left>
      <right style="double">
        <color indexed="64"/>
      </right>
      <top/>
      <bottom style="double">
        <color indexed="64"/>
      </bottom>
      <diagonal/>
    </border>
    <border>
      <left/>
      <right style="double">
        <color indexed="8"/>
      </right>
      <top/>
      <bottom style="double">
        <color indexed="64"/>
      </bottom>
      <diagonal/>
    </border>
    <border>
      <left style="medium">
        <color indexed="64"/>
      </left>
      <right/>
      <top/>
      <bottom style="double">
        <color indexed="64"/>
      </bottom>
      <diagonal/>
    </border>
    <border>
      <left style="double">
        <color indexed="8"/>
      </left>
      <right style="double">
        <color indexed="64"/>
      </right>
      <top/>
      <bottom/>
      <diagonal/>
    </border>
    <border>
      <left style="medium">
        <color indexed="64"/>
      </left>
      <right/>
      <top/>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style="medium">
        <color indexed="64"/>
      </left>
      <right/>
      <top style="double">
        <color indexed="64"/>
      </top>
      <bottom/>
      <diagonal/>
    </border>
    <border>
      <left style="thin">
        <color indexed="8"/>
      </left>
      <right style="double">
        <color indexed="8"/>
      </right>
      <top/>
      <bottom style="thick">
        <color indexed="8"/>
      </bottom>
      <diagonal/>
    </border>
    <border>
      <left style="thin">
        <color indexed="8"/>
      </left>
      <right style="thin">
        <color indexed="8"/>
      </right>
      <top/>
      <bottom style="thick">
        <color indexed="8"/>
      </bottom>
      <diagonal/>
    </border>
    <border>
      <left style="double">
        <color indexed="8"/>
      </left>
      <right/>
      <top/>
      <bottom style="thick">
        <color indexed="8"/>
      </bottom>
      <diagonal/>
    </border>
    <border>
      <left style="thin">
        <color indexed="8"/>
      </left>
      <right style="double">
        <color indexed="8"/>
      </right>
      <top style="double">
        <color indexed="8"/>
      </top>
      <bottom/>
      <diagonal/>
    </border>
    <border>
      <left style="thin">
        <color indexed="8"/>
      </left>
      <right style="thin">
        <color indexed="8"/>
      </right>
      <top style="double">
        <color indexed="8"/>
      </top>
      <bottom/>
      <diagonal/>
    </border>
    <border>
      <left style="thin">
        <color indexed="64"/>
      </left>
      <right/>
      <top style="double">
        <color indexed="64"/>
      </top>
      <bottom/>
      <diagonal/>
    </border>
    <border>
      <left/>
      <right style="double">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8"/>
      </left>
      <right style="double">
        <color indexed="64"/>
      </right>
      <top style="double">
        <color indexed="64"/>
      </top>
      <bottom style="double">
        <color indexed="64"/>
      </bottom>
      <diagonal/>
    </border>
    <border>
      <left style="thin">
        <color indexed="8"/>
      </left>
      <right/>
      <top style="double">
        <color indexed="64"/>
      </top>
      <bottom style="double">
        <color indexed="64"/>
      </bottom>
      <diagonal/>
    </border>
    <border>
      <left style="double">
        <color indexed="8"/>
      </left>
      <right style="double">
        <color indexed="64"/>
      </right>
      <top style="double">
        <color indexed="8"/>
      </top>
      <bottom style="double">
        <color indexed="64"/>
      </bottom>
      <diagonal/>
    </border>
    <border>
      <left style="thin">
        <color indexed="8"/>
      </left>
      <right style="thin">
        <color indexed="8"/>
      </right>
      <top style="double">
        <color indexed="64"/>
      </top>
      <bottom style="double">
        <color indexed="64"/>
      </bottom>
      <diagonal/>
    </border>
    <border>
      <left/>
      <right style="double">
        <color indexed="64"/>
      </right>
      <top style="double">
        <color indexed="8"/>
      </top>
      <bottom style="double">
        <color indexed="8"/>
      </bottom>
      <diagonal/>
    </border>
    <border>
      <left style="thin">
        <color indexed="64"/>
      </left>
      <right style="double">
        <color indexed="64"/>
      </right>
      <top/>
      <bottom/>
      <diagonal/>
    </border>
    <border>
      <left style="thin">
        <color indexed="8"/>
      </left>
      <right style="thin">
        <color indexed="64"/>
      </right>
      <top/>
      <bottom/>
      <diagonal/>
    </border>
    <border>
      <left/>
      <right style="double">
        <color indexed="64"/>
      </right>
      <top/>
      <bottom style="double">
        <color indexed="8"/>
      </bottom>
      <diagonal/>
    </border>
    <border>
      <left style="thin">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8"/>
      </left>
      <right style="thin">
        <color indexed="64"/>
      </right>
      <top style="double">
        <color indexed="64"/>
      </top>
      <bottom/>
      <diagonal/>
    </border>
    <border>
      <left/>
      <right style="thin">
        <color indexed="64"/>
      </right>
      <top style="double">
        <color indexed="64"/>
      </top>
      <bottom/>
      <diagonal/>
    </border>
    <border>
      <left style="double">
        <color indexed="8"/>
      </left>
      <right style="double">
        <color indexed="64"/>
      </right>
      <top style="double">
        <color indexed="64"/>
      </top>
      <bottom style="double">
        <color indexed="64"/>
      </bottom>
      <diagonal/>
    </border>
    <border>
      <left style="double">
        <color indexed="8"/>
      </left>
      <right/>
      <top style="double">
        <color indexed="64"/>
      </top>
      <bottom style="double">
        <color indexed="64"/>
      </bottom>
      <diagonal/>
    </border>
    <border>
      <left style="double">
        <color indexed="8"/>
      </left>
      <right style="double">
        <color indexed="8"/>
      </right>
      <top style="double">
        <color indexed="64"/>
      </top>
      <bottom style="double">
        <color indexed="8"/>
      </bottom>
      <diagonal/>
    </border>
    <border>
      <left style="thin">
        <color indexed="8"/>
      </left>
      <right style="double">
        <color indexed="64"/>
      </right>
      <top/>
      <bottom style="double">
        <color indexed="64"/>
      </bottom>
      <diagonal/>
    </border>
    <border>
      <left style="thin">
        <color indexed="8"/>
      </left>
      <right/>
      <top/>
      <bottom style="double">
        <color indexed="64"/>
      </bottom>
      <diagonal/>
    </border>
    <border>
      <left style="double">
        <color indexed="64"/>
      </left>
      <right style="thin">
        <color indexed="8"/>
      </right>
      <top style="double">
        <color indexed="8"/>
      </top>
      <bottom style="double">
        <color indexed="8"/>
      </bottom>
      <diagonal/>
    </border>
    <border>
      <left/>
      <right/>
      <top/>
      <bottom style="double">
        <color indexed="8"/>
      </bottom>
      <diagonal/>
    </border>
    <border>
      <left style="double">
        <color indexed="8"/>
      </left>
      <right style="thin">
        <color indexed="64"/>
      </right>
      <top/>
      <bottom/>
      <diagonal/>
    </border>
    <border>
      <left style="double">
        <color indexed="64"/>
      </left>
      <right style="thin">
        <color indexed="64"/>
      </right>
      <top/>
      <bottom/>
      <diagonal/>
    </border>
    <border>
      <left style="double">
        <color indexed="64"/>
      </left>
      <right style="thin">
        <color indexed="8"/>
      </right>
      <top/>
      <bottom/>
      <diagonal/>
    </border>
    <border>
      <left/>
      <right style="double">
        <color indexed="64"/>
      </right>
      <top style="double">
        <color indexed="8"/>
      </top>
      <bottom style="thick">
        <color indexed="8"/>
      </bottom>
      <diagonal/>
    </border>
    <border>
      <left/>
      <right/>
      <top style="double">
        <color indexed="8"/>
      </top>
      <bottom style="thick">
        <color indexed="8"/>
      </bottom>
      <diagonal/>
    </border>
    <border>
      <left style="double">
        <color indexed="8"/>
      </left>
      <right/>
      <top style="double">
        <color indexed="8"/>
      </top>
      <bottom style="thick">
        <color indexed="8"/>
      </bottom>
      <diagonal/>
    </border>
    <border>
      <left style="thin">
        <color indexed="8"/>
      </left>
      <right style="double">
        <color indexed="64"/>
      </right>
      <top style="thin">
        <color indexed="64"/>
      </top>
      <bottom/>
      <diagonal/>
    </border>
    <border>
      <left style="thin">
        <color indexed="8"/>
      </left>
      <right style="double">
        <color indexed="64"/>
      </right>
      <top/>
      <bottom style="thin">
        <color indexed="64"/>
      </bottom>
      <diagonal/>
    </border>
    <border>
      <left style="thin">
        <color indexed="8"/>
      </left>
      <right/>
      <top/>
      <bottom style="thin">
        <color indexed="64"/>
      </bottom>
      <diagonal/>
    </border>
    <border>
      <left style="double">
        <color indexed="8"/>
      </left>
      <right/>
      <top/>
      <bottom style="thin">
        <color indexed="64"/>
      </bottom>
      <diagonal/>
    </border>
    <border>
      <left/>
      <right style="thin">
        <color indexed="8"/>
      </right>
      <top/>
      <bottom/>
      <diagonal/>
    </border>
    <border>
      <left/>
      <right style="thin">
        <color indexed="8"/>
      </right>
      <top style="double">
        <color indexed="8"/>
      </top>
      <bottom/>
      <diagonal/>
    </border>
    <border>
      <left style="thin">
        <color indexed="8"/>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top style="thin">
        <color indexed="8"/>
      </top>
      <bottom style="double">
        <color indexed="64"/>
      </bottom>
      <diagonal/>
    </border>
    <border>
      <left style="thin">
        <color indexed="8"/>
      </left>
      <right style="thin">
        <color indexed="8"/>
      </right>
      <top style="thin">
        <color indexed="8"/>
      </top>
      <bottom style="double">
        <color indexed="64"/>
      </bottom>
      <diagonal/>
    </border>
    <border>
      <left style="thin">
        <color indexed="8"/>
      </left>
      <right style="double">
        <color indexed="8"/>
      </right>
      <top style="thin">
        <color indexed="8"/>
      </top>
      <bottom style="double">
        <color indexed="8"/>
      </bottom>
      <diagonal/>
    </border>
    <border>
      <left style="double">
        <color indexed="8"/>
      </left>
      <right/>
      <top style="thin">
        <color indexed="8"/>
      </top>
      <bottom style="double">
        <color indexed="64"/>
      </bottom>
      <diagonal/>
    </border>
    <border>
      <left style="thin">
        <color indexed="8"/>
      </left>
      <right style="double">
        <color indexed="64"/>
      </right>
      <top style="thin">
        <color indexed="8"/>
      </top>
      <bottom/>
      <diagonal/>
    </border>
    <border>
      <left style="double">
        <color indexed="8"/>
      </left>
      <right/>
      <top style="thin">
        <color indexed="8"/>
      </top>
      <bottom/>
      <diagonal/>
    </border>
    <border>
      <left style="thin">
        <color indexed="8"/>
      </left>
      <right/>
      <top style="thin">
        <color indexed="8"/>
      </top>
      <bottom/>
      <diagonal/>
    </border>
    <border>
      <left style="double">
        <color indexed="8"/>
      </left>
      <right style="double">
        <color indexed="64"/>
      </right>
      <top style="thin">
        <color indexed="8"/>
      </top>
      <bottom/>
      <diagonal/>
    </border>
    <border>
      <left style="double">
        <color indexed="64"/>
      </left>
      <right/>
      <top style="thin">
        <color indexed="8"/>
      </top>
      <bottom/>
      <diagonal/>
    </border>
    <border>
      <left style="thick">
        <color indexed="8"/>
      </left>
      <right/>
      <top style="thin">
        <color indexed="8"/>
      </top>
      <bottom/>
      <diagonal/>
    </border>
    <border>
      <left/>
      <right/>
      <top style="thin">
        <color indexed="8"/>
      </top>
      <bottom/>
      <diagonal/>
    </border>
    <border>
      <left/>
      <right style="double">
        <color indexed="8"/>
      </right>
      <top style="thin">
        <color indexed="8"/>
      </top>
      <bottom style="thin">
        <color indexed="8"/>
      </bottom>
      <diagonal/>
    </border>
    <border>
      <left style="double">
        <color indexed="8"/>
      </left>
      <right style="thin">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64"/>
      </right>
      <top style="thin">
        <color indexed="8"/>
      </top>
      <bottom style="double">
        <color indexed="8"/>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double">
        <color indexed="64"/>
      </right>
      <top style="thin">
        <color auto="1"/>
      </top>
      <bottom style="thin">
        <color auto="1"/>
      </bottom>
      <diagonal/>
    </border>
    <border>
      <left style="thin">
        <color indexed="8"/>
      </left>
      <right style="thin">
        <color indexed="8"/>
      </right>
      <top/>
      <bottom style="thin">
        <color indexed="8"/>
      </bottom>
      <diagonal/>
    </border>
    <border>
      <left style="thin">
        <color indexed="8"/>
      </left>
      <right style="thin">
        <color indexed="64"/>
      </right>
      <top style="thin">
        <color auto="1"/>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rgb="FF333333"/>
      </bottom>
      <diagonal/>
    </border>
    <border>
      <left style="thin">
        <color rgb="FFE2E2E2"/>
      </left>
      <right style="thin">
        <color rgb="FFE2E2E2"/>
      </right>
      <top style="thin">
        <color rgb="FFE2E2E2"/>
      </top>
      <bottom style="thin">
        <color rgb="FFE2E2E2"/>
      </bottom>
      <diagonal/>
    </border>
    <border>
      <left/>
      <right/>
      <top style="thin">
        <color rgb="FF53565A"/>
      </top>
      <bottom/>
      <diagonal/>
    </border>
  </borders>
  <cellStyleXfs count="23">
    <xf numFmtId="1" fontId="0" fillId="0" borderId="0" applyFill="0" applyBorder="0"/>
    <xf numFmtId="164" fontId="22" fillId="0" borderId="0" applyFont="0" applyFill="0" applyBorder="0" applyAlignment="0" applyProtection="0"/>
    <xf numFmtId="164" fontId="22" fillId="0" borderId="0" applyFont="0" applyFill="0" applyBorder="0" applyAlignment="0" applyProtection="0"/>
    <xf numFmtId="0" fontId="21" fillId="0" borderId="0"/>
    <xf numFmtId="0" fontId="21" fillId="0" borderId="0"/>
    <xf numFmtId="0" fontId="5" fillId="0" borderId="0"/>
    <xf numFmtId="9" fontId="22" fillId="0" borderId="0" applyFont="0" applyFill="0" applyBorder="0" applyAlignment="0" applyProtection="0"/>
    <xf numFmtId="9" fontId="22" fillId="0" borderId="0" applyFont="0" applyFill="0" applyBorder="0" applyAlignment="0" applyProtection="0"/>
    <xf numFmtId="0" fontId="31" fillId="0" borderId="0" applyFill="0" applyBorder="0"/>
    <xf numFmtId="0" fontId="1" fillId="0" borderId="0"/>
    <xf numFmtId="43" fontId="1" fillId="0" borderId="0" applyFont="0" applyFill="0" applyBorder="0" applyAlignment="0" applyProtection="0"/>
    <xf numFmtId="9" fontId="1" fillId="0" borderId="0" applyFont="0" applyFill="0" applyBorder="0" applyAlignment="0" applyProtection="0"/>
    <xf numFmtId="173" fontId="56" fillId="30" borderId="0" applyNumberFormat="0" applyBorder="0" applyProtection="0">
      <alignment horizontal="left" vertical="top"/>
      <protection locked="0"/>
    </xf>
    <xf numFmtId="174" fontId="57" fillId="0" borderId="0">
      <protection locked="0"/>
    </xf>
    <xf numFmtId="173" fontId="59" fillId="31" borderId="0" applyNumberFormat="0" applyFill="0" applyBorder="0" applyAlignment="0" applyProtection="0">
      <protection locked="0"/>
    </xf>
    <xf numFmtId="173" fontId="60" fillId="0" borderId="172" applyNumberFormat="0" applyFill="0" applyProtection="0">
      <alignment horizontal="center"/>
      <protection locked="0"/>
    </xf>
    <xf numFmtId="173" fontId="61" fillId="32" borderId="0" applyNumberFormat="0" applyBorder="0" applyProtection="0">
      <alignment horizontal="left" vertical="top"/>
      <protection locked="0"/>
    </xf>
    <xf numFmtId="173" fontId="62" fillId="0" borderId="0" applyNumberFormat="0" applyFill="0" applyBorder="0" applyAlignment="0" applyProtection="0">
      <protection locked="0"/>
    </xf>
    <xf numFmtId="174" fontId="57" fillId="33" borderId="173" applyNumberFormat="0" applyFont="0" applyAlignment="0" applyProtection="0">
      <protection locked="0"/>
    </xf>
    <xf numFmtId="173" fontId="58" fillId="0" borderId="174" applyNumberFormat="0" applyFill="0" applyAlignment="0" applyProtection="0">
      <protection locked="0"/>
    </xf>
    <xf numFmtId="173" fontId="57" fillId="34" borderId="0" applyNumberFormat="0" applyFont="0" applyBorder="0" applyAlignment="0" applyProtection="0">
      <protection locked="0"/>
    </xf>
    <xf numFmtId="175" fontId="57" fillId="0" borderId="0" applyFont="0" applyFill="0" applyBorder="0" applyAlignment="0" applyProtection="0">
      <protection locked="0"/>
    </xf>
    <xf numFmtId="174" fontId="61" fillId="35" borderId="0" applyNumberFormat="0" applyBorder="0" applyProtection="0">
      <alignment horizontal="left" vertical="top"/>
      <protection locked="0"/>
    </xf>
  </cellStyleXfs>
  <cellXfs count="797">
    <xf numFmtId="1" fontId="0" fillId="0" borderId="0" xfId="0"/>
    <xf numFmtId="1" fontId="0" fillId="0" borderId="0" xfId="0" applyAlignment="1">
      <alignment horizontal="centerContinuous"/>
    </xf>
    <xf numFmtId="1" fontId="0" fillId="0" borderId="0" xfId="0" applyAlignment="1">
      <alignment horizontal="center"/>
    </xf>
    <xf numFmtId="0" fontId="5" fillId="0" borderId="0" xfId="5"/>
    <xf numFmtId="0" fontId="10" fillId="0" borderId="0" xfId="5" applyFont="1"/>
    <xf numFmtId="0" fontId="11" fillId="0" borderId="0" xfId="5" applyFont="1"/>
    <xf numFmtId="37" fontId="5" fillId="0" borderId="0" xfId="5" applyNumberFormat="1"/>
    <xf numFmtId="0" fontId="12" fillId="0" borderId="0" xfId="5" applyFont="1"/>
    <xf numFmtId="0" fontId="7" fillId="0" borderId="0" xfId="5" applyFont="1"/>
    <xf numFmtId="0" fontId="13" fillId="0" borderId="0" xfId="5" applyFont="1"/>
    <xf numFmtId="1" fontId="15" fillId="3" borderId="0" xfId="0" applyFont="1" applyFill="1" applyAlignment="1">
      <alignment vertical="center"/>
    </xf>
    <xf numFmtId="1" fontId="15" fillId="3" borderId="0" xfId="0" applyFont="1" applyFill="1"/>
    <xf numFmtId="1" fontId="15" fillId="0" borderId="0" xfId="0" applyFont="1"/>
    <xf numFmtId="1" fontId="15" fillId="3" borderId="2" xfId="0" applyFont="1" applyFill="1" applyBorder="1"/>
    <xf numFmtId="1" fontId="18" fillId="5" borderId="6" xfId="0" applyFont="1" applyFill="1" applyBorder="1" applyAlignment="1">
      <alignment horizontal="left" vertical="center" wrapText="1"/>
    </xf>
    <xf numFmtId="1" fontId="18" fillId="5" borderId="7" xfId="0" applyFont="1" applyFill="1" applyBorder="1" applyAlignment="1">
      <alignment horizontal="left" vertical="center" wrapText="1"/>
    </xf>
    <xf numFmtId="1" fontId="18" fillId="5" borderId="8" xfId="0" applyFont="1" applyFill="1" applyBorder="1" applyAlignment="1">
      <alignment horizontal="left" vertical="center" wrapText="1"/>
    </xf>
    <xf numFmtId="2" fontId="16" fillId="4" borderId="6" xfId="0" applyNumberFormat="1" applyFont="1" applyFill="1" applyBorder="1" applyAlignment="1">
      <alignment horizontal="center" vertical="center"/>
    </xf>
    <xf numFmtId="1" fontId="15" fillId="3" borderId="0" xfId="0" applyFont="1" applyFill="1" applyAlignment="1">
      <alignment horizontal="left" vertical="top"/>
    </xf>
    <xf numFmtId="9" fontId="0" fillId="0" borderId="0" xfId="6" applyFont="1"/>
    <xf numFmtId="9" fontId="5" fillId="0" borderId="0" xfId="6" applyFont="1"/>
    <xf numFmtId="164" fontId="5" fillId="0" borderId="0" xfId="1" applyFont="1"/>
    <xf numFmtId="167" fontId="5" fillId="0" borderId="0" xfId="1" applyNumberFormat="1" applyFont="1"/>
    <xf numFmtId="168" fontId="0" fillId="0" borderId="0" xfId="6" applyNumberFormat="1" applyFont="1"/>
    <xf numFmtId="10" fontId="0" fillId="0" borderId="0" xfId="6" applyNumberFormat="1" applyFont="1"/>
    <xf numFmtId="1" fontId="0" fillId="8" borderId="0" xfId="0" applyFill="1"/>
    <xf numFmtId="1" fontId="0" fillId="9" borderId="0" xfId="0" applyFill="1"/>
    <xf numFmtId="1" fontId="0" fillId="10" borderId="0" xfId="0" applyFill="1"/>
    <xf numFmtId="1" fontId="0" fillId="11" borderId="0" xfId="0" applyFill="1"/>
    <xf numFmtId="1" fontId="0" fillId="12" borderId="0" xfId="0" applyFill="1"/>
    <xf numFmtId="1" fontId="0" fillId="13" borderId="0" xfId="0" applyFill="1"/>
    <xf numFmtId="1" fontId="0" fillId="14" borderId="0" xfId="0" applyFill="1"/>
    <xf numFmtId="1" fontId="0" fillId="15" borderId="0" xfId="0" applyFill="1"/>
    <xf numFmtId="0" fontId="25" fillId="0" borderId="0" xfId="5" applyFont="1"/>
    <xf numFmtId="169" fontId="5" fillId="0" borderId="0" xfId="5" applyNumberFormat="1"/>
    <xf numFmtId="0" fontId="5" fillId="0" borderId="17" xfId="5" applyBorder="1"/>
    <xf numFmtId="3" fontId="7" fillId="0" borderId="19" xfId="5" applyNumberFormat="1" applyFont="1" applyBorder="1" applyAlignment="1" applyProtection="1">
      <alignment horizontal="center"/>
      <protection locked="0"/>
    </xf>
    <xf numFmtId="170" fontId="5" fillId="0" borderId="0" xfId="1" applyNumberFormat="1" applyFont="1"/>
    <xf numFmtId="0" fontId="5" fillId="0" borderId="2" xfId="5" applyBorder="1"/>
    <xf numFmtId="0" fontId="5" fillId="0" borderId="1" xfId="5" applyBorder="1"/>
    <xf numFmtId="9" fontId="5" fillId="0" borderId="0" xfId="6" applyFont="1" applyBorder="1"/>
    <xf numFmtId="0" fontId="5" fillId="0" borderId="20" xfId="5" applyBorder="1"/>
    <xf numFmtId="0" fontId="5" fillId="0" borderId="18" xfId="5" applyBorder="1"/>
    <xf numFmtId="0" fontId="5" fillId="0" borderId="16" xfId="5" applyBorder="1"/>
    <xf numFmtId="0" fontId="5" fillId="22" borderId="0" xfId="5" applyFill="1"/>
    <xf numFmtId="0" fontId="28" fillId="0" borderId="0" xfId="5" applyFont="1"/>
    <xf numFmtId="167" fontId="5" fillId="21" borderId="0" xfId="1" applyNumberFormat="1" applyFont="1" applyFill="1" applyAlignment="1">
      <alignment vertical="center"/>
    </xf>
    <xf numFmtId="37" fontId="10" fillId="0" borderId="21" xfId="5" applyNumberFormat="1" applyFont="1" applyBorder="1" applyProtection="1">
      <protection locked="0"/>
    </xf>
    <xf numFmtId="0" fontId="8" fillId="0" borderId="0" xfId="5" applyFont="1"/>
    <xf numFmtId="0" fontId="10" fillId="4" borderId="23" xfId="5" applyFont="1" applyFill="1" applyBorder="1" applyAlignment="1" applyProtection="1">
      <alignment horizontal="center"/>
      <protection locked="0"/>
    </xf>
    <xf numFmtId="0" fontId="10" fillId="4" borderId="0" xfId="5" applyFont="1" applyFill="1" applyAlignment="1" applyProtection="1">
      <alignment horizontal="center"/>
      <protection locked="0"/>
    </xf>
    <xf numFmtId="0" fontId="10" fillId="4" borderId="23" xfId="5" applyFont="1" applyFill="1" applyBorder="1"/>
    <xf numFmtId="0" fontId="10" fillId="4" borderId="0" xfId="5" applyFont="1" applyFill="1"/>
    <xf numFmtId="9" fontId="10" fillId="4" borderId="0" xfId="5" applyNumberFormat="1" applyFont="1" applyFill="1" applyProtection="1">
      <protection locked="0"/>
    </xf>
    <xf numFmtId="0" fontId="2" fillId="0" borderId="0" xfId="8" applyFont="1" applyAlignment="1" applyProtection="1">
      <alignment vertical="center"/>
      <protection locked="0"/>
    </xf>
    <xf numFmtId="171" fontId="2" fillId="0" borderId="0" xfId="8" applyNumberFormat="1" applyFont="1" applyAlignment="1" applyProtection="1">
      <alignment vertical="center"/>
      <protection locked="0" hidden="1"/>
    </xf>
    <xf numFmtId="171" fontId="32" fillId="0" borderId="0" xfId="8" applyNumberFormat="1" applyFont="1" applyAlignment="1" applyProtection="1">
      <alignment vertical="center"/>
      <protection locked="0" hidden="1"/>
    </xf>
    <xf numFmtId="0" fontId="32" fillId="0" borderId="0" xfId="8" applyFont="1" applyAlignment="1" applyProtection="1">
      <alignment vertical="center"/>
      <protection locked="0"/>
    </xf>
    <xf numFmtId="0" fontId="2" fillId="0" borderId="27" xfId="8" applyFont="1" applyBorder="1" applyAlignment="1" applyProtection="1">
      <alignment vertical="center"/>
      <protection locked="0"/>
    </xf>
    <xf numFmtId="0" fontId="2" fillId="0" borderId="28" xfId="8" applyFont="1" applyBorder="1" applyAlignment="1" applyProtection="1">
      <alignment vertical="center"/>
      <protection locked="0"/>
    </xf>
    <xf numFmtId="0" fontId="2" fillId="0" borderId="29" xfId="8" applyFont="1" applyBorder="1" applyAlignment="1">
      <alignment horizontal="center" vertical="center"/>
    </xf>
    <xf numFmtId="0" fontId="33" fillId="0" borderId="28" xfId="8" applyFont="1" applyBorder="1" applyAlignment="1" applyProtection="1">
      <alignment horizontal="center" vertical="center"/>
      <protection locked="0"/>
    </xf>
    <xf numFmtId="0" fontId="2" fillId="4" borderId="0" xfId="8" applyFont="1" applyFill="1" applyAlignment="1" applyProtection="1">
      <alignment horizontal="center" vertical="center"/>
      <protection locked="0"/>
    </xf>
    <xf numFmtId="0" fontId="2" fillId="4" borderId="28" xfId="8" applyFont="1" applyFill="1" applyBorder="1" applyAlignment="1" applyProtection="1">
      <alignment horizontal="center" vertical="center"/>
      <protection locked="0"/>
    </xf>
    <xf numFmtId="0" fontId="2" fillId="0" borderId="26" xfId="8" applyFont="1" applyBorder="1" applyAlignment="1">
      <alignment horizontal="center" vertical="center"/>
    </xf>
    <xf numFmtId="0" fontId="2" fillId="0" borderId="28" xfId="8" applyFont="1" applyBorder="1" applyAlignment="1" applyProtection="1">
      <alignment horizontal="center" vertical="center"/>
      <protection locked="0"/>
    </xf>
    <xf numFmtId="0" fontId="2" fillId="0" borderId="30" xfId="8" applyFont="1" applyBorder="1" applyAlignment="1" applyProtection="1">
      <alignment horizontal="center" vertical="center"/>
      <protection locked="0"/>
    </xf>
    <xf numFmtId="0" fontId="32" fillId="0" borderId="31" xfId="8" applyFont="1" applyBorder="1" applyAlignment="1" applyProtection="1">
      <alignment horizontal="center" vertical="center"/>
      <protection locked="0"/>
    </xf>
    <xf numFmtId="0" fontId="2" fillId="4" borderId="27" xfId="8" applyFont="1" applyFill="1" applyBorder="1" applyAlignment="1" applyProtection="1">
      <alignment horizontal="center" vertical="center"/>
      <protection locked="0"/>
    </xf>
    <xf numFmtId="0" fontId="2" fillId="4" borderId="32" xfId="8" applyFont="1" applyFill="1" applyBorder="1" applyAlignment="1" applyProtection="1">
      <alignment horizontal="center" vertical="center"/>
      <protection locked="0"/>
    </xf>
    <xf numFmtId="0" fontId="32" fillId="4" borderId="26" xfId="8" applyFont="1" applyFill="1" applyBorder="1" applyAlignment="1" applyProtection="1">
      <alignment horizontal="center" vertical="center"/>
      <protection locked="0"/>
    </xf>
    <xf numFmtId="0" fontId="32" fillId="4" borderId="28" xfId="8" applyFont="1" applyFill="1" applyBorder="1" applyAlignment="1" applyProtection="1">
      <alignment horizontal="center" vertical="center"/>
      <protection locked="0"/>
    </xf>
    <xf numFmtId="0" fontId="32" fillId="4" borderId="33" xfId="8" applyFont="1" applyFill="1" applyBorder="1" applyAlignment="1" applyProtection="1">
      <alignment horizontal="center" vertical="center"/>
      <protection locked="0"/>
    </xf>
    <xf numFmtId="0" fontId="32" fillId="4" borderId="32" xfId="8" applyFont="1" applyFill="1" applyBorder="1" applyAlignment="1" applyProtection="1">
      <alignment horizontal="center" vertical="center"/>
      <protection locked="0"/>
    </xf>
    <xf numFmtId="0" fontId="2" fillId="0" borderId="26" xfId="8" applyFont="1" applyBorder="1" applyAlignment="1" applyProtection="1">
      <alignment horizontal="center" vertical="center"/>
      <protection locked="0"/>
    </xf>
    <xf numFmtId="0" fontId="2" fillId="4" borderId="0" xfId="8" applyFont="1" applyFill="1" applyAlignment="1" applyProtection="1">
      <alignment vertical="center"/>
      <protection locked="0"/>
    </xf>
    <xf numFmtId="0" fontId="2" fillId="4" borderId="28" xfId="8" applyFont="1" applyFill="1" applyBorder="1" applyAlignment="1" applyProtection="1">
      <alignment vertical="center"/>
      <protection locked="0"/>
    </xf>
    <xf numFmtId="1" fontId="2" fillId="0" borderId="26" xfId="8" applyNumberFormat="1" applyFont="1" applyBorder="1" applyAlignment="1">
      <alignment horizontal="center" vertical="center"/>
    </xf>
    <xf numFmtId="0" fontId="32" fillId="0" borderId="28" xfId="8" applyFont="1" applyBorder="1" applyAlignment="1" applyProtection="1">
      <alignment vertical="center"/>
      <protection locked="0"/>
    </xf>
    <xf numFmtId="0" fontId="32" fillId="0" borderId="30" xfId="8" applyFont="1" applyBorder="1" applyAlignment="1" applyProtection="1">
      <alignment horizontal="center" vertical="center"/>
      <protection locked="0"/>
    </xf>
    <xf numFmtId="0" fontId="2" fillId="4" borderId="27" xfId="8" applyFont="1" applyFill="1" applyBorder="1" applyAlignment="1" applyProtection="1">
      <alignment vertical="center"/>
      <protection locked="0"/>
    </xf>
    <xf numFmtId="0" fontId="2" fillId="4" borderId="32" xfId="8" applyFont="1" applyFill="1" applyBorder="1" applyAlignment="1" applyProtection="1">
      <alignment vertical="center"/>
      <protection locked="0"/>
    </xf>
    <xf numFmtId="171" fontId="2" fillId="0" borderId="27" xfId="8" applyNumberFormat="1" applyFont="1" applyBorder="1" applyAlignment="1" applyProtection="1">
      <alignment vertical="center"/>
      <protection locked="0" hidden="1"/>
    </xf>
    <xf numFmtId="0" fontId="33" fillId="0" borderId="0" xfId="8" applyFont="1" applyAlignment="1" applyProtection="1">
      <alignment horizontal="left" vertical="center"/>
      <protection locked="0"/>
    </xf>
    <xf numFmtId="171" fontId="2" fillId="0" borderId="28" xfId="8" applyNumberFormat="1" applyFont="1" applyBorder="1" applyAlignment="1" applyProtection="1">
      <alignment vertical="center"/>
      <protection locked="0" hidden="1"/>
    </xf>
    <xf numFmtId="0" fontId="2" fillId="0" borderId="34" xfId="8" applyFont="1" applyBorder="1" applyAlignment="1" applyProtection="1">
      <alignment vertical="center"/>
      <protection locked="0"/>
    </xf>
    <xf numFmtId="0" fontId="33" fillId="0" borderId="34" xfId="8" applyFont="1" applyBorder="1" applyAlignment="1" applyProtection="1">
      <alignment horizontal="left" vertical="center"/>
      <protection locked="0"/>
    </xf>
    <xf numFmtId="0" fontId="2" fillId="0" borderId="31" xfId="8" applyFont="1" applyBorder="1" applyAlignment="1" applyProtection="1">
      <alignment vertical="center"/>
      <protection locked="0"/>
    </xf>
    <xf numFmtId="0" fontId="2" fillId="4" borderId="34" xfId="8" applyFont="1" applyFill="1" applyBorder="1" applyAlignment="1" applyProtection="1">
      <alignment vertical="center"/>
      <protection locked="0"/>
    </xf>
    <xf numFmtId="0" fontId="2" fillId="4" borderId="31" xfId="8" applyFont="1" applyFill="1" applyBorder="1" applyAlignment="1" applyProtection="1">
      <alignment vertical="center"/>
      <protection locked="0"/>
    </xf>
    <xf numFmtId="0" fontId="2" fillId="5" borderId="27" xfId="8" applyFont="1" applyFill="1" applyBorder="1" applyAlignment="1" applyProtection="1">
      <alignment vertical="center"/>
      <protection locked="0"/>
    </xf>
    <xf numFmtId="0" fontId="32" fillId="5" borderId="27" xfId="8" applyFont="1" applyFill="1" applyBorder="1" applyAlignment="1" applyProtection="1">
      <alignment vertical="center"/>
      <protection locked="0"/>
    </xf>
    <xf numFmtId="0" fontId="32" fillId="5" borderId="32" xfId="8" applyFont="1" applyFill="1" applyBorder="1" applyAlignment="1" applyProtection="1">
      <alignment vertical="center"/>
      <protection locked="0"/>
    </xf>
    <xf numFmtId="0" fontId="2" fillId="2" borderId="24" xfId="8" applyFont="1" applyFill="1" applyBorder="1" applyAlignment="1" applyProtection="1">
      <alignment vertical="center"/>
      <protection locked="0"/>
    </xf>
    <xf numFmtId="0" fontId="32" fillId="2" borderId="25" xfId="8" applyFont="1" applyFill="1" applyBorder="1" applyAlignment="1" applyProtection="1">
      <alignment vertical="center"/>
      <protection locked="0"/>
    </xf>
    <xf numFmtId="3" fontId="2" fillId="0" borderId="28" xfId="8" applyNumberFormat="1" applyFont="1" applyBorder="1" applyAlignment="1" applyProtection="1">
      <alignment vertical="center"/>
      <protection locked="0"/>
    </xf>
    <xf numFmtId="3" fontId="2" fillId="5" borderId="32" xfId="8" applyNumberFormat="1" applyFont="1" applyFill="1" applyBorder="1" applyAlignment="1">
      <alignment vertical="center"/>
    </xf>
    <xf numFmtId="3" fontId="2" fillId="5" borderId="33" xfId="8" applyNumberFormat="1" applyFont="1" applyFill="1" applyBorder="1" applyAlignment="1">
      <alignment vertical="center"/>
    </xf>
    <xf numFmtId="0" fontId="2" fillId="5" borderId="32" xfId="8" applyFont="1" applyFill="1" applyBorder="1" applyAlignment="1" applyProtection="1">
      <alignment vertical="center"/>
      <protection locked="0"/>
    </xf>
    <xf numFmtId="3" fontId="2" fillId="0" borderId="26" xfId="8" applyNumberFormat="1" applyFont="1" applyBorder="1" applyAlignment="1" applyProtection="1">
      <alignment vertical="center"/>
      <protection locked="0"/>
    </xf>
    <xf numFmtId="3" fontId="2" fillId="0" borderId="28" xfId="8" applyNumberFormat="1" applyFont="1" applyBorder="1" applyAlignment="1">
      <alignment vertical="center"/>
    </xf>
    <xf numFmtId="3" fontId="33" fillId="0" borderId="26" xfId="8" applyNumberFormat="1" applyFont="1" applyBorder="1" applyAlignment="1" applyProtection="1">
      <alignment vertical="center"/>
      <protection locked="0"/>
    </xf>
    <xf numFmtId="3" fontId="33" fillId="0" borderId="28" xfId="8" applyNumberFormat="1" applyFont="1" applyBorder="1" applyAlignment="1" applyProtection="1">
      <alignment vertical="center"/>
      <protection locked="0"/>
    </xf>
    <xf numFmtId="3" fontId="32" fillId="0" borderId="32" xfId="8" applyNumberFormat="1" applyFont="1" applyBorder="1" applyAlignment="1" applyProtection="1">
      <alignment vertical="center"/>
      <protection locked="0"/>
    </xf>
    <xf numFmtId="3" fontId="32" fillId="0" borderId="33" xfId="8" applyNumberFormat="1" applyFont="1" applyBorder="1" applyAlignment="1" applyProtection="1">
      <alignment vertical="center"/>
      <protection locked="0"/>
    </xf>
    <xf numFmtId="3" fontId="2" fillId="0" borderId="26" xfId="8" applyNumberFormat="1" applyFont="1" applyBorder="1" applyAlignment="1">
      <alignment vertical="center"/>
    </xf>
    <xf numFmtId="3" fontId="2" fillId="0" borderId="26" xfId="8" applyNumberFormat="1" applyFont="1" applyBorder="1" applyAlignment="1" applyProtection="1">
      <alignment horizontal="right" vertical="center"/>
      <protection locked="0"/>
    </xf>
    <xf numFmtId="3" fontId="2" fillId="0" borderId="26" xfId="8" applyNumberFormat="1" applyFont="1" applyBorder="1" applyAlignment="1" applyProtection="1">
      <alignment horizontal="center" vertical="center"/>
      <protection locked="0"/>
    </xf>
    <xf numFmtId="0" fontId="32" fillId="0" borderId="30" xfId="8" applyFont="1" applyBorder="1" applyAlignment="1" applyProtection="1">
      <alignment vertical="center"/>
      <protection locked="0"/>
    </xf>
    <xf numFmtId="0" fontId="32" fillId="0" borderId="31" xfId="8" applyFont="1" applyBorder="1" applyAlignment="1" applyProtection="1">
      <alignment vertical="center"/>
      <protection locked="0"/>
    </xf>
    <xf numFmtId="0" fontId="34" fillId="4" borderId="32" xfId="8" applyFont="1" applyFill="1" applyBorder="1" applyAlignment="1" applyProtection="1">
      <alignment vertical="center"/>
      <protection locked="0"/>
    </xf>
    <xf numFmtId="0" fontId="2" fillId="0" borderId="0" xfId="8" applyFont="1" applyAlignment="1" applyProtection="1">
      <alignment vertical="center"/>
      <protection locked="0" hidden="1"/>
    </xf>
    <xf numFmtId="0" fontId="32" fillId="4" borderId="27" xfId="8" applyFont="1" applyFill="1" applyBorder="1" applyAlignment="1" applyProtection="1">
      <alignment vertical="center"/>
      <protection locked="0"/>
    </xf>
    <xf numFmtId="0" fontId="32" fillId="4" borderId="32" xfId="8" applyFont="1" applyFill="1" applyBorder="1" applyAlignment="1" applyProtection="1">
      <alignment vertical="center"/>
      <protection locked="0"/>
    </xf>
    <xf numFmtId="0" fontId="32" fillId="4" borderId="33" xfId="8" applyFont="1" applyFill="1" applyBorder="1" applyAlignment="1" applyProtection="1">
      <alignment vertical="center"/>
      <protection locked="0"/>
    </xf>
    <xf numFmtId="0" fontId="2" fillId="0" borderId="35" xfId="8" applyFont="1" applyBorder="1" applyAlignment="1">
      <alignment vertical="center"/>
    </xf>
    <xf numFmtId="0" fontId="2" fillId="0" borderId="36" xfId="8" applyFont="1" applyBorder="1" applyAlignment="1">
      <alignment vertical="center"/>
    </xf>
    <xf numFmtId="0" fontId="2" fillId="0" borderId="37" xfId="8" applyFont="1" applyBorder="1" applyAlignment="1">
      <alignment vertical="center"/>
    </xf>
    <xf numFmtId="0" fontId="2" fillId="4" borderId="28" xfId="8" applyFont="1" applyFill="1" applyBorder="1" applyAlignment="1">
      <alignment vertical="center"/>
    </xf>
    <xf numFmtId="3" fontId="2" fillId="0" borderId="36" xfId="8" applyNumberFormat="1" applyFont="1" applyBorder="1" applyAlignment="1">
      <alignment vertical="center"/>
    </xf>
    <xf numFmtId="1" fontId="2" fillId="0" borderId="37" xfId="8" applyNumberFormat="1" applyFont="1" applyBorder="1" applyAlignment="1">
      <alignment vertical="center"/>
    </xf>
    <xf numFmtId="1" fontId="2" fillId="4" borderId="28" xfId="8" applyNumberFormat="1" applyFont="1" applyFill="1" applyBorder="1" applyAlignment="1">
      <alignment vertical="center"/>
    </xf>
    <xf numFmtId="3" fontId="2" fillId="0" borderId="35" xfId="8" applyNumberFormat="1" applyFont="1" applyBorder="1" applyAlignment="1">
      <alignment vertical="center"/>
    </xf>
    <xf numFmtId="3" fontId="32" fillId="0" borderId="36" xfId="8" applyNumberFormat="1" applyFont="1" applyBorder="1" applyAlignment="1">
      <alignment vertical="center"/>
    </xf>
    <xf numFmtId="0" fontId="32" fillId="0" borderId="37" xfId="8" applyFont="1" applyBorder="1" applyAlignment="1">
      <alignment vertical="center"/>
    </xf>
    <xf numFmtId="3" fontId="2" fillId="0" borderId="30" xfId="8" applyNumberFormat="1" applyFont="1" applyBorder="1" applyAlignment="1">
      <alignment vertical="center"/>
    </xf>
    <xf numFmtId="1" fontId="2" fillId="4" borderId="31" xfId="8" applyNumberFormat="1" applyFont="1" applyFill="1" applyBorder="1" applyAlignment="1">
      <alignment vertical="center"/>
    </xf>
    <xf numFmtId="0" fontId="32" fillId="4" borderId="38" xfId="8" applyFont="1" applyFill="1" applyBorder="1" applyAlignment="1" applyProtection="1">
      <alignment vertical="center"/>
      <protection locked="0"/>
    </xf>
    <xf numFmtId="0" fontId="32" fillId="4" borderId="39" xfId="8" applyFont="1" applyFill="1" applyBorder="1" applyAlignment="1" applyProtection="1">
      <alignment vertical="center"/>
      <protection locked="0"/>
    </xf>
    <xf numFmtId="0" fontId="32" fillId="4" borderId="40" xfId="8" applyFont="1" applyFill="1" applyBorder="1" applyAlignment="1" applyProtection="1">
      <alignment vertical="center"/>
      <protection locked="0"/>
    </xf>
    <xf numFmtId="0" fontId="33" fillId="0" borderId="0" xfId="8" applyFont="1" applyAlignment="1" applyProtection="1">
      <alignment vertical="center"/>
      <protection locked="0"/>
    </xf>
    <xf numFmtId="0" fontId="33" fillId="0" borderId="23" xfId="8" applyFont="1" applyBorder="1" applyAlignment="1" applyProtection="1">
      <alignment vertical="center"/>
      <protection locked="0"/>
    </xf>
    <xf numFmtId="0" fontId="2" fillId="4" borderId="26" xfId="8" applyFont="1" applyFill="1" applyBorder="1" applyAlignment="1" applyProtection="1">
      <alignment vertical="center"/>
      <protection locked="0"/>
    </xf>
    <xf numFmtId="0" fontId="32" fillId="4" borderId="0" xfId="8" applyFont="1" applyFill="1" applyAlignment="1" applyProtection="1">
      <alignment vertical="center"/>
      <protection locked="0"/>
    </xf>
    <xf numFmtId="0" fontId="32" fillId="4" borderId="28" xfId="8" applyFont="1" applyFill="1" applyBorder="1" applyAlignment="1" applyProtection="1">
      <alignment horizontal="left" vertical="center"/>
      <protection locked="0"/>
    </xf>
    <xf numFmtId="0" fontId="32" fillId="4" borderId="41" xfId="8" applyFont="1" applyFill="1" applyBorder="1" applyAlignment="1" applyProtection="1">
      <alignment vertical="center"/>
      <protection locked="0"/>
    </xf>
    <xf numFmtId="0" fontId="2" fillId="3" borderId="26" xfId="8" applyFont="1" applyFill="1" applyBorder="1" applyAlignment="1" applyProtection="1">
      <alignment vertical="center"/>
      <protection locked="0"/>
    </xf>
    <xf numFmtId="165" fontId="33" fillId="3" borderId="26" xfId="8" applyNumberFormat="1" applyFont="1" applyFill="1" applyBorder="1" applyAlignment="1" applyProtection="1">
      <alignment vertical="center"/>
      <protection locked="0"/>
    </xf>
    <xf numFmtId="0" fontId="33" fillId="3" borderId="30" xfId="8" applyFont="1" applyFill="1" applyBorder="1" applyAlignment="1" applyProtection="1">
      <alignment vertical="center"/>
      <protection locked="0"/>
    </xf>
    <xf numFmtId="0" fontId="2" fillId="3" borderId="30" xfId="8" applyFont="1" applyFill="1" applyBorder="1" applyAlignment="1" applyProtection="1">
      <alignment horizontal="center" vertical="center"/>
      <protection locked="0"/>
    </xf>
    <xf numFmtId="0" fontId="2" fillId="4" borderId="26" xfId="8" applyFont="1" applyFill="1" applyBorder="1" applyAlignment="1" applyProtection="1">
      <alignment horizontal="center" vertical="center"/>
      <protection locked="0"/>
    </xf>
    <xf numFmtId="165" fontId="33" fillId="0" borderId="42" xfId="8" applyNumberFormat="1" applyFont="1" applyBorder="1" applyAlignment="1" applyProtection="1">
      <alignment vertical="center"/>
      <protection locked="0"/>
    </xf>
    <xf numFmtId="165" fontId="33" fillId="0" borderId="43" xfId="8" applyNumberFormat="1" applyFont="1" applyBorder="1" applyAlignment="1" applyProtection="1">
      <alignment vertical="center"/>
      <protection locked="0"/>
    </xf>
    <xf numFmtId="165" fontId="33" fillId="0" borderId="26" xfId="8" applyNumberFormat="1" applyFont="1" applyBorder="1" applyAlignment="1" applyProtection="1">
      <alignment vertical="center"/>
      <protection locked="0"/>
    </xf>
    <xf numFmtId="0" fontId="33" fillId="0" borderId="44" xfId="8" applyFont="1" applyBorder="1" applyAlignment="1" applyProtection="1">
      <alignment vertical="center"/>
      <protection locked="0"/>
    </xf>
    <xf numFmtId="0" fontId="33" fillId="0" borderId="26" xfId="8" applyFont="1" applyBorder="1" applyAlignment="1" applyProtection="1">
      <alignment vertical="center"/>
      <protection locked="0"/>
    </xf>
    <xf numFmtId="0" fontId="2" fillId="0" borderId="45" xfId="8" applyFont="1" applyBorder="1" applyAlignment="1" applyProtection="1">
      <alignment vertical="center"/>
      <protection locked="0"/>
    </xf>
    <xf numFmtId="0" fontId="2" fillId="0" borderId="30" xfId="8" applyFont="1" applyBorder="1" applyAlignment="1" applyProtection="1">
      <alignment vertical="center"/>
      <protection locked="0"/>
    </xf>
    <xf numFmtId="0" fontId="2" fillId="0" borderId="46" xfId="8" applyFont="1" applyBorder="1" applyAlignment="1" applyProtection="1">
      <alignment vertical="center"/>
      <protection locked="0"/>
    </xf>
    <xf numFmtId="0" fontId="32" fillId="23" borderId="47" xfId="8" applyFont="1" applyFill="1" applyBorder="1" applyAlignment="1" applyProtection="1">
      <alignment horizontal="right" vertical="center"/>
      <protection locked="0"/>
    </xf>
    <xf numFmtId="0" fontId="32" fillId="23" borderId="33" xfId="8" applyFont="1" applyFill="1" applyBorder="1" applyAlignment="1" applyProtection="1">
      <alignment horizontal="right" vertical="center"/>
      <protection locked="0"/>
    </xf>
    <xf numFmtId="0" fontId="2" fillId="3" borderId="24" xfId="8" applyFont="1" applyFill="1" applyBorder="1" applyAlignment="1" applyProtection="1">
      <alignment vertical="center"/>
      <protection locked="0"/>
    </xf>
    <xf numFmtId="0" fontId="32" fillId="3" borderId="25" xfId="8" applyFont="1" applyFill="1" applyBorder="1" applyAlignment="1" applyProtection="1">
      <alignment vertical="center"/>
      <protection locked="0"/>
    </xf>
    <xf numFmtId="3" fontId="2" fillId="5" borderId="48" xfId="8" applyNumberFormat="1" applyFont="1" applyFill="1" applyBorder="1" applyAlignment="1">
      <alignment vertical="center"/>
    </xf>
    <xf numFmtId="3" fontId="2" fillId="5" borderId="49" xfId="8" applyNumberFormat="1" applyFont="1" applyFill="1" applyBorder="1" applyAlignment="1">
      <alignment vertical="center"/>
    </xf>
    <xf numFmtId="3" fontId="2" fillId="5" borderId="41" xfId="8" applyNumberFormat="1" applyFont="1" applyFill="1" applyBorder="1" applyAlignment="1">
      <alignment vertical="center"/>
    </xf>
    <xf numFmtId="3" fontId="2" fillId="0" borderId="45" xfId="8" applyNumberFormat="1" applyFont="1" applyBorder="1" applyAlignment="1">
      <alignment vertical="center"/>
    </xf>
    <xf numFmtId="3" fontId="2" fillId="24" borderId="50" xfId="8" applyNumberFormat="1" applyFont="1" applyFill="1" applyBorder="1" applyAlignment="1">
      <alignment vertical="center"/>
    </xf>
    <xf numFmtId="165" fontId="2" fillId="4" borderId="34" xfId="8" applyNumberFormat="1" applyFont="1" applyFill="1" applyBorder="1" applyAlignment="1" applyProtection="1">
      <alignment vertical="center"/>
      <protection locked="0"/>
    </xf>
    <xf numFmtId="0" fontId="32" fillId="4" borderId="31" xfId="8" applyFont="1" applyFill="1" applyBorder="1" applyAlignment="1" applyProtection="1">
      <alignment horizontal="center" vertical="center"/>
      <protection locked="0"/>
    </xf>
    <xf numFmtId="3" fontId="2" fillId="0" borderId="44" xfId="8" applyNumberFormat="1" applyFont="1" applyBorder="1" applyAlignment="1">
      <alignment vertical="center"/>
    </xf>
    <xf numFmtId="3" fontId="2" fillId="24" borderId="23" xfId="8" applyNumberFormat="1" applyFont="1" applyFill="1" applyBorder="1" applyAlignment="1">
      <alignment vertical="center"/>
    </xf>
    <xf numFmtId="165" fontId="2" fillId="4" borderId="0" xfId="8" applyNumberFormat="1" applyFont="1" applyFill="1" applyAlignment="1" applyProtection="1">
      <alignment vertical="center"/>
      <protection locked="0"/>
    </xf>
    <xf numFmtId="3" fontId="2" fillId="0" borderId="51" xfId="8" applyNumberFormat="1" applyFont="1" applyBorder="1" applyAlignment="1">
      <alignment vertical="center"/>
    </xf>
    <xf numFmtId="3" fontId="2" fillId="0" borderId="33" xfId="8" applyNumberFormat="1" applyFont="1" applyBorder="1" applyAlignment="1">
      <alignment vertical="center"/>
    </xf>
    <xf numFmtId="3" fontId="2" fillId="24" borderId="41" xfId="8" applyNumberFormat="1" applyFont="1" applyFill="1" applyBorder="1" applyAlignment="1">
      <alignment vertical="center"/>
    </xf>
    <xf numFmtId="165" fontId="2" fillId="4" borderId="27" xfId="8" applyNumberFormat="1" applyFont="1" applyFill="1" applyBorder="1" applyAlignment="1" applyProtection="1">
      <alignment vertical="center"/>
      <protection locked="0"/>
    </xf>
    <xf numFmtId="0" fontId="2" fillId="4" borderId="28" xfId="8" applyFont="1" applyFill="1" applyBorder="1" applyAlignment="1" applyProtection="1">
      <alignment horizontal="left" vertical="center"/>
      <protection locked="0"/>
    </xf>
    <xf numFmtId="0" fontId="2" fillId="24" borderId="50" xfId="8" applyFont="1" applyFill="1" applyBorder="1" applyAlignment="1" applyProtection="1">
      <alignment vertical="center"/>
      <protection locked="0"/>
    </xf>
    <xf numFmtId="0" fontId="34" fillId="4" borderId="31" xfId="8" applyFont="1" applyFill="1" applyBorder="1" applyAlignment="1" applyProtection="1">
      <alignment vertical="center"/>
      <protection locked="0"/>
    </xf>
    <xf numFmtId="0" fontId="2" fillId="23" borderId="0" xfId="8" applyFont="1" applyFill="1" applyAlignment="1" applyProtection="1">
      <alignment vertical="center"/>
      <protection locked="0"/>
    </xf>
    <xf numFmtId="0" fontId="32" fillId="23" borderId="28" xfId="8" applyFont="1" applyFill="1" applyBorder="1" applyAlignment="1" applyProtection="1">
      <alignment vertical="center"/>
      <protection locked="0"/>
    </xf>
    <xf numFmtId="0" fontId="2" fillId="23" borderId="27" xfId="8" applyFont="1" applyFill="1" applyBorder="1" applyAlignment="1" applyProtection="1">
      <alignment vertical="center"/>
      <protection locked="0"/>
    </xf>
    <xf numFmtId="0" fontId="32" fillId="23" borderId="32" xfId="8" applyFont="1" applyFill="1" applyBorder="1" applyAlignment="1" applyProtection="1">
      <alignment vertical="center"/>
      <protection locked="0"/>
    </xf>
    <xf numFmtId="3" fontId="2" fillId="5" borderId="55" xfId="8" applyNumberFormat="1" applyFont="1" applyFill="1" applyBorder="1" applyAlignment="1">
      <alignment vertical="center"/>
    </xf>
    <xf numFmtId="3" fontId="2" fillId="5" borderId="56" xfId="8" applyNumberFormat="1" applyFont="1" applyFill="1" applyBorder="1" applyAlignment="1">
      <alignment vertical="center"/>
    </xf>
    <xf numFmtId="3" fontId="2" fillId="5" borderId="57" xfId="8" applyNumberFormat="1" applyFont="1" applyFill="1" applyBorder="1" applyAlignment="1">
      <alignment vertical="center"/>
    </xf>
    <xf numFmtId="3" fontId="2" fillId="4" borderId="45" xfId="8" applyNumberFormat="1" applyFont="1" applyFill="1" applyBorder="1" applyAlignment="1">
      <alignment vertical="center"/>
    </xf>
    <xf numFmtId="3" fontId="2" fillId="4" borderId="30" xfId="8" applyNumberFormat="1" applyFont="1" applyFill="1" applyBorder="1" applyAlignment="1">
      <alignment vertical="center"/>
    </xf>
    <xf numFmtId="3" fontId="2" fillId="4" borderId="58" xfId="8" applyNumberFormat="1" applyFont="1" applyFill="1" applyBorder="1" applyAlignment="1">
      <alignment vertical="center"/>
    </xf>
    <xf numFmtId="3" fontId="33" fillId="0" borderId="44" xfId="8" applyNumberFormat="1" applyFont="1" applyBorder="1" applyAlignment="1" applyProtection="1">
      <alignment vertical="center"/>
      <protection locked="0"/>
    </xf>
    <xf numFmtId="3" fontId="33" fillId="0" borderId="46" xfId="8" applyNumberFormat="1" applyFont="1" applyBorder="1" applyAlignment="1" applyProtection="1">
      <alignment vertical="center"/>
      <protection locked="0"/>
    </xf>
    <xf numFmtId="165" fontId="2" fillId="0" borderId="26" xfId="8" applyNumberFormat="1" applyFont="1" applyBorder="1" applyAlignment="1" applyProtection="1">
      <alignment horizontal="center" vertical="center"/>
      <protection locked="0"/>
    </xf>
    <xf numFmtId="3" fontId="2" fillId="0" borderId="51" xfId="8" applyNumberFormat="1" applyFont="1" applyBorder="1" applyAlignment="1" applyProtection="1">
      <alignment vertical="center"/>
      <protection locked="0"/>
    </xf>
    <xf numFmtId="3" fontId="2" fillId="0" borderId="33" xfId="8" applyNumberFormat="1" applyFont="1" applyBorder="1" applyAlignment="1" applyProtection="1">
      <alignment vertical="center"/>
      <protection locked="0"/>
    </xf>
    <xf numFmtId="3" fontId="2" fillId="0" borderId="59" xfId="8" applyNumberFormat="1" applyFont="1" applyBorder="1" applyAlignment="1" applyProtection="1">
      <alignment vertical="center"/>
      <protection locked="0"/>
    </xf>
    <xf numFmtId="165" fontId="2" fillId="0" borderId="33" xfId="8" applyNumberFormat="1" applyFont="1" applyBorder="1" applyAlignment="1" applyProtection="1">
      <alignment vertical="center"/>
      <protection locked="0"/>
    </xf>
    <xf numFmtId="3" fontId="2" fillId="4" borderId="60" xfId="8" applyNumberFormat="1" applyFont="1" applyFill="1" applyBorder="1" applyAlignment="1">
      <alignment vertical="center"/>
    </xf>
    <xf numFmtId="0" fontId="33" fillId="4" borderId="28" xfId="8" applyFont="1" applyFill="1" applyBorder="1" applyAlignment="1" applyProtection="1">
      <alignment vertical="center"/>
      <protection locked="0"/>
    </xf>
    <xf numFmtId="165" fontId="33" fillId="0" borderId="61" xfId="8" applyNumberFormat="1" applyFont="1" applyBorder="1" applyAlignment="1" applyProtection="1">
      <alignment vertical="center"/>
      <protection locked="0"/>
    </xf>
    <xf numFmtId="165" fontId="33" fillId="0" borderId="62" xfId="8" applyNumberFormat="1" applyFont="1" applyBorder="1" applyAlignment="1" applyProtection="1">
      <alignment vertical="center"/>
      <protection locked="0"/>
    </xf>
    <xf numFmtId="0" fontId="2" fillId="0" borderId="58" xfId="8" applyFont="1" applyBorder="1" applyAlignment="1" applyProtection="1">
      <alignment vertical="center"/>
      <protection locked="0"/>
    </xf>
    <xf numFmtId="0" fontId="34" fillId="4" borderId="63" xfId="8" applyFont="1" applyFill="1" applyBorder="1" applyAlignment="1" applyProtection="1">
      <alignment vertical="center"/>
      <protection locked="0"/>
    </xf>
    <xf numFmtId="0" fontId="32" fillId="23" borderId="26" xfId="8" applyFont="1" applyFill="1" applyBorder="1" applyAlignment="1" applyProtection="1">
      <alignment horizontal="center" vertical="center"/>
      <protection locked="0"/>
    </xf>
    <xf numFmtId="0" fontId="32" fillId="23" borderId="28" xfId="8" applyFont="1" applyFill="1" applyBorder="1" applyAlignment="1" applyProtection="1">
      <alignment horizontal="center" vertical="center"/>
      <protection locked="0"/>
    </xf>
    <xf numFmtId="0" fontId="32" fillId="23" borderId="33" xfId="8" applyFont="1" applyFill="1" applyBorder="1" applyAlignment="1" applyProtection="1">
      <alignment horizontal="center" vertical="center"/>
      <protection locked="0"/>
    </xf>
    <xf numFmtId="0" fontId="32" fillId="23" borderId="32" xfId="8" applyFont="1" applyFill="1" applyBorder="1" applyAlignment="1" applyProtection="1">
      <alignment horizontal="center" vertical="center"/>
      <protection locked="0"/>
    </xf>
    <xf numFmtId="0" fontId="35" fillId="0" borderId="0" xfId="8" applyFont="1" applyAlignment="1" applyProtection="1">
      <alignment vertical="center"/>
      <protection locked="0"/>
    </xf>
    <xf numFmtId="172" fontId="32" fillId="5" borderId="48" xfId="8" applyNumberFormat="1" applyFont="1" applyFill="1" applyBorder="1" applyAlignment="1">
      <alignment vertical="center"/>
    </xf>
    <xf numFmtId="172" fontId="32" fillId="5" borderId="49" xfId="8" applyNumberFormat="1" applyFont="1" applyFill="1" applyBorder="1" applyAlignment="1">
      <alignment vertical="center"/>
    </xf>
    <xf numFmtId="172" fontId="32" fillId="5" borderId="33" xfId="8" applyNumberFormat="1" applyFont="1" applyFill="1" applyBorder="1" applyAlignment="1">
      <alignment vertical="center"/>
    </xf>
    <xf numFmtId="172" fontId="32" fillId="5" borderId="32" xfId="8" applyNumberFormat="1" applyFont="1" applyFill="1" applyBorder="1" applyAlignment="1">
      <alignment vertical="center"/>
    </xf>
    <xf numFmtId="0" fontId="2" fillId="0" borderId="44" xfId="8" applyFont="1" applyBorder="1" applyAlignment="1" applyProtection="1">
      <alignment vertical="center"/>
      <protection locked="0"/>
    </xf>
    <xf numFmtId="0" fontId="2" fillId="0" borderId="26" xfId="8" applyFont="1" applyBorder="1" applyAlignment="1" applyProtection="1">
      <alignment vertical="center"/>
      <protection locked="0"/>
    </xf>
    <xf numFmtId="172" fontId="2" fillId="0" borderId="44" xfId="8" applyNumberFormat="1" applyFont="1" applyBorder="1" applyAlignment="1">
      <alignment vertical="center"/>
    </xf>
    <xf numFmtId="172" fontId="2" fillId="0" borderId="26" xfId="8" applyNumberFormat="1" applyFont="1" applyBorder="1" applyAlignment="1">
      <alignment vertical="center"/>
    </xf>
    <xf numFmtId="172" fontId="33" fillId="0" borderId="28" xfId="8" applyNumberFormat="1" applyFont="1" applyBorder="1" applyAlignment="1" applyProtection="1">
      <alignment vertical="center"/>
      <protection locked="0"/>
    </xf>
    <xf numFmtId="0" fontId="2" fillId="0" borderId="44" xfId="8" applyFont="1" applyBorder="1" applyAlignment="1">
      <alignment vertical="center"/>
    </xf>
    <xf numFmtId="0" fontId="2" fillId="0" borderId="26" xfId="8" applyFont="1" applyBorder="1" applyAlignment="1">
      <alignment vertical="center"/>
    </xf>
    <xf numFmtId="165" fontId="2" fillId="0" borderId="44" xfId="8" applyNumberFormat="1" applyFont="1" applyBorder="1" applyAlignment="1">
      <alignment vertical="center"/>
    </xf>
    <xf numFmtId="165" fontId="2" fillId="0" borderId="26" xfId="8" applyNumberFormat="1" applyFont="1" applyBorder="1" applyAlignment="1">
      <alignment vertical="center"/>
    </xf>
    <xf numFmtId="165" fontId="33" fillId="0" borderId="28" xfId="8" applyNumberFormat="1" applyFont="1" applyBorder="1" applyAlignment="1" applyProtection="1">
      <alignment vertical="center"/>
      <protection locked="0"/>
    </xf>
    <xf numFmtId="0" fontId="32" fillId="0" borderId="51" xfId="8" applyFont="1" applyBorder="1" applyAlignment="1" applyProtection="1">
      <alignment vertical="center"/>
      <protection locked="0"/>
    </xf>
    <xf numFmtId="0" fontId="32" fillId="0" borderId="33" xfId="8" applyFont="1" applyBorder="1" applyAlignment="1" applyProtection="1">
      <alignment vertical="center"/>
      <protection locked="0"/>
    </xf>
    <xf numFmtId="0" fontId="32" fillId="0" borderId="32" xfId="8" applyFont="1" applyBorder="1" applyAlignment="1" applyProtection="1">
      <alignment vertical="center"/>
      <protection locked="0"/>
    </xf>
    <xf numFmtId="0" fontId="32" fillId="23" borderId="44" xfId="8" applyFont="1" applyFill="1" applyBorder="1" applyAlignment="1" applyProtection="1">
      <alignment vertical="center"/>
      <protection locked="0"/>
    </xf>
    <xf numFmtId="0" fontId="32" fillId="23" borderId="26" xfId="8" applyFont="1" applyFill="1" applyBorder="1" applyAlignment="1" applyProtection="1">
      <alignment vertical="center"/>
      <protection locked="0"/>
    </xf>
    <xf numFmtId="0" fontId="32" fillId="23" borderId="28" xfId="8" applyFont="1" applyFill="1" applyBorder="1" applyAlignment="1" applyProtection="1">
      <alignment horizontal="left" vertical="center"/>
      <protection locked="0"/>
    </xf>
    <xf numFmtId="0" fontId="32" fillId="23" borderId="51" xfId="8" applyFont="1" applyFill="1" applyBorder="1" applyAlignment="1" applyProtection="1">
      <alignment vertical="center"/>
      <protection locked="0"/>
    </xf>
    <xf numFmtId="0" fontId="32" fillId="23" borderId="33" xfId="8" applyFont="1" applyFill="1" applyBorder="1" applyAlignment="1" applyProtection="1">
      <alignment vertical="center"/>
      <protection locked="0"/>
    </xf>
    <xf numFmtId="0" fontId="32" fillId="23" borderId="32" xfId="8" applyFont="1" applyFill="1" applyBorder="1" applyAlignment="1" applyProtection="1">
      <alignment horizontal="left" vertical="center"/>
      <protection locked="0"/>
    </xf>
    <xf numFmtId="3" fontId="2" fillId="0" borderId="0" xfId="8" applyNumberFormat="1" applyFont="1" applyAlignment="1" applyProtection="1">
      <alignment vertical="center"/>
      <protection locked="0"/>
    </xf>
    <xf numFmtId="0" fontId="32" fillId="0" borderId="27" xfId="8" applyFont="1" applyBorder="1" applyAlignment="1" applyProtection="1">
      <alignment vertical="center"/>
      <protection locked="0"/>
    </xf>
    <xf numFmtId="3" fontId="32" fillId="5" borderId="67" xfId="8" applyNumberFormat="1" applyFont="1" applyFill="1" applyBorder="1" applyAlignment="1">
      <alignment vertical="center"/>
    </xf>
    <xf numFmtId="3" fontId="32" fillId="5" borderId="68" xfId="8" applyNumberFormat="1" applyFont="1" applyFill="1" applyBorder="1" applyAlignment="1">
      <alignment vertical="center"/>
    </xf>
    <xf numFmtId="3" fontId="32" fillId="5" borderId="49" xfId="8" applyNumberFormat="1" applyFont="1" applyFill="1" applyBorder="1" applyAlignment="1">
      <alignment vertical="center"/>
    </xf>
    <xf numFmtId="3" fontId="32" fillId="5" borderId="32" xfId="8" applyNumberFormat="1" applyFont="1" applyFill="1" applyBorder="1" applyAlignment="1">
      <alignment vertical="center"/>
    </xf>
    <xf numFmtId="0" fontId="32" fillId="5" borderId="32" xfId="8" applyFont="1" applyFill="1" applyBorder="1" applyAlignment="1" applyProtection="1">
      <alignment horizontal="right" vertical="center"/>
      <protection locked="0"/>
    </xf>
    <xf numFmtId="49" fontId="36" fillId="4" borderId="28" xfId="8" applyNumberFormat="1" applyFont="1" applyFill="1" applyBorder="1" applyAlignment="1" applyProtection="1">
      <alignment vertical="center"/>
      <protection locked="0"/>
    </xf>
    <xf numFmtId="3" fontId="33" fillId="0" borderId="36" xfId="8" applyNumberFormat="1" applyFont="1" applyBorder="1" applyAlignment="1" applyProtection="1">
      <alignment vertical="center"/>
      <protection locked="0"/>
    </xf>
    <xf numFmtId="165" fontId="33" fillId="0" borderId="36" xfId="8" applyNumberFormat="1" applyFont="1" applyBorder="1" applyAlignment="1" applyProtection="1">
      <alignment vertical="center"/>
      <protection locked="0"/>
    </xf>
    <xf numFmtId="0" fontId="32" fillId="23" borderId="44" xfId="8" applyFont="1" applyFill="1" applyBorder="1" applyAlignment="1" applyProtection="1">
      <alignment horizontal="centerContinuous" vertical="center"/>
      <protection locked="0"/>
    </xf>
    <xf numFmtId="0" fontId="32" fillId="23" borderId="26" xfId="8" applyFont="1" applyFill="1" applyBorder="1" applyAlignment="1" applyProtection="1">
      <alignment horizontal="centerContinuous" vertical="center"/>
      <protection locked="0"/>
    </xf>
    <xf numFmtId="0" fontId="32" fillId="23" borderId="28" xfId="8" applyFont="1" applyFill="1" applyBorder="1" applyAlignment="1" applyProtection="1">
      <alignment horizontal="centerContinuous" vertical="center"/>
      <protection locked="0"/>
    </xf>
    <xf numFmtId="0" fontId="32" fillId="23" borderId="51" xfId="8" applyFont="1" applyFill="1" applyBorder="1" applyAlignment="1" applyProtection="1">
      <alignment horizontal="centerContinuous" vertical="center"/>
      <protection locked="0"/>
    </xf>
    <xf numFmtId="0" fontId="32" fillId="23" borderId="33" xfId="8" applyFont="1" applyFill="1" applyBorder="1" applyAlignment="1" applyProtection="1">
      <alignment horizontal="centerContinuous" vertical="center"/>
      <protection locked="0"/>
    </xf>
    <xf numFmtId="0" fontId="32" fillId="23" borderId="32" xfId="8" applyFont="1" applyFill="1" applyBorder="1" applyAlignment="1" applyProtection="1">
      <alignment horizontal="centerContinuous" vertical="center"/>
      <protection locked="0"/>
    </xf>
    <xf numFmtId="0" fontId="2" fillId="0" borderId="69" xfId="8" applyFont="1" applyBorder="1" applyAlignment="1" applyProtection="1">
      <alignment vertical="center"/>
      <protection locked="0"/>
    </xf>
    <xf numFmtId="3" fontId="33" fillId="0" borderId="69" xfId="8" applyNumberFormat="1" applyFont="1" applyBorder="1" applyAlignment="1" applyProtection="1">
      <alignment vertical="center"/>
      <protection locked="0"/>
    </xf>
    <xf numFmtId="3" fontId="33" fillId="0" borderId="0" xfId="8" applyNumberFormat="1" applyFont="1" applyAlignment="1" applyProtection="1">
      <alignment vertical="center"/>
      <protection locked="0"/>
    </xf>
    <xf numFmtId="0" fontId="32" fillId="4" borderId="26" xfId="8" applyFont="1" applyFill="1" applyBorder="1" applyAlignment="1" applyProtection="1">
      <alignment vertical="center"/>
      <protection locked="0"/>
    </xf>
    <xf numFmtId="0" fontId="32" fillId="4" borderId="28" xfId="8" applyFont="1" applyFill="1" applyBorder="1" applyAlignment="1" applyProtection="1">
      <alignment vertical="center"/>
      <protection locked="0"/>
    </xf>
    <xf numFmtId="0" fontId="32" fillId="4" borderId="26" xfId="8" applyFont="1" applyFill="1" applyBorder="1" applyAlignment="1">
      <alignment vertical="center"/>
    </xf>
    <xf numFmtId="0" fontId="32" fillId="23" borderId="0" xfId="8" applyFont="1" applyFill="1" applyAlignment="1" applyProtection="1">
      <alignment vertical="center"/>
      <protection locked="0"/>
    </xf>
    <xf numFmtId="0" fontId="32" fillId="23" borderId="70" xfId="8" applyFont="1" applyFill="1" applyBorder="1" applyAlignment="1" applyProtection="1">
      <alignment horizontal="centerContinuous" vertical="center"/>
      <protection locked="0"/>
    </xf>
    <xf numFmtId="0" fontId="32" fillId="23" borderId="27" xfId="8" applyFont="1" applyFill="1" applyBorder="1" applyAlignment="1" applyProtection="1">
      <alignment horizontal="center" vertical="center"/>
      <protection locked="0"/>
    </xf>
    <xf numFmtId="0" fontId="2" fillId="3" borderId="27" xfId="8" applyFont="1" applyFill="1" applyBorder="1" applyAlignment="1" applyProtection="1">
      <alignment vertical="center"/>
      <protection locked="0"/>
    </xf>
    <xf numFmtId="3" fontId="2" fillId="5" borderId="71" xfId="8" applyNumberFormat="1" applyFont="1" applyFill="1" applyBorder="1" applyAlignment="1">
      <alignment vertical="center"/>
    </xf>
    <xf numFmtId="3" fontId="32" fillId="5" borderId="27" xfId="8" applyNumberFormat="1" applyFont="1" applyFill="1" applyBorder="1" applyAlignment="1" applyProtection="1">
      <alignment vertical="center"/>
      <protection locked="0"/>
    </xf>
    <xf numFmtId="0" fontId="2" fillId="0" borderId="42" xfId="8" applyFont="1" applyBorder="1" applyAlignment="1" applyProtection="1">
      <alignment vertical="center"/>
      <protection locked="0"/>
    </xf>
    <xf numFmtId="0" fontId="2" fillId="0" borderId="72" xfId="8" applyFont="1" applyBorder="1" applyAlignment="1" applyProtection="1">
      <alignment vertical="center"/>
      <protection locked="0"/>
    </xf>
    <xf numFmtId="9" fontId="2" fillId="0" borderId="26" xfId="8" applyNumberFormat="1" applyFont="1" applyBorder="1" applyAlignment="1">
      <alignment vertical="center"/>
    </xf>
    <xf numFmtId="4" fontId="2" fillId="0" borderId="26" xfId="8" applyNumberFormat="1" applyFont="1" applyBorder="1" applyAlignment="1" applyProtection="1">
      <alignment vertical="center"/>
      <protection locked="0"/>
    </xf>
    <xf numFmtId="0" fontId="2" fillId="4" borderId="28" xfId="8" applyFont="1" applyFill="1" applyBorder="1" applyAlignment="1" applyProtection="1">
      <alignment horizontal="centerContinuous" vertical="center"/>
      <protection locked="0"/>
    </xf>
    <xf numFmtId="0" fontId="36" fillId="4" borderId="26" xfId="8" applyFont="1" applyFill="1" applyBorder="1" applyAlignment="1" applyProtection="1">
      <alignment vertical="center"/>
      <protection locked="0"/>
    </xf>
    <xf numFmtId="0" fontId="36" fillId="4" borderId="28" xfId="8" applyFont="1" applyFill="1" applyBorder="1" applyAlignment="1" applyProtection="1">
      <alignment vertical="center"/>
      <protection locked="0"/>
    </xf>
    <xf numFmtId="4" fontId="33" fillId="0" borderId="26" xfId="8" applyNumberFormat="1" applyFont="1" applyBorder="1" applyAlignment="1" applyProtection="1">
      <alignment vertical="center"/>
      <protection locked="0"/>
    </xf>
    <xf numFmtId="0" fontId="33" fillId="4" borderId="28" xfId="8" applyFont="1" applyFill="1" applyBorder="1" applyAlignment="1" applyProtection="1">
      <alignment horizontal="centerContinuous" vertical="center"/>
      <protection locked="0"/>
    </xf>
    <xf numFmtId="0" fontId="33" fillId="4" borderId="28" xfId="8" applyFont="1" applyFill="1" applyBorder="1" applyAlignment="1" applyProtection="1">
      <alignment horizontal="centerContinuous" vertical="center" wrapText="1"/>
      <protection locked="0"/>
    </xf>
    <xf numFmtId="9" fontId="2" fillId="0" borderId="44" xfId="8" applyNumberFormat="1" applyFont="1" applyBorder="1" applyAlignment="1">
      <alignment vertical="center"/>
    </xf>
    <xf numFmtId="172" fontId="33" fillId="0" borderId="44" xfId="8" applyNumberFormat="1" applyFont="1" applyBorder="1" applyAlignment="1" applyProtection="1">
      <alignment vertical="center"/>
      <protection locked="0"/>
    </xf>
    <xf numFmtId="172" fontId="33" fillId="0" borderId="26" xfId="8" applyNumberFormat="1" applyFont="1" applyBorder="1" applyAlignment="1" applyProtection="1">
      <alignment vertical="center"/>
      <protection locked="0"/>
    </xf>
    <xf numFmtId="172" fontId="33" fillId="0" borderId="0" xfId="8" applyNumberFormat="1" applyFont="1" applyAlignment="1" applyProtection="1">
      <alignment vertical="center"/>
      <protection locked="0"/>
    </xf>
    <xf numFmtId="0" fontId="32" fillId="0" borderId="26" xfId="8" applyFont="1" applyBorder="1" applyAlignment="1" applyProtection="1">
      <alignment vertical="center"/>
      <protection locked="0"/>
    </xf>
    <xf numFmtId="0" fontId="32" fillId="23" borderId="73" xfId="8" applyFont="1" applyFill="1" applyBorder="1" applyAlignment="1" applyProtection="1">
      <alignment horizontal="center" vertical="center"/>
      <protection locked="0"/>
    </xf>
    <xf numFmtId="0" fontId="32" fillId="23" borderId="74" xfId="8" applyFont="1" applyFill="1" applyBorder="1" applyAlignment="1" applyProtection="1">
      <alignment vertical="center"/>
      <protection locked="0"/>
    </xf>
    <xf numFmtId="0" fontId="32" fillId="23" borderId="73" xfId="8" applyFont="1" applyFill="1" applyBorder="1" applyAlignment="1" applyProtection="1">
      <alignment vertical="center"/>
      <protection locked="0"/>
    </xf>
    <xf numFmtId="0" fontId="32" fillId="23" borderId="75" xfId="8" applyFont="1" applyFill="1" applyBorder="1" applyAlignment="1" applyProtection="1">
      <alignment horizontal="centerContinuous" vertical="center"/>
      <protection locked="0"/>
    </xf>
    <xf numFmtId="1" fontId="32" fillId="23" borderId="32" xfId="8" applyNumberFormat="1" applyFont="1" applyFill="1" applyBorder="1" applyAlignment="1" applyProtection="1">
      <alignment horizontal="centerContinuous" vertical="center"/>
      <protection locked="0"/>
    </xf>
    <xf numFmtId="0" fontId="32" fillId="23" borderId="27" xfId="8" applyFont="1" applyFill="1" applyBorder="1" applyAlignment="1" applyProtection="1">
      <alignment horizontal="centerContinuous" vertical="center"/>
      <protection locked="0"/>
    </xf>
    <xf numFmtId="0" fontId="2" fillId="0" borderId="23" xfId="8" applyFont="1" applyBorder="1" applyAlignment="1" applyProtection="1">
      <alignment vertical="center"/>
      <protection locked="0"/>
    </xf>
    <xf numFmtId="0" fontId="2" fillId="3" borderId="34" xfId="8" applyFont="1" applyFill="1" applyBorder="1" applyAlignment="1" applyProtection="1">
      <alignment vertical="center"/>
      <protection locked="0"/>
    </xf>
    <xf numFmtId="0" fontId="32" fillId="3" borderId="50" xfId="8" applyFont="1" applyFill="1" applyBorder="1" applyAlignment="1" applyProtection="1">
      <alignment vertical="center"/>
      <protection locked="0"/>
    </xf>
    <xf numFmtId="0" fontId="2" fillId="24" borderId="0" xfId="8" applyFont="1" applyFill="1" applyAlignment="1" applyProtection="1">
      <alignment vertical="center"/>
      <protection locked="0"/>
    </xf>
    <xf numFmtId="0" fontId="37" fillId="24" borderId="0" xfId="8" applyFont="1" applyFill="1" applyAlignment="1" applyProtection="1">
      <alignment vertical="center"/>
      <protection locked="0"/>
    </xf>
    <xf numFmtId="1" fontId="2" fillId="0" borderId="0" xfId="0" applyFont="1" applyAlignment="1">
      <alignment vertical="center"/>
    </xf>
    <xf numFmtId="1" fontId="2" fillId="0" borderId="0" xfId="0" applyFont="1" applyAlignment="1" applyProtection="1">
      <alignment vertical="center"/>
      <protection hidden="1"/>
    </xf>
    <xf numFmtId="0" fontId="2" fillId="0" borderId="0" xfId="0" applyNumberFormat="1" applyFont="1" applyAlignment="1" applyProtection="1">
      <alignment vertical="center"/>
      <protection hidden="1"/>
    </xf>
    <xf numFmtId="171" fontId="2" fillId="0" borderId="0" xfId="0" applyNumberFormat="1" applyFont="1" applyAlignment="1" applyProtection="1">
      <alignment vertical="center"/>
      <protection hidden="1"/>
    </xf>
    <xf numFmtId="171" fontId="2" fillId="0" borderId="0" xfId="0" applyNumberFormat="1" applyFont="1" applyAlignment="1" applyProtection="1">
      <alignment vertical="center"/>
      <protection locked="0" hidden="1"/>
    </xf>
    <xf numFmtId="0" fontId="2" fillId="0" borderId="0" xfId="0" applyNumberFormat="1" applyFont="1" applyAlignment="1">
      <alignment vertical="center"/>
    </xf>
    <xf numFmtId="0" fontId="2" fillId="0" borderId="0" xfId="0" applyNumberFormat="1" applyFont="1" applyAlignment="1" applyProtection="1">
      <alignment vertical="center"/>
      <protection locked="0" hidden="1"/>
    </xf>
    <xf numFmtId="10" fontId="38" fillId="25" borderId="78" xfId="6" applyNumberFormat="1" applyFont="1" applyFill="1" applyBorder="1" applyAlignment="1">
      <alignment horizontal="center" vertical="center"/>
    </xf>
    <xf numFmtId="10" fontId="38" fillId="25" borderId="79" xfId="6" applyNumberFormat="1" applyFont="1" applyFill="1" applyBorder="1" applyAlignment="1">
      <alignment horizontal="center" vertical="center"/>
    </xf>
    <xf numFmtId="10" fontId="38" fillId="25" borderId="80" xfId="6" applyNumberFormat="1" applyFont="1" applyFill="1" applyBorder="1" applyAlignment="1">
      <alignment horizontal="center" vertical="center"/>
    </xf>
    <xf numFmtId="1" fontId="39" fillId="25" borderId="80" xfId="0" applyFont="1" applyFill="1" applyBorder="1" applyAlignment="1">
      <alignment vertical="center"/>
    </xf>
    <xf numFmtId="9" fontId="40" fillId="4" borderId="69" xfId="6" applyFont="1" applyFill="1" applyBorder="1" applyAlignment="1">
      <alignment horizontal="center" vertical="center"/>
    </xf>
    <xf numFmtId="9" fontId="40" fillId="4" borderId="81" xfId="6" applyFont="1" applyFill="1" applyBorder="1" applyAlignment="1">
      <alignment horizontal="center" vertical="center"/>
    </xf>
    <xf numFmtId="9" fontId="40" fillId="4" borderId="46" xfId="6" applyFont="1" applyFill="1" applyBorder="1" applyAlignment="1">
      <alignment horizontal="center" vertical="center"/>
    </xf>
    <xf numFmtId="1" fontId="41" fillId="4" borderId="46" xfId="0" applyFont="1" applyFill="1" applyBorder="1" applyAlignment="1">
      <alignment vertical="center"/>
    </xf>
    <xf numFmtId="165" fontId="17" fillId="5" borderId="82" xfId="6" applyNumberFormat="1" applyFont="1" applyFill="1" applyBorder="1" applyAlignment="1">
      <alignment horizontal="center" vertical="center"/>
    </xf>
    <xf numFmtId="1" fontId="2" fillId="0" borderId="46" xfId="0" applyFont="1" applyBorder="1" applyAlignment="1">
      <alignment vertical="center"/>
    </xf>
    <xf numFmtId="9" fontId="38" fillId="25" borderId="69" xfId="6" applyFont="1" applyFill="1" applyBorder="1" applyAlignment="1">
      <alignment horizontal="center" vertical="center"/>
    </xf>
    <xf numFmtId="9" fontId="38" fillId="25" borderId="81" xfId="6" applyFont="1" applyFill="1" applyBorder="1" applyAlignment="1">
      <alignment horizontal="center" vertical="center"/>
    </xf>
    <xf numFmtId="9" fontId="38" fillId="25" borderId="46" xfId="6" applyFont="1" applyFill="1" applyBorder="1" applyAlignment="1">
      <alignment horizontal="center" vertical="center"/>
    </xf>
    <xf numFmtId="1" fontId="39" fillId="25" borderId="46" xfId="0" applyFont="1" applyFill="1" applyBorder="1" applyAlignment="1">
      <alignment vertical="center"/>
    </xf>
    <xf numFmtId="3" fontId="43" fillId="4" borderId="85" xfId="0" applyNumberFormat="1" applyFont="1" applyFill="1" applyBorder="1" applyAlignment="1">
      <alignment horizontal="center" vertical="center"/>
    </xf>
    <xf numFmtId="3" fontId="43" fillId="4" borderId="88" xfId="0" applyNumberFormat="1" applyFont="1" applyFill="1" applyBorder="1" applyAlignment="1">
      <alignment horizontal="center" vertical="center"/>
    </xf>
    <xf numFmtId="3" fontId="2" fillId="4" borderId="88" xfId="0" applyNumberFormat="1" applyFont="1" applyFill="1" applyBorder="1" applyAlignment="1">
      <alignment horizontal="center" vertical="center"/>
    </xf>
    <xf numFmtId="165" fontId="40" fillId="4" borderId="69" xfId="6" applyNumberFormat="1" applyFont="1" applyFill="1" applyBorder="1" applyAlignment="1">
      <alignment horizontal="center" vertical="center"/>
    </xf>
    <xf numFmtId="165" fontId="40" fillId="4" borderId="81" xfId="6" applyNumberFormat="1" applyFont="1" applyFill="1" applyBorder="1" applyAlignment="1">
      <alignment horizontal="center" vertical="center"/>
    </xf>
    <xf numFmtId="165" fontId="40" fillId="4" borderId="46" xfId="6" applyNumberFormat="1" applyFont="1" applyFill="1" applyBorder="1" applyAlignment="1">
      <alignment horizontal="center" vertical="center"/>
    </xf>
    <xf numFmtId="1" fontId="40" fillId="0" borderId="0" xfId="0" applyFont="1" applyAlignment="1">
      <alignment vertical="center"/>
    </xf>
    <xf numFmtId="1" fontId="48" fillId="4" borderId="82" xfId="0" applyFont="1" applyFill="1" applyBorder="1" applyAlignment="1">
      <alignment horizontal="center" vertical="center"/>
    </xf>
    <xf numFmtId="1" fontId="48" fillId="4" borderId="83" xfId="0" applyFont="1" applyFill="1" applyBorder="1" applyAlignment="1">
      <alignment horizontal="center" vertical="center"/>
    </xf>
    <xf numFmtId="1" fontId="40" fillId="0" borderId="46" xfId="0" applyFont="1" applyBorder="1" applyAlignment="1">
      <alignment vertical="center"/>
    </xf>
    <xf numFmtId="1" fontId="40" fillId="4" borderId="0" xfId="0" applyFont="1" applyFill="1" applyAlignment="1">
      <alignment vertical="center"/>
    </xf>
    <xf numFmtId="1" fontId="48" fillId="4" borderId="0" xfId="0" applyFont="1" applyFill="1" applyAlignment="1">
      <alignment horizontal="center" vertical="center"/>
    </xf>
    <xf numFmtId="1" fontId="48" fillId="4" borderId="74" xfId="0" applyFont="1" applyFill="1" applyBorder="1" applyAlignment="1">
      <alignment horizontal="center" vertical="center"/>
    </xf>
    <xf numFmtId="1" fontId="37" fillId="0" borderId="0" xfId="0" applyFont="1" applyAlignment="1">
      <alignment vertical="center"/>
    </xf>
    <xf numFmtId="1" fontId="2" fillId="0" borderId="27" xfId="0" applyFont="1" applyBorder="1" applyAlignment="1">
      <alignment vertical="center"/>
    </xf>
    <xf numFmtId="1" fontId="37" fillId="0" borderId="27" xfId="0" applyFont="1" applyBorder="1" applyAlignment="1">
      <alignment vertical="center"/>
    </xf>
    <xf numFmtId="1" fontId="2" fillId="0" borderId="26" xfId="0" applyFont="1" applyBorder="1" applyAlignment="1">
      <alignment vertical="center"/>
    </xf>
    <xf numFmtId="1" fontId="2" fillId="0" borderId="28" xfId="0" applyFont="1" applyBorder="1" applyAlignment="1">
      <alignment vertical="center"/>
    </xf>
    <xf numFmtId="165" fontId="2" fillId="4" borderId="26" xfId="0" applyNumberFormat="1" applyFont="1" applyFill="1" applyBorder="1" applyAlignment="1">
      <alignment vertical="center"/>
    </xf>
    <xf numFmtId="1" fontId="2" fillId="26" borderId="26" xfId="0" applyFont="1" applyFill="1" applyBorder="1" applyAlignment="1">
      <alignment vertical="center"/>
    </xf>
    <xf numFmtId="1" fontId="2" fillId="4" borderId="0" xfId="0" applyFont="1" applyFill="1" applyAlignment="1">
      <alignment vertical="center"/>
    </xf>
    <xf numFmtId="1" fontId="2" fillId="4" borderId="28" xfId="0" applyFont="1" applyFill="1" applyBorder="1" applyAlignment="1">
      <alignment vertical="center"/>
    </xf>
    <xf numFmtId="1" fontId="2" fillId="26" borderId="30" xfId="0" applyFont="1" applyFill="1" applyBorder="1" applyAlignment="1">
      <alignment vertical="center"/>
    </xf>
    <xf numFmtId="165" fontId="2" fillId="4" borderId="30" xfId="0" applyNumberFormat="1" applyFont="1" applyFill="1" applyBorder="1" applyAlignment="1">
      <alignment vertical="center"/>
    </xf>
    <xf numFmtId="1" fontId="2" fillId="4" borderId="34" xfId="0" applyFont="1" applyFill="1" applyBorder="1" applyAlignment="1">
      <alignment vertical="center"/>
    </xf>
    <xf numFmtId="1" fontId="2" fillId="4" borderId="31" xfId="0" applyFont="1" applyFill="1" applyBorder="1" applyAlignment="1">
      <alignment vertical="center"/>
    </xf>
    <xf numFmtId="1" fontId="2" fillId="4" borderId="27" xfId="0" applyFont="1" applyFill="1" applyBorder="1" applyAlignment="1">
      <alignment vertical="center"/>
    </xf>
    <xf numFmtId="1" fontId="17" fillId="4" borderId="32" xfId="0" applyFont="1" applyFill="1" applyBorder="1" applyAlignment="1">
      <alignment horizontal="center" vertical="center"/>
    </xf>
    <xf numFmtId="1" fontId="2" fillId="3" borderId="0" xfId="0" applyFont="1" applyFill="1" applyAlignment="1">
      <alignment horizontal="centerContinuous" vertical="center"/>
    </xf>
    <xf numFmtId="1" fontId="37" fillId="3" borderId="0" xfId="0" applyFont="1" applyFill="1" applyAlignment="1">
      <alignment horizontal="centerContinuous" vertical="center"/>
    </xf>
    <xf numFmtId="1" fontId="2" fillId="3" borderId="28" xfId="0" applyFont="1" applyFill="1" applyBorder="1" applyAlignment="1">
      <alignment horizontal="centerContinuous" vertical="center"/>
    </xf>
    <xf numFmtId="1" fontId="2" fillId="3" borderId="27" xfId="0" applyFont="1" applyFill="1" applyBorder="1" applyAlignment="1">
      <alignment vertical="center"/>
    </xf>
    <xf numFmtId="1" fontId="50" fillId="3" borderId="32" xfId="0" applyFont="1" applyFill="1" applyBorder="1" applyAlignment="1">
      <alignment vertical="center"/>
    </xf>
    <xf numFmtId="165" fontId="32" fillId="5" borderId="32" xfId="0" applyNumberFormat="1" applyFont="1" applyFill="1" applyBorder="1" applyAlignment="1">
      <alignment vertical="center"/>
    </xf>
    <xf numFmtId="1" fontId="32" fillId="5" borderId="27" xfId="0" applyFont="1" applyFill="1" applyBorder="1" applyAlignment="1">
      <alignment vertical="center"/>
    </xf>
    <xf numFmtId="1" fontId="32" fillId="5" borderId="32" xfId="0" applyFont="1" applyFill="1" applyBorder="1" applyAlignment="1">
      <alignment vertical="center"/>
    </xf>
    <xf numFmtId="3" fontId="2" fillId="0" borderId="28" xfId="0" applyNumberFormat="1" applyFont="1" applyBorder="1" applyAlignment="1">
      <alignment vertical="center"/>
    </xf>
    <xf numFmtId="171" fontId="2" fillId="4" borderId="0" xfId="0" quotePrefix="1" applyNumberFormat="1" applyFont="1" applyFill="1" applyAlignment="1" applyProtection="1">
      <alignment vertical="center"/>
      <protection hidden="1"/>
    </xf>
    <xf numFmtId="171" fontId="2" fillId="4" borderId="0" xfId="0" applyNumberFormat="1" applyFont="1" applyFill="1" applyAlignment="1" applyProtection="1">
      <alignment vertical="center"/>
      <protection hidden="1"/>
    </xf>
    <xf numFmtId="1" fontId="32" fillId="0" borderId="32" xfId="0" applyFont="1" applyBorder="1" applyAlignment="1">
      <alignment vertical="center"/>
    </xf>
    <xf numFmtId="1" fontId="32" fillId="4" borderId="27" xfId="0" applyFont="1" applyFill="1" applyBorder="1" applyAlignment="1">
      <alignment vertical="center"/>
    </xf>
    <xf numFmtId="1" fontId="32" fillId="4" borderId="32" xfId="0" applyFont="1" applyFill="1" applyBorder="1" applyAlignment="1">
      <alignment vertical="center"/>
    </xf>
    <xf numFmtId="1" fontId="2" fillId="5" borderId="27" xfId="0" applyFont="1" applyFill="1" applyBorder="1" applyAlignment="1">
      <alignment vertical="center"/>
    </xf>
    <xf numFmtId="165" fontId="32" fillId="5" borderId="32" xfId="0" applyNumberFormat="1" applyFont="1" applyFill="1" applyBorder="1" applyAlignment="1">
      <alignment horizontal="center" vertical="center"/>
    </xf>
    <xf numFmtId="3" fontId="2" fillId="0" borderId="28" xfId="0" applyNumberFormat="1" applyFont="1" applyBorder="1" applyAlignment="1">
      <alignment horizontal="right" vertical="center"/>
    </xf>
    <xf numFmtId="3" fontId="32" fillId="0" borderId="32" xfId="0" applyNumberFormat="1" applyFont="1" applyBorder="1" applyAlignment="1">
      <alignment horizontal="center" vertical="center"/>
    </xf>
    <xf numFmtId="171" fontId="2" fillId="0" borderId="0" xfId="0" applyNumberFormat="1" applyFont="1" applyAlignment="1">
      <alignment vertical="center"/>
    </xf>
    <xf numFmtId="1" fontId="37" fillId="3" borderId="27" xfId="0" applyFont="1" applyFill="1" applyBorder="1" applyAlignment="1">
      <alignment vertical="center"/>
    </xf>
    <xf numFmtId="1" fontId="32" fillId="3" borderId="32" xfId="0" applyFont="1" applyFill="1" applyBorder="1" applyAlignment="1">
      <alignment vertical="center"/>
    </xf>
    <xf numFmtId="1" fontId="2" fillId="0" borderId="0" xfId="0" applyFont="1" applyAlignment="1">
      <alignment horizontal="center" vertical="center"/>
    </xf>
    <xf numFmtId="1" fontId="2" fillId="0" borderId="94" xfId="0" applyFont="1" applyBorder="1" applyAlignment="1">
      <alignment horizontal="center" vertical="center"/>
    </xf>
    <xf numFmtId="1" fontId="2" fillId="0" borderId="94" xfId="0" applyFont="1" applyBorder="1" applyAlignment="1">
      <alignment vertical="center"/>
    </xf>
    <xf numFmtId="9" fontId="2" fillId="0" borderId="0" xfId="6" applyFont="1" applyAlignment="1">
      <alignment vertical="center"/>
    </xf>
    <xf numFmtId="165" fontId="40" fillId="3" borderId="104" xfId="0" applyNumberFormat="1" applyFont="1" applyFill="1" applyBorder="1" applyAlignment="1">
      <alignment horizontal="center" vertical="center"/>
    </xf>
    <xf numFmtId="165" fontId="40" fillId="3" borderId="105" xfId="0" applyNumberFormat="1" applyFont="1" applyFill="1" applyBorder="1" applyAlignment="1">
      <alignment horizontal="center" vertical="center"/>
    </xf>
    <xf numFmtId="165" fontId="52" fillId="3" borderId="104" xfId="0" applyNumberFormat="1" applyFont="1" applyFill="1" applyBorder="1" applyAlignment="1">
      <alignment horizontal="center" vertical="center"/>
    </xf>
    <xf numFmtId="165" fontId="52" fillId="3" borderId="105" xfId="0" applyNumberFormat="1" applyFont="1" applyFill="1" applyBorder="1" applyAlignment="1">
      <alignment horizontal="center" vertical="center"/>
    </xf>
    <xf numFmtId="165" fontId="52" fillId="3" borderId="91" xfId="0" applyNumberFormat="1" applyFont="1" applyFill="1" applyBorder="1" applyAlignment="1">
      <alignment horizontal="center" vertical="center"/>
    </xf>
    <xf numFmtId="1" fontId="17" fillId="4" borderId="106" xfId="0" applyFont="1" applyFill="1" applyBorder="1" applyAlignment="1">
      <alignment horizontal="center" vertical="center"/>
    </xf>
    <xf numFmtId="1" fontId="17" fillId="4" borderId="55" xfId="0" applyFont="1" applyFill="1" applyBorder="1" applyAlignment="1">
      <alignment horizontal="center" vertical="center"/>
    </xf>
    <xf numFmtId="1" fontId="17" fillId="4" borderId="107" xfId="0" applyFont="1" applyFill="1" applyBorder="1" applyAlignment="1">
      <alignment horizontal="center" vertical="center"/>
    </xf>
    <xf numFmtId="1" fontId="17" fillId="4" borderId="33" xfId="0" applyFont="1" applyFill="1" applyBorder="1" applyAlignment="1">
      <alignment horizontal="center" vertical="center"/>
    </xf>
    <xf numFmtId="171" fontId="2" fillId="0" borderId="46" xfId="0" applyNumberFormat="1" applyFont="1" applyBorder="1" applyAlignment="1">
      <alignment vertical="center"/>
    </xf>
    <xf numFmtId="3" fontId="32" fillId="5" borderId="91" xfId="0" applyNumberFormat="1" applyFont="1" applyFill="1" applyBorder="1" applyAlignment="1">
      <alignment horizontal="right" vertical="center"/>
    </xf>
    <xf numFmtId="3" fontId="32" fillId="5" borderId="49" xfId="0" applyNumberFormat="1" applyFont="1" applyFill="1" applyBorder="1" applyAlignment="1">
      <alignment vertical="center"/>
    </xf>
    <xf numFmtId="3" fontId="2" fillId="0" borderId="109" xfId="0" applyNumberFormat="1" applyFont="1" applyBorder="1" applyAlignment="1">
      <alignment horizontal="right" vertical="center"/>
    </xf>
    <xf numFmtId="3" fontId="2" fillId="0" borderId="19" xfId="0" applyNumberFormat="1" applyFont="1" applyBorder="1" applyAlignment="1">
      <alignment horizontal="right" vertical="center"/>
    </xf>
    <xf numFmtId="3" fontId="2" fillId="0" borderId="110" xfId="0" applyNumberFormat="1" applyFont="1" applyBorder="1" applyAlignment="1">
      <alignment horizontal="right" vertical="center"/>
    </xf>
    <xf numFmtId="3" fontId="2" fillId="0" borderId="26" xfId="0" applyNumberFormat="1" applyFont="1" applyBorder="1" applyAlignment="1">
      <alignment horizontal="right" vertical="center"/>
    </xf>
    <xf numFmtId="3" fontId="2" fillId="0" borderId="0" xfId="0" applyNumberFormat="1" applyFont="1" applyAlignment="1">
      <alignment horizontal="right" vertical="center"/>
    </xf>
    <xf numFmtId="3" fontId="2" fillId="0" borderId="1" xfId="0" applyNumberFormat="1" applyFont="1" applyBorder="1" applyAlignment="1">
      <alignment horizontal="right" vertical="center"/>
    </xf>
    <xf numFmtId="1" fontId="32" fillId="4" borderId="111" xfId="0" applyFont="1" applyFill="1" applyBorder="1" applyAlignment="1">
      <alignment vertical="center"/>
    </xf>
    <xf numFmtId="1" fontId="32" fillId="4" borderId="69" xfId="0" applyFont="1" applyFill="1" applyBorder="1" applyAlignment="1">
      <alignment vertical="center"/>
    </xf>
    <xf numFmtId="1" fontId="32" fillId="4" borderId="88" xfId="0" applyFont="1" applyFill="1" applyBorder="1" applyAlignment="1">
      <alignment vertical="center"/>
    </xf>
    <xf numFmtId="3" fontId="32" fillId="0" borderId="112" xfId="0" applyNumberFormat="1" applyFont="1" applyBorder="1" applyAlignment="1">
      <alignment horizontal="right" vertical="center"/>
    </xf>
    <xf numFmtId="3" fontId="32" fillId="0" borderId="113" xfId="0" applyNumberFormat="1" applyFont="1" applyBorder="1" applyAlignment="1">
      <alignment horizontal="right" vertical="center"/>
    </xf>
    <xf numFmtId="3" fontId="2" fillId="0" borderId="114" xfId="0" applyNumberFormat="1" applyFont="1" applyBorder="1" applyAlignment="1">
      <alignment horizontal="right" vertical="center"/>
    </xf>
    <xf numFmtId="3" fontId="32" fillId="0" borderId="0" xfId="0" applyNumberFormat="1" applyFont="1" applyAlignment="1">
      <alignment horizontal="right" vertical="center"/>
    </xf>
    <xf numFmtId="3" fontId="32" fillId="0" borderId="115" xfId="0" applyNumberFormat="1" applyFont="1" applyBorder="1" applyAlignment="1">
      <alignment horizontal="right" vertical="center"/>
    </xf>
    <xf numFmtId="1" fontId="34" fillId="4" borderId="70" xfId="0" applyFont="1" applyFill="1" applyBorder="1" applyAlignment="1">
      <alignment vertical="center"/>
    </xf>
    <xf numFmtId="1" fontId="32" fillId="27" borderId="116" xfId="0" applyFont="1" applyFill="1" applyBorder="1" applyAlignment="1">
      <alignment horizontal="right" vertical="center"/>
    </xf>
    <xf numFmtId="1" fontId="32" fillId="27" borderId="117" xfId="0" applyFont="1" applyFill="1" applyBorder="1" applyAlignment="1">
      <alignment horizontal="right" vertical="center"/>
    </xf>
    <xf numFmtId="1" fontId="32" fillId="27" borderId="91" xfId="0" applyFont="1" applyFill="1" applyBorder="1" applyAlignment="1">
      <alignment horizontal="right" vertical="center"/>
    </xf>
    <xf numFmtId="1" fontId="32" fillId="4" borderId="0" xfId="0" applyFont="1" applyFill="1" applyAlignment="1">
      <alignment vertical="center"/>
    </xf>
    <xf numFmtId="171" fontId="2" fillId="0" borderId="0" xfId="0" applyNumberFormat="1" applyFont="1" applyAlignment="1" applyProtection="1">
      <alignment horizontal="right" vertical="center"/>
      <protection hidden="1"/>
    </xf>
    <xf numFmtId="3" fontId="32" fillId="5" borderId="48" xfId="0" applyNumberFormat="1" applyFont="1" applyFill="1" applyBorder="1" applyAlignment="1">
      <alignment horizontal="right" vertical="center"/>
    </xf>
    <xf numFmtId="3" fontId="32" fillId="5" borderId="49" xfId="0" applyNumberFormat="1" applyFont="1" applyFill="1" applyBorder="1" applyAlignment="1">
      <alignment horizontal="right" vertical="center"/>
    </xf>
    <xf numFmtId="1" fontId="32" fillId="4" borderId="118" xfId="0" applyFont="1" applyFill="1" applyBorder="1" applyAlignment="1">
      <alignment vertical="center"/>
    </xf>
    <xf numFmtId="3" fontId="2" fillId="0" borderId="44" xfId="0" applyNumberFormat="1" applyFont="1" applyBorder="1" applyAlignment="1">
      <alignment horizontal="right" vertical="center"/>
    </xf>
    <xf numFmtId="1" fontId="32" fillId="4" borderId="28" xfId="0" applyFont="1" applyFill="1" applyBorder="1" applyAlignment="1">
      <alignment vertical="center"/>
    </xf>
    <xf numFmtId="3" fontId="2" fillId="0" borderId="119" xfId="0" applyNumberFormat="1" applyFont="1" applyBorder="1" applyAlignment="1">
      <alignment horizontal="right" vertical="center"/>
    </xf>
    <xf numFmtId="3" fontId="2" fillId="0" borderId="120" xfId="0" applyNumberFormat="1" applyFont="1" applyBorder="1" applyAlignment="1">
      <alignment horizontal="right" vertical="center"/>
    </xf>
    <xf numFmtId="3" fontId="2" fillId="0" borderId="73" xfId="0" applyNumberFormat="1" applyFont="1" applyBorder="1" applyAlignment="1">
      <alignment horizontal="right" vertical="center"/>
    </xf>
    <xf numFmtId="1" fontId="34" fillId="4" borderId="28" xfId="0" applyFont="1" applyFill="1" applyBorder="1" applyAlignment="1">
      <alignment vertical="center"/>
    </xf>
    <xf numFmtId="0" fontId="32" fillId="0" borderId="0" xfId="0" applyNumberFormat="1" applyFont="1" applyAlignment="1">
      <alignment vertical="center"/>
    </xf>
    <xf numFmtId="3" fontId="32" fillId="5" borderId="121" xfId="0" applyNumberFormat="1" applyFont="1" applyFill="1" applyBorder="1" applyAlignment="1">
      <alignment horizontal="right" vertical="center"/>
    </xf>
    <xf numFmtId="1" fontId="32" fillId="5" borderId="116" xfId="0" applyFont="1" applyFill="1" applyBorder="1" applyAlignment="1">
      <alignment vertical="center"/>
    </xf>
    <xf numFmtId="3" fontId="32" fillId="0" borderId="51" xfId="0" applyNumberFormat="1" applyFont="1" applyBorder="1" applyAlignment="1">
      <alignment horizontal="center" vertical="center"/>
    </xf>
    <xf numFmtId="3" fontId="32" fillId="0" borderId="33" xfId="0" applyNumberFormat="1" applyFont="1" applyBorder="1" applyAlignment="1">
      <alignment horizontal="center" vertical="center"/>
    </xf>
    <xf numFmtId="1" fontId="34" fillId="4" borderId="32" xfId="0" applyFont="1" applyFill="1" applyBorder="1" applyAlignment="1">
      <alignment vertical="center"/>
    </xf>
    <xf numFmtId="1" fontId="32" fillId="23" borderId="51" xfId="0" applyFont="1" applyFill="1" applyBorder="1" applyAlignment="1">
      <alignment vertical="center"/>
    </xf>
    <xf numFmtId="1" fontId="32" fillId="23" borderId="33" xfId="0" applyFont="1" applyFill="1" applyBorder="1" applyAlignment="1">
      <alignment vertical="center"/>
    </xf>
    <xf numFmtId="1" fontId="32" fillId="23" borderId="32" xfId="0" applyFont="1" applyFill="1" applyBorder="1" applyAlignment="1">
      <alignment vertical="center"/>
    </xf>
    <xf numFmtId="1" fontId="32" fillId="0" borderId="0" xfId="0" applyFont="1" applyAlignment="1">
      <alignment vertical="center"/>
    </xf>
    <xf numFmtId="1" fontId="32" fillId="0" borderId="27" xfId="0" applyFont="1" applyBorder="1" applyAlignment="1">
      <alignment vertical="center"/>
    </xf>
    <xf numFmtId="1" fontId="2" fillId="3" borderId="46" xfId="0" applyFont="1" applyFill="1" applyBorder="1" applyAlignment="1">
      <alignment vertical="center"/>
    </xf>
    <xf numFmtId="165" fontId="2" fillId="0" borderId="26" xfId="0" applyNumberFormat="1" applyFont="1" applyBorder="1" applyAlignment="1">
      <alignment horizontal="right" vertical="center"/>
    </xf>
    <xf numFmtId="165" fontId="2" fillId="0" borderId="28" xfId="0" applyNumberFormat="1" applyFont="1" applyBorder="1" applyAlignment="1">
      <alignment horizontal="right" vertical="center"/>
    </xf>
    <xf numFmtId="165" fontId="2" fillId="0" borderId="44" xfId="0" applyNumberFormat="1" applyFont="1" applyBorder="1" applyAlignment="1">
      <alignment horizontal="right" vertical="center"/>
    </xf>
    <xf numFmtId="10" fontId="2" fillId="0" borderId="28" xfId="0" applyNumberFormat="1" applyFont="1" applyBorder="1" applyAlignment="1">
      <alignment horizontal="right" vertical="center"/>
    </xf>
    <xf numFmtId="1" fontId="2" fillId="3" borderId="0" xfId="0" applyFont="1" applyFill="1" applyAlignment="1">
      <alignment vertical="center"/>
    </xf>
    <xf numFmtId="166" fontId="2" fillId="0" borderId="26" xfId="0" applyNumberFormat="1" applyFont="1" applyBorder="1" applyAlignment="1">
      <alignment horizontal="right" vertical="center"/>
    </xf>
    <xf numFmtId="166" fontId="2" fillId="0" borderId="28" xfId="0" applyNumberFormat="1" applyFont="1" applyBorder="1" applyAlignment="1">
      <alignment horizontal="right" vertical="center"/>
    </xf>
    <xf numFmtId="166" fontId="2" fillId="3" borderId="28" xfId="0" applyNumberFormat="1" applyFont="1" applyFill="1" applyBorder="1" applyAlignment="1">
      <alignment horizontal="right" vertical="center"/>
    </xf>
    <xf numFmtId="166" fontId="2" fillId="0" borderId="44" xfId="0" applyNumberFormat="1" applyFont="1" applyBorder="1" applyAlignment="1">
      <alignment horizontal="right" vertical="center"/>
    </xf>
    <xf numFmtId="166" fontId="40" fillId="0" borderId="26" xfId="0" applyNumberFormat="1" applyFont="1" applyBorder="1" applyAlignment="1">
      <alignment horizontal="right" vertical="center"/>
    </xf>
    <xf numFmtId="166" fontId="2" fillId="0" borderId="109" xfId="0" applyNumberFormat="1" applyFont="1" applyBorder="1" applyAlignment="1">
      <alignment horizontal="right" vertical="center"/>
    </xf>
    <xf numFmtId="166" fontId="2" fillId="0" borderId="19" xfId="0" applyNumberFormat="1" applyFont="1" applyBorder="1" applyAlignment="1">
      <alignment horizontal="right" vertical="center"/>
    </xf>
    <xf numFmtId="166" fontId="2" fillId="0" borderId="123" xfId="0" applyNumberFormat="1" applyFont="1" applyBorder="1" applyAlignment="1">
      <alignment horizontal="right" vertical="center"/>
    </xf>
    <xf numFmtId="3" fontId="2" fillId="0" borderId="44" xfId="0" applyNumberFormat="1" applyFont="1" applyBorder="1" applyAlignment="1">
      <alignment vertical="center"/>
    </xf>
    <xf numFmtId="3" fontId="2" fillId="0" borderId="26" xfId="0" applyNumberFormat="1" applyFont="1" applyBorder="1" applyAlignment="1">
      <alignment vertical="center"/>
    </xf>
    <xf numFmtId="3" fontId="2" fillId="0" borderId="0" xfId="0" applyNumberFormat="1" applyFont="1" applyAlignment="1">
      <alignment vertical="center"/>
    </xf>
    <xf numFmtId="3" fontId="2" fillId="0" borderId="19" xfId="0" applyNumberFormat="1" applyFont="1" applyBorder="1" applyAlignment="1">
      <alignment vertical="center"/>
    </xf>
    <xf numFmtId="3" fontId="2" fillId="0" borderId="110" xfId="0" applyNumberFormat="1" applyFont="1" applyBorder="1" applyAlignment="1">
      <alignment vertical="center"/>
    </xf>
    <xf numFmtId="3" fontId="2" fillId="0" borderId="1" xfId="0" applyNumberFormat="1" applyFont="1" applyBorder="1" applyAlignment="1">
      <alignment vertical="center"/>
    </xf>
    <xf numFmtId="3" fontId="2" fillId="0" borderId="124" xfId="0" applyNumberFormat="1" applyFont="1" applyBorder="1" applyAlignment="1">
      <alignment vertical="center"/>
    </xf>
    <xf numFmtId="3" fontId="2" fillId="0" borderId="125" xfId="0" applyNumberFormat="1" applyFont="1" applyBorder="1" applyAlignment="1">
      <alignment horizontal="right" vertical="center"/>
    </xf>
    <xf numFmtId="3" fontId="2" fillId="0" borderId="124" xfId="0" applyNumberFormat="1" applyFont="1" applyBorder="1" applyAlignment="1">
      <alignment horizontal="right" vertical="center"/>
    </xf>
    <xf numFmtId="3" fontId="2" fillId="0" borderId="2" xfId="0" applyNumberFormat="1" applyFont="1" applyBorder="1" applyAlignment="1">
      <alignment horizontal="right" vertical="center"/>
    </xf>
    <xf numFmtId="3" fontId="32" fillId="0" borderId="51" xfId="0" applyNumberFormat="1" applyFont="1" applyBorder="1" applyAlignment="1">
      <alignment vertical="center"/>
    </xf>
    <xf numFmtId="3" fontId="32" fillId="0" borderId="33" xfId="0" applyNumberFormat="1" applyFont="1" applyBorder="1" applyAlignment="1">
      <alignment vertical="center"/>
    </xf>
    <xf numFmtId="3" fontId="32" fillId="0" borderId="32" xfId="0" applyNumberFormat="1" applyFont="1" applyBorder="1" applyAlignment="1">
      <alignment vertical="center"/>
    </xf>
    <xf numFmtId="1" fontId="32" fillId="23" borderId="45" xfId="0" applyFont="1" applyFill="1" applyBorder="1" applyAlignment="1">
      <alignment vertical="center"/>
    </xf>
    <xf numFmtId="1" fontId="32" fillId="23" borderId="30" xfId="0" applyFont="1" applyFill="1" applyBorder="1" applyAlignment="1">
      <alignment vertical="center"/>
    </xf>
    <xf numFmtId="1" fontId="32" fillId="23" borderId="31" xfId="0" applyFont="1" applyFill="1" applyBorder="1" applyAlignment="1">
      <alignment vertical="center"/>
    </xf>
    <xf numFmtId="1" fontId="32" fillId="23" borderId="30" xfId="0" applyFont="1" applyFill="1" applyBorder="1" applyAlignment="1">
      <alignment horizontal="center" vertical="center"/>
    </xf>
    <xf numFmtId="1" fontId="32" fillId="23" borderId="31" xfId="0" applyFont="1" applyFill="1" applyBorder="1" applyAlignment="1">
      <alignment horizontal="center" vertical="center"/>
    </xf>
    <xf numFmtId="1" fontId="2" fillId="23" borderId="27" xfId="0" applyFont="1" applyFill="1" applyBorder="1" applyAlignment="1">
      <alignment vertical="center"/>
    </xf>
    <xf numFmtId="1" fontId="32" fillId="23" borderId="27" xfId="0" applyFont="1" applyFill="1" applyBorder="1" applyAlignment="1">
      <alignment vertical="center"/>
    </xf>
    <xf numFmtId="1" fontId="2" fillId="23" borderId="32" xfId="0" applyFont="1" applyFill="1" applyBorder="1" applyAlignment="1">
      <alignment vertical="center"/>
    </xf>
    <xf numFmtId="1" fontId="2" fillId="24" borderId="0" xfId="0" applyFont="1" applyFill="1" applyAlignment="1">
      <alignment vertical="center"/>
    </xf>
    <xf numFmtId="171" fontId="2" fillId="0" borderId="27" xfId="0" applyNumberFormat="1" applyFont="1" applyBorder="1" applyAlignment="1">
      <alignment vertical="center"/>
    </xf>
    <xf numFmtId="3" fontId="32" fillId="5" borderId="48" xfId="0" applyNumberFormat="1" applyFont="1" applyFill="1" applyBorder="1" applyAlignment="1">
      <alignment vertical="center"/>
    </xf>
    <xf numFmtId="3" fontId="32" fillId="5" borderId="33" xfId="0" applyNumberFormat="1" applyFont="1" applyFill="1" applyBorder="1" applyAlignment="1">
      <alignment vertical="center"/>
    </xf>
    <xf numFmtId="3" fontId="40" fillId="5" borderId="33" xfId="0" applyNumberFormat="1" applyFont="1" applyFill="1" applyBorder="1" applyAlignment="1">
      <alignment vertical="center"/>
    </xf>
    <xf numFmtId="3" fontId="32" fillId="5" borderId="32" xfId="0" applyNumberFormat="1" applyFont="1" applyFill="1" applyBorder="1" applyAlignment="1">
      <alignment vertical="center"/>
    </xf>
    <xf numFmtId="3" fontId="32" fillId="5" borderId="32" xfId="0" applyNumberFormat="1" applyFont="1" applyFill="1" applyBorder="1" applyAlignment="1">
      <alignment horizontal="right" vertical="center"/>
    </xf>
    <xf numFmtId="3" fontId="33" fillId="26" borderId="44" xfId="0" applyNumberFormat="1" applyFont="1" applyFill="1" applyBorder="1" applyAlignment="1" applyProtection="1">
      <alignment vertical="center"/>
      <protection locked="0"/>
    </xf>
    <xf numFmtId="3" fontId="33" fillId="26" borderId="26" xfId="0" applyNumberFormat="1" applyFont="1" applyFill="1" applyBorder="1" applyAlignment="1" applyProtection="1">
      <alignment vertical="center"/>
      <protection locked="0"/>
    </xf>
    <xf numFmtId="3" fontId="33" fillId="26" borderId="28" xfId="0" applyNumberFormat="1" applyFont="1" applyFill="1" applyBorder="1" applyAlignment="1" applyProtection="1">
      <alignment vertical="center"/>
      <protection locked="0"/>
    </xf>
    <xf numFmtId="3" fontId="2" fillId="0" borderId="129" xfId="0" applyNumberFormat="1" applyFont="1" applyBorder="1" applyAlignment="1">
      <alignment vertical="center"/>
    </xf>
    <xf numFmtId="3" fontId="32" fillId="5" borderId="44" xfId="0" applyNumberFormat="1" applyFont="1" applyFill="1" applyBorder="1" applyAlignment="1">
      <alignment vertical="center"/>
    </xf>
    <xf numFmtId="3" fontId="32" fillId="5" borderId="26" xfId="0" applyNumberFormat="1" applyFont="1" applyFill="1" applyBorder="1" applyAlignment="1">
      <alignment vertical="center"/>
    </xf>
    <xf numFmtId="3" fontId="40" fillId="5" borderId="26" xfId="0" applyNumberFormat="1" applyFont="1" applyFill="1" applyBorder="1" applyAlignment="1">
      <alignment vertical="center"/>
    </xf>
    <xf numFmtId="3" fontId="32" fillId="5" borderId="28" xfId="0" applyNumberFormat="1" applyFont="1" applyFill="1" applyBorder="1" applyAlignment="1">
      <alignment vertical="center"/>
    </xf>
    <xf numFmtId="3" fontId="32" fillId="5" borderId="28" xfId="0" applyNumberFormat="1" applyFont="1" applyFill="1" applyBorder="1" applyAlignment="1">
      <alignment horizontal="right" vertical="center"/>
    </xf>
    <xf numFmtId="3" fontId="2" fillId="0" borderId="130" xfId="0" applyNumberFormat="1" applyFont="1" applyBorder="1" applyAlignment="1">
      <alignment vertical="center"/>
    </xf>
    <xf numFmtId="3" fontId="2" fillId="0" borderId="131" xfId="0" applyNumberFormat="1" applyFont="1" applyBorder="1" applyAlignment="1">
      <alignment vertical="center"/>
    </xf>
    <xf numFmtId="3" fontId="2" fillId="0" borderId="132" xfId="0" applyNumberFormat="1" applyFont="1" applyBorder="1" applyAlignment="1">
      <alignment vertical="center"/>
    </xf>
    <xf numFmtId="3" fontId="2" fillId="0" borderId="132" xfId="0" applyNumberFormat="1" applyFont="1" applyBorder="1" applyAlignment="1">
      <alignment horizontal="right" vertical="center"/>
    </xf>
    <xf numFmtId="171" fontId="2" fillId="0" borderId="27" xfId="0" applyNumberFormat="1" applyFont="1" applyBorder="1" applyAlignment="1" applyProtection="1">
      <alignment vertical="center"/>
      <protection hidden="1"/>
    </xf>
    <xf numFmtId="3" fontId="33" fillId="0" borderId="26" xfId="0" applyNumberFormat="1" applyFont="1" applyBorder="1" applyAlignment="1" applyProtection="1">
      <alignment vertical="center"/>
      <protection locked="0"/>
    </xf>
    <xf numFmtId="1" fontId="36" fillId="4" borderId="28" xfId="0" applyFont="1" applyFill="1" applyBorder="1" applyAlignment="1" applyProtection="1">
      <alignment vertical="center"/>
      <protection locked="0"/>
    </xf>
    <xf numFmtId="3" fontId="2" fillId="0" borderId="69" xfId="0" applyNumberFormat="1" applyFont="1" applyBorder="1" applyAlignment="1">
      <alignment vertical="center"/>
    </xf>
    <xf numFmtId="3" fontId="2" fillId="0" borderId="36" xfId="0" applyNumberFormat="1" applyFont="1" applyBorder="1" applyAlignment="1">
      <alignment vertical="center"/>
    </xf>
    <xf numFmtId="3" fontId="2" fillId="0" borderId="133" xfId="0" applyNumberFormat="1" applyFont="1" applyBorder="1" applyAlignment="1">
      <alignment vertical="center"/>
    </xf>
    <xf numFmtId="1" fontId="2" fillId="0" borderId="51" xfId="0" applyFont="1" applyBorder="1" applyAlignment="1">
      <alignment vertical="center"/>
    </xf>
    <xf numFmtId="1" fontId="2" fillId="0" borderId="100" xfId="0" applyFont="1" applyBorder="1" applyAlignment="1">
      <alignment vertical="center"/>
    </xf>
    <xf numFmtId="1" fontId="2" fillId="0" borderId="99" xfId="0" applyFont="1" applyBorder="1" applyAlignment="1">
      <alignment vertical="center"/>
    </xf>
    <xf numFmtId="1" fontId="2" fillId="0" borderId="134" xfId="0" applyFont="1" applyBorder="1" applyAlignment="1">
      <alignment vertical="center"/>
    </xf>
    <xf numFmtId="1" fontId="2" fillId="4" borderId="63" xfId="0" applyFont="1" applyFill="1" applyBorder="1" applyAlignment="1">
      <alignment vertical="center"/>
    </xf>
    <xf numFmtId="171" fontId="2" fillId="0" borderId="122" xfId="0" applyNumberFormat="1" applyFont="1" applyBorder="1" applyAlignment="1" applyProtection="1">
      <alignment vertical="center"/>
      <protection hidden="1"/>
    </xf>
    <xf numFmtId="3" fontId="53" fillId="0" borderId="26" xfId="0" applyNumberFormat="1" applyFont="1" applyBorder="1" applyAlignment="1">
      <alignment vertical="center"/>
    </xf>
    <xf numFmtId="3" fontId="33" fillId="0" borderId="28" xfId="0" applyNumberFormat="1" applyFont="1" applyBorder="1" applyAlignment="1" applyProtection="1">
      <alignment vertical="center"/>
      <protection locked="0"/>
    </xf>
    <xf numFmtId="3" fontId="53" fillId="0" borderId="44" xfId="0" applyNumberFormat="1" applyFont="1" applyBorder="1" applyAlignment="1">
      <alignment vertical="center"/>
    </xf>
    <xf numFmtId="3" fontId="53" fillId="0" borderId="28" xfId="0" applyNumberFormat="1" applyFont="1" applyBorder="1" applyAlignment="1">
      <alignment vertical="center"/>
    </xf>
    <xf numFmtId="3" fontId="33" fillId="0" borderId="26" xfId="0" applyNumberFormat="1" applyFont="1" applyBorder="1" applyAlignment="1">
      <alignment vertical="center"/>
    </xf>
    <xf numFmtId="3" fontId="33" fillId="0" borderId="28" xfId="0" applyNumberFormat="1" applyFont="1" applyBorder="1" applyAlignment="1">
      <alignment vertical="center"/>
    </xf>
    <xf numFmtId="1" fontId="32" fillId="0" borderId="51" xfId="0" applyFont="1" applyBorder="1" applyAlignment="1">
      <alignment vertical="center"/>
    </xf>
    <xf numFmtId="1" fontId="32" fillId="0" borderId="33" xfId="0" applyFont="1" applyBorder="1" applyAlignment="1">
      <alignment vertical="center"/>
    </xf>
    <xf numFmtId="3" fontId="54" fillId="0" borderId="51" xfId="0" applyNumberFormat="1" applyFont="1" applyBorder="1" applyAlignment="1">
      <alignment vertical="center"/>
    </xf>
    <xf numFmtId="3" fontId="54" fillId="0" borderId="100" xfId="0" applyNumberFormat="1" applyFont="1" applyBorder="1" applyAlignment="1">
      <alignment vertical="center"/>
    </xf>
    <xf numFmtId="3" fontId="33" fillId="0" borderId="33" xfId="0" applyNumberFormat="1" applyFont="1" applyBorder="1" applyAlignment="1" applyProtection="1">
      <alignment vertical="center"/>
      <protection locked="0"/>
    </xf>
    <xf numFmtId="3" fontId="32" fillId="5" borderId="51" xfId="0" applyNumberFormat="1" applyFont="1" applyFill="1" applyBorder="1" applyAlignment="1">
      <alignment vertical="center"/>
    </xf>
    <xf numFmtId="3" fontId="2" fillId="0" borderId="42" xfId="0" applyNumberFormat="1" applyFont="1" applyBorder="1" applyAlignment="1">
      <alignment vertical="center"/>
    </xf>
    <xf numFmtId="1" fontId="32" fillId="29" borderId="28" xfId="0" applyFont="1" applyFill="1" applyBorder="1" applyAlignment="1">
      <alignment vertical="center"/>
    </xf>
    <xf numFmtId="1" fontId="36" fillId="29" borderId="28" xfId="0" applyFont="1" applyFill="1" applyBorder="1" applyAlignment="1" applyProtection="1">
      <alignment vertical="center"/>
      <protection locked="0"/>
    </xf>
    <xf numFmtId="3" fontId="54" fillId="0" borderId="28" xfId="0" applyNumberFormat="1" applyFont="1" applyBorder="1" applyAlignment="1">
      <alignment vertical="center"/>
    </xf>
    <xf numFmtId="1" fontId="32" fillId="29" borderId="46" xfId="0" applyFont="1" applyFill="1" applyBorder="1" applyAlignment="1">
      <alignment vertical="center"/>
    </xf>
    <xf numFmtId="1" fontId="34" fillId="29" borderId="46" xfId="0" applyFont="1" applyFill="1" applyBorder="1" applyAlignment="1">
      <alignment vertical="center"/>
    </xf>
    <xf numFmtId="1" fontId="2" fillId="0" borderId="109" xfId="0" applyFont="1" applyBorder="1" applyAlignment="1">
      <alignment vertical="center"/>
    </xf>
    <xf numFmtId="1" fontId="2" fillId="0" borderId="19" xfId="0" applyFont="1" applyBorder="1" applyAlignment="1">
      <alignment vertical="center"/>
    </xf>
    <xf numFmtId="1" fontId="2" fillId="0" borderId="2" xfId="0" applyFont="1" applyBorder="1" applyAlignment="1">
      <alignment vertical="center"/>
    </xf>
    <xf numFmtId="1" fontId="2" fillId="0" borderId="1" xfId="0" applyFont="1" applyBorder="1" applyAlignment="1">
      <alignment vertical="center"/>
    </xf>
    <xf numFmtId="1" fontId="2" fillId="4" borderId="124" xfId="0" applyFont="1" applyFill="1" applyBorder="1" applyAlignment="1">
      <alignment vertical="center"/>
    </xf>
    <xf numFmtId="1" fontId="36" fillId="0" borderId="33" xfId="0" applyFont="1" applyBorder="1" applyAlignment="1">
      <alignment vertical="center"/>
    </xf>
    <xf numFmtId="1" fontId="32" fillId="29" borderId="32" xfId="0" applyFont="1" applyFill="1" applyBorder="1" applyAlignment="1">
      <alignment vertical="center"/>
    </xf>
    <xf numFmtId="1" fontId="32" fillId="23" borderId="45" xfId="0" applyFont="1" applyFill="1" applyBorder="1" applyAlignment="1">
      <alignment horizontal="center" vertical="center"/>
    </xf>
    <xf numFmtId="1" fontId="32" fillId="23" borderId="31" xfId="0" applyFont="1" applyFill="1" applyBorder="1" applyAlignment="1">
      <alignment horizontal="centerContinuous" vertical="center"/>
    </xf>
    <xf numFmtId="1" fontId="55" fillId="0" borderId="0" xfId="0" applyFont="1" applyAlignment="1">
      <alignment vertical="center"/>
    </xf>
    <xf numFmtId="37" fontId="10" fillId="0" borderId="135" xfId="5" applyNumberFormat="1" applyFont="1" applyBorder="1" applyProtection="1">
      <protection locked="0"/>
    </xf>
    <xf numFmtId="0" fontId="32" fillId="23" borderId="137" xfId="8" applyFont="1" applyFill="1" applyBorder="1" applyAlignment="1" applyProtection="1">
      <alignment horizontal="center" vertical="center"/>
      <protection locked="0"/>
    </xf>
    <xf numFmtId="0" fontId="32" fillId="23" borderId="138" xfId="8" applyFont="1" applyFill="1" applyBorder="1" applyAlignment="1" applyProtection="1">
      <alignment horizontal="center" vertical="center"/>
      <protection locked="0"/>
    </xf>
    <xf numFmtId="0" fontId="32" fillId="23" borderId="139" xfId="8" applyFont="1" applyFill="1" applyBorder="1" applyAlignment="1" applyProtection="1">
      <alignment horizontal="center" vertical="center"/>
      <protection locked="0"/>
    </xf>
    <xf numFmtId="0" fontId="32" fillId="23" borderId="140" xfId="8" applyFont="1" applyFill="1" applyBorder="1" applyAlignment="1" applyProtection="1">
      <alignment horizontal="center" vertical="center"/>
      <protection locked="0"/>
    </xf>
    <xf numFmtId="0" fontId="32" fillId="23" borderId="141" xfId="8" applyFont="1" applyFill="1" applyBorder="1" applyAlignment="1" applyProtection="1">
      <alignment horizontal="center" vertical="center"/>
      <protection locked="0"/>
    </xf>
    <xf numFmtId="0" fontId="32" fillId="23" borderId="142" xfId="8" applyFont="1" applyFill="1" applyBorder="1" applyAlignment="1" applyProtection="1">
      <alignment horizontal="center" vertical="center"/>
      <protection locked="0"/>
    </xf>
    <xf numFmtId="0" fontId="32" fillId="23" borderId="143" xfId="8" applyFont="1" applyFill="1" applyBorder="1" applyAlignment="1" applyProtection="1">
      <alignment horizontal="center" vertical="center"/>
      <protection locked="0"/>
    </xf>
    <xf numFmtId="0" fontId="32" fillId="23" borderId="144" xfId="8" applyFont="1" applyFill="1" applyBorder="1" applyAlignment="1" applyProtection="1">
      <alignment horizontal="center" vertical="center"/>
      <protection locked="0"/>
    </xf>
    <xf numFmtId="0" fontId="32" fillId="23" borderId="145" xfId="8" applyFont="1" applyFill="1" applyBorder="1" applyAlignment="1" applyProtection="1">
      <alignment horizontal="center" vertical="center"/>
      <protection locked="0"/>
    </xf>
    <xf numFmtId="0" fontId="32" fillId="23" borderId="146" xfId="8" applyFont="1" applyFill="1" applyBorder="1" applyAlignment="1" applyProtection="1">
      <alignment horizontal="center" vertical="center"/>
      <protection locked="0"/>
    </xf>
    <xf numFmtId="0" fontId="32" fillId="4" borderId="146" xfId="8" applyFont="1" applyFill="1" applyBorder="1" applyAlignment="1" applyProtection="1">
      <alignment vertical="center"/>
      <protection locked="0"/>
    </xf>
    <xf numFmtId="0" fontId="32" fillId="4" borderId="147" xfId="8" applyFont="1" applyFill="1" applyBorder="1" applyAlignment="1" applyProtection="1">
      <alignment vertical="center"/>
      <protection locked="0"/>
    </xf>
    <xf numFmtId="0" fontId="32" fillId="4" borderId="148" xfId="8" applyFont="1" applyFill="1" applyBorder="1" applyAlignment="1" applyProtection="1">
      <alignment vertical="center"/>
      <protection locked="0"/>
    </xf>
    <xf numFmtId="0" fontId="2" fillId="4" borderId="143" xfId="8" applyFont="1" applyFill="1" applyBorder="1" applyAlignment="1" applyProtection="1">
      <alignment vertical="center"/>
      <protection locked="0"/>
    </xf>
    <xf numFmtId="0" fontId="2" fillId="4" borderId="147" xfId="8" applyFont="1" applyFill="1" applyBorder="1" applyAlignment="1" applyProtection="1">
      <alignment vertical="center"/>
      <protection locked="0"/>
    </xf>
    <xf numFmtId="0" fontId="33" fillId="0" borderId="146" xfId="8" applyFont="1" applyBorder="1" applyAlignment="1" applyProtection="1">
      <alignment vertical="center"/>
      <protection locked="0"/>
    </xf>
    <xf numFmtId="0" fontId="33" fillId="0" borderId="147" xfId="8" applyFont="1" applyBorder="1" applyAlignment="1" applyProtection="1">
      <alignment vertical="center"/>
      <protection locked="0"/>
    </xf>
    <xf numFmtId="0" fontId="2" fillId="4" borderId="142" xfId="8" applyFont="1" applyFill="1" applyBorder="1" applyAlignment="1" applyProtection="1">
      <alignment vertical="center"/>
      <protection locked="0"/>
    </xf>
    <xf numFmtId="3" fontId="2" fillId="0" borderId="143" xfId="8" applyNumberFormat="1" applyFont="1" applyBorder="1" applyAlignment="1">
      <alignment vertical="center"/>
    </xf>
    <xf numFmtId="0" fontId="2" fillId="0" borderId="149" xfId="8" applyFont="1" applyBorder="1" applyAlignment="1" applyProtection="1">
      <alignment vertical="center"/>
      <protection locked="0"/>
    </xf>
    <xf numFmtId="3" fontId="2" fillId="0" borderId="150" xfId="8" applyNumberFormat="1" applyFont="1" applyBorder="1" applyAlignment="1">
      <alignment vertical="center"/>
    </xf>
    <xf numFmtId="0" fontId="2" fillId="0" borderId="139" xfId="8" applyFont="1" applyBorder="1" applyAlignment="1">
      <alignment vertical="center"/>
    </xf>
    <xf numFmtId="0" fontId="32" fillId="4" borderId="142" xfId="8" applyFont="1" applyFill="1" applyBorder="1" applyAlignment="1" applyProtection="1">
      <alignment horizontal="center" vertical="center"/>
      <protection locked="0"/>
    </xf>
    <xf numFmtId="0" fontId="32" fillId="4" borderId="147" xfId="8" applyFont="1" applyFill="1" applyBorder="1" applyAlignment="1" applyProtection="1">
      <alignment horizontal="center" vertical="center"/>
      <protection locked="0"/>
    </xf>
    <xf numFmtId="0" fontId="34" fillId="4" borderId="142" xfId="8" applyFont="1" applyFill="1" applyBorder="1" applyAlignment="1" applyProtection="1">
      <alignment vertical="center"/>
      <protection locked="0"/>
    </xf>
    <xf numFmtId="1" fontId="2" fillId="24" borderId="143" xfId="0" applyFont="1" applyFill="1" applyBorder="1" applyAlignment="1">
      <alignment vertical="center"/>
    </xf>
    <xf numFmtId="1" fontId="2" fillId="24" borderId="147" xfId="0" applyFont="1" applyFill="1" applyBorder="1" applyAlignment="1">
      <alignment vertical="center"/>
    </xf>
    <xf numFmtId="1" fontId="2" fillId="0" borderId="147" xfId="0" applyFont="1" applyBorder="1" applyAlignment="1">
      <alignment vertical="center"/>
    </xf>
    <xf numFmtId="1" fontId="32" fillId="28" borderId="142" xfId="0" applyFont="1" applyFill="1" applyBorder="1" applyAlignment="1">
      <alignment vertical="center"/>
    </xf>
    <xf numFmtId="3" fontId="2" fillId="5" borderId="143" xfId="0" applyNumberFormat="1" applyFont="1" applyFill="1" applyBorder="1" applyAlignment="1">
      <alignment vertical="center"/>
    </xf>
    <xf numFmtId="3" fontId="2" fillId="5" borderId="142" xfId="0" applyNumberFormat="1" applyFont="1" applyFill="1" applyBorder="1" applyAlignment="1">
      <alignment vertical="center"/>
    </xf>
    <xf numFmtId="3" fontId="2" fillId="5" borderId="141" xfId="0" applyNumberFormat="1" applyFont="1" applyFill="1" applyBorder="1" applyAlignment="1">
      <alignment vertical="center"/>
    </xf>
    <xf numFmtId="1" fontId="32" fillId="4" borderId="142" xfId="0" applyFont="1" applyFill="1" applyBorder="1" applyAlignment="1">
      <alignment vertical="center"/>
    </xf>
    <xf numFmtId="3" fontId="2" fillId="0" borderId="143" xfId="0" applyNumberFormat="1" applyFont="1" applyBorder="1" applyAlignment="1">
      <alignment vertical="center"/>
    </xf>
    <xf numFmtId="3" fontId="2" fillId="0" borderId="142" xfId="0" applyNumberFormat="1" applyFont="1" applyBorder="1" applyAlignment="1">
      <alignment vertical="center"/>
    </xf>
    <xf numFmtId="3" fontId="2" fillId="0" borderId="141" xfId="0" applyNumberFormat="1" applyFont="1" applyBorder="1" applyAlignment="1">
      <alignment vertical="center"/>
    </xf>
    <xf numFmtId="1" fontId="32" fillId="5" borderId="142" xfId="0" applyFont="1" applyFill="1" applyBorder="1" applyAlignment="1">
      <alignment vertical="center"/>
    </xf>
    <xf numFmtId="3" fontId="2" fillId="5" borderId="139" xfId="0" applyNumberFormat="1" applyFont="1" applyFill="1" applyBorder="1" applyAlignment="1">
      <alignment vertical="center"/>
    </xf>
    <xf numFmtId="3" fontId="2" fillId="5" borderId="147" xfId="0" applyNumberFormat="1" applyFont="1" applyFill="1" applyBorder="1" applyAlignment="1">
      <alignment vertical="center"/>
    </xf>
    <xf numFmtId="3" fontId="2" fillId="5" borderId="151" xfId="0" applyNumberFormat="1" applyFont="1" applyFill="1" applyBorder="1" applyAlignment="1">
      <alignment vertical="center"/>
    </xf>
    <xf numFmtId="3" fontId="33" fillId="0" borderId="142" xfId="0" applyNumberFormat="1" applyFont="1" applyBorder="1" applyAlignment="1" applyProtection="1">
      <alignment vertical="center"/>
      <protection locked="0"/>
    </xf>
    <xf numFmtId="3" fontId="33" fillId="0" borderId="143" xfId="0" applyNumberFormat="1" applyFont="1" applyBorder="1" applyAlignment="1" applyProtection="1">
      <alignment vertical="center"/>
      <protection locked="0"/>
    </xf>
    <xf numFmtId="3" fontId="53" fillId="0" borderId="143" xfId="0" applyNumberFormat="1" applyFont="1" applyBorder="1" applyAlignment="1">
      <alignment vertical="center"/>
    </xf>
    <xf numFmtId="1" fontId="17" fillId="5" borderId="142" xfId="0" applyFont="1" applyFill="1" applyBorder="1" applyAlignment="1">
      <alignment vertical="center"/>
    </xf>
    <xf numFmtId="3" fontId="2" fillId="0" borderId="142" xfId="0" applyNumberFormat="1" applyFont="1" applyBorder="1" applyAlignment="1">
      <alignment horizontal="right" vertical="center"/>
    </xf>
    <xf numFmtId="3" fontId="2" fillId="5" borderId="142" xfId="0" applyNumberFormat="1" applyFont="1" applyFill="1" applyBorder="1" applyAlignment="1">
      <alignment horizontal="right" vertical="center"/>
    </xf>
    <xf numFmtId="3" fontId="2" fillId="0" borderId="143" xfId="0" applyNumberFormat="1" applyFont="1" applyBorder="1" applyAlignment="1">
      <alignment horizontal="right" vertical="center"/>
    </xf>
    <xf numFmtId="3" fontId="2" fillId="0" borderId="141" xfId="0" applyNumberFormat="1" applyFont="1" applyBorder="1" applyAlignment="1">
      <alignment horizontal="right" vertical="center"/>
    </xf>
    <xf numFmtId="3" fontId="32" fillId="4" borderId="142" xfId="0" applyNumberFormat="1" applyFont="1" applyFill="1" applyBorder="1" applyAlignment="1">
      <alignment horizontal="right" vertical="center"/>
    </xf>
    <xf numFmtId="3" fontId="32" fillId="4" borderId="143" xfId="0" applyNumberFormat="1" applyFont="1" applyFill="1" applyBorder="1" applyAlignment="1">
      <alignment horizontal="right" vertical="center"/>
    </xf>
    <xf numFmtId="3" fontId="32" fillId="4" borderId="141" xfId="0" applyNumberFormat="1" applyFont="1" applyFill="1" applyBorder="1" applyAlignment="1">
      <alignment horizontal="right" vertical="center"/>
    </xf>
    <xf numFmtId="1" fontId="2" fillId="4" borderId="142" xfId="0" applyFont="1" applyFill="1" applyBorder="1" applyAlignment="1">
      <alignment vertical="center"/>
    </xf>
    <xf numFmtId="1" fontId="2" fillId="4" borderId="147" xfId="0" applyFont="1" applyFill="1" applyBorder="1" applyAlignment="1">
      <alignment vertical="center"/>
    </xf>
    <xf numFmtId="171" fontId="2" fillId="4" borderId="147" xfId="0" applyNumberFormat="1" applyFont="1" applyFill="1" applyBorder="1" applyAlignment="1" applyProtection="1">
      <alignment vertical="center"/>
      <protection hidden="1"/>
    </xf>
    <xf numFmtId="0" fontId="14" fillId="8" borderId="152" xfId="5" applyFont="1" applyFill="1" applyBorder="1" applyAlignment="1">
      <alignment horizontal="center" vertical="center"/>
    </xf>
    <xf numFmtId="0" fontId="7" fillId="8" borderId="152" xfId="5" applyFont="1" applyFill="1" applyBorder="1" applyAlignment="1">
      <alignment horizontal="center"/>
    </xf>
    <xf numFmtId="0" fontId="14" fillId="7" borderId="152" xfId="5" applyFont="1" applyFill="1" applyBorder="1" applyAlignment="1">
      <alignment horizontal="center" vertical="center"/>
    </xf>
    <xf numFmtId="165" fontId="14" fillId="21" borderId="152" xfId="6" applyNumberFormat="1" applyFont="1" applyFill="1" applyBorder="1" applyAlignment="1" applyProtection="1">
      <alignment horizontal="center" vertical="center"/>
      <protection locked="0"/>
    </xf>
    <xf numFmtId="3" fontId="14" fillId="21" borderId="152" xfId="6" applyNumberFormat="1" applyFont="1" applyFill="1" applyBorder="1" applyAlignment="1" applyProtection="1">
      <alignment horizontal="center" vertical="center"/>
      <protection locked="0"/>
    </xf>
    <xf numFmtId="0" fontId="8" fillId="0" borderId="152" xfId="5" applyFont="1" applyBorder="1"/>
    <xf numFmtId="0" fontId="9" fillId="0" borderId="152" xfId="5" applyFont="1" applyBorder="1"/>
    <xf numFmtId="0" fontId="10" fillId="0" borderId="152" xfId="5" applyFont="1" applyBorder="1"/>
    <xf numFmtId="0" fontId="11" fillId="0" borderId="152" xfId="5" applyFont="1" applyBorder="1"/>
    <xf numFmtId="0" fontId="10" fillId="0" borderId="152" xfId="5" applyFont="1" applyBorder="1" applyAlignment="1">
      <alignment horizontal="center"/>
    </xf>
    <xf numFmtId="0" fontId="10" fillId="0" borderId="152" xfId="5" applyFont="1" applyBorder="1" applyAlignment="1">
      <alignment horizontal="left"/>
    </xf>
    <xf numFmtId="0" fontId="10" fillId="0" borderId="152" xfId="5" applyFont="1" applyBorder="1" applyAlignment="1" applyProtection="1">
      <alignment horizontal="center"/>
      <protection locked="0"/>
    </xf>
    <xf numFmtId="37" fontId="10" fillId="0" borderId="152" xfId="5" applyNumberFormat="1" applyFont="1" applyBorder="1" applyAlignment="1" applyProtection="1">
      <alignment horizontal="center"/>
      <protection locked="0"/>
    </xf>
    <xf numFmtId="37" fontId="10" fillId="0" borderId="152" xfId="5" applyNumberFormat="1" applyFont="1" applyBorder="1" applyProtection="1">
      <protection locked="0"/>
    </xf>
    <xf numFmtId="0" fontId="7" fillId="0" borderId="152" xfId="5" applyFont="1" applyBorder="1"/>
    <xf numFmtId="37" fontId="10" fillId="0" borderId="152" xfId="5" applyNumberFormat="1" applyFont="1" applyBorder="1" applyAlignment="1" applyProtection="1">
      <alignment horizontal="right"/>
      <protection locked="0"/>
    </xf>
    <xf numFmtId="37" fontId="10" fillId="0" borderId="152" xfId="5" applyNumberFormat="1" applyFont="1" applyBorder="1" applyAlignment="1">
      <alignment horizontal="center"/>
    </xf>
    <xf numFmtId="0" fontId="7" fillId="6" borderId="152" xfId="5" applyFont="1" applyFill="1" applyBorder="1" applyAlignment="1">
      <alignment horizontal="center" vertical="center"/>
    </xf>
    <xf numFmtId="165" fontId="10" fillId="0" borderId="152" xfId="5" applyNumberFormat="1" applyFont="1" applyBorder="1" applyAlignment="1" applyProtection="1">
      <alignment horizontal="center"/>
      <protection locked="0"/>
    </xf>
    <xf numFmtId="37" fontId="10" fillId="6" borderId="152" xfId="5" applyNumberFormat="1" applyFont="1" applyFill="1" applyBorder="1" applyAlignment="1" applyProtection="1">
      <alignment horizontal="center" vertical="center"/>
      <protection locked="0"/>
    </xf>
    <xf numFmtId="10" fontId="10" fillId="6" borderId="152" xfId="6" applyNumberFormat="1" applyFont="1" applyFill="1" applyBorder="1" applyAlignment="1" applyProtection="1">
      <alignment horizontal="center" vertical="center"/>
      <protection locked="0"/>
    </xf>
    <xf numFmtId="3" fontId="10" fillId="0" borderId="152" xfId="5" applyNumberFormat="1" applyFont="1" applyBorder="1" applyAlignment="1" applyProtection="1">
      <alignment horizontal="center"/>
      <protection locked="0"/>
    </xf>
    <xf numFmtId="3" fontId="10" fillId="6" borderId="152" xfId="5" applyNumberFormat="1" applyFont="1" applyFill="1" applyBorder="1" applyAlignment="1" applyProtection="1">
      <alignment horizontal="center" vertical="center"/>
      <protection locked="0"/>
    </xf>
    <xf numFmtId="3" fontId="10" fillId="6" borderId="152" xfId="5" applyNumberFormat="1" applyFont="1" applyFill="1" applyBorder="1" applyAlignment="1" applyProtection="1">
      <alignment horizontal="center"/>
      <protection locked="0"/>
    </xf>
    <xf numFmtId="0" fontId="7" fillId="0" borderId="152" xfId="5" applyFont="1" applyBorder="1" applyAlignment="1">
      <alignment horizontal="center"/>
    </xf>
    <xf numFmtId="9" fontId="10" fillId="0" borderId="152" xfId="5" applyNumberFormat="1" applyFont="1" applyBorder="1" applyAlignment="1" applyProtection="1">
      <alignment horizontal="center"/>
      <protection locked="0"/>
    </xf>
    <xf numFmtId="37" fontId="7" fillId="6" borderId="152" xfId="5" applyNumberFormat="1" applyFont="1" applyFill="1" applyBorder="1" applyAlignment="1" applyProtection="1">
      <alignment horizontal="center"/>
      <protection locked="0"/>
    </xf>
    <xf numFmtId="0" fontId="5" fillId="0" borderId="152" xfId="5" applyBorder="1"/>
    <xf numFmtId="0" fontId="27" fillId="8" borderId="152" xfId="5" applyFont="1" applyFill="1" applyBorder="1"/>
    <xf numFmtId="0" fontId="12" fillId="4" borderId="152" xfId="5" applyFont="1" applyFill="1" applyBorder="1"/>
    <xf numFmtId="0" fontId="5" fillId="21" borderId="152" xfId="5" applyFill="1" applyBorder="1"/>
    <xf numFmtId="9" fontId="10" fillId="21" borderId="152" xfId="5" applyNumberFormat="1" applyFont="1" applyFill="1" applyBorder="1" applyAlignment="1" applyProtection="1">
      <alignment horizontal="center"/>
      <protection locked="0"/>
    </xf>
    <xf numFmtId="9" fontId="10" fillId="6" borderId="152" xfId="5" applyNumberFormat="1" applyFont="1" applyFill="1" applyBorder="1" applyAlignment="1" applyProtection="1">
      <alignment horizontal="center"/>
      <protection locked="0"/>
    </xf>
    <xf numFmtId="0" fontId="10" fillId="4" borderId="152" xfId="5" applyFont="1" applyFill="1" applyBorder="1"/>
    <xf numFmtId="0" fontId="28" fillId="8" borderId="152" xfId="5" applyFont="1" applyFill="1" applyBorder="1"/>
    <xf numFmtId="0" fontId="7" fillId="8" borderId="152" xfId="5" applyFont="1" applyFill="1" applyBorder="1"/>
    <xf numFmtId="0" fontId="7" fillId="8" borderId="152" xfId="6" applyNumberFormat="1" applyFont="1" applyFill="1" applyBorder="1" applyAlignment="1">
      <alignment horizontal="center"/>
    </xf>
    <xf numFmtId="3" fontId="10" fillId="0" borderId="153" xfId="5" applyNumberFormat="1" applyFont="1" applyBorder="1" applyAlignment="1" applyProtection="1">
      <alignment horizontal="center"/>
      <protection locked="0"/>
    </xf>
    <xf numFmtId="3" fontId="24" fillId="18" borderId="152" xfId="5" applyNumberFormat="1" applyFont="1" applyFill="1" applyBorder="1" applyAlignment="1">
      <alignment horizontal="center"/>
    </xf>
    <xf numFmtId="0" fontId="24" fillId="19" borderId="153" xfId="5" applyFont="1" applyFill="1" applyBorder="1" applyAlignment="1">
      <alignment horizontal="center"/>
    </xf>
    <xf numFmtId="1" fontId="10" fillId="3" borderId="152" xfId="5" applyNumberFormat="1" applyFont="1" applyFill="1" applyBorder="1" applyAlignment="1">
      <alignment horizontal="center"/>
    </xf>
    <xf numFmtId="1" fontId="10" fillId="0" borderId="152" xfId="5" applyNumberFormat="1" applyFont="1" applyBorder="1" applyAlignment="1">
      <alignment horizontal="center"/>
    </xf>
    <xf numFmtId="0" fontId="7" fillId="4" borderId="152" xfId="5" applyFont="1" applyFill="1" applyBorder="1"/>
    <xf numFmtId="3" fontId="7" fillId="0" borderId="152" xfId="5" applyNumberFormat="1" applyFont="1" applyBorder="1" applyAlignment="1">
      <alignment horizontal="center"/>
    </xf>
    <xf numFmtId="0" fontId="12" fillId="16" borderId="152" xfId="5" applyFont="1" applyFill="1" applyBorder="1" applyAlignment="1">
      <alignment horizontal="center"/>
    </xf>
    <xf numFmtId="3" fontId="12" fillId="16" borderId="152" xfId="5" applyNumberFormat="1" applyFont="1" applyFill="1" applyBorder="1" applyAlignment="1">
      <alignment horizontal="center"/>
    </xf>
    <xf numFmtId="3" fontId="12" fillId="16" borderId="153" xfId="5" applyNumberFormat="1" applyFont="1" applyFill="1" applyBorder="1" applyAlignment="1">
      <alignment horizontal="center"/>
    </xf>
    <xf numFmtId="0" fontId="5" fillId="0" borderId="156" xfId="5" applyBorder="1"/>
    <xf numFmtId="0" fontId="5" fillId="0" borderId="157" xfId="5" applyBorder="1"/>
    <xf numFmtId="0" fontId="5" fillId="0" borderId="158" xfId="5" applyBorder="1"/>
    <xf numFmtId="0" fontId="10" fillId="16" borderId="152" xfId="6" applyNumberFormat="1" applyFont="1" applyFill="1" applyBorder="1" applyAlignment="1">
      <alignment horizontal="center"/>
    </xf>
    <xf numFmtId="167" fontId="10" fillId="0" borderId="152" xfId="1" applyNumberFormat="1" applyFont="1" applyFill="1" applyBorder="1" applyAlignment="1" applyProtection="1">
      <alignment horizontal="center" vertical="center"/>
      <protection locked="0"/>
    </xf>
    <xf numFmtId="9" fontId="5" fillId="8" borderId="152" xfId="6" applyFont="1" applyFill="1" applyBorder="1"/>
    <xf numFmtId="9" fontId="5" fillId="21" borderId="152" xfId="6" applyFont="1" applyFill="1" applyBorder="1"/>
    <xf numFmtId="167" fontId="10" fillId="21" borderId="152" xfId="1" applyNumberFormat="1" applyFont="1" applyFill="1" applyBorder="1" applyAlignment="1">
      <alignment horizontal="center" vertical="center"/>
    </xf>
    <xf numFmtId="3" fontId="7" fillId="0" borderId="152" xfId="5" applyNumberFormat="1" applyFont="1" applyBorder="1" applyAlignment="1" applyProtection="1">
      <alignment horizontal="center"/>
      <protection locked="0"/>
    </xf>
    <xf numFmtId="0" fontId="10" fillId="21" borderId="152" xfId="5" applyFont="1" applyFill="1" applyBorder="1"/>
    <xf numFmtId="167" fontId="10" fillId="0" borderId="152" xfId="1" applyNumberFormat="1" applyFont="1" applyBorder="1" applyAlignment="1">
      <alignment horizontal="center" vertical="center"/>
    </xf>
    <xf numFmtId="3" fontId="7" fillId="6" borderId="152" xfId="5" applyNumberFormat="1" applyFont="1" applyFill="1" applyBorder="1" applyAlignment="1">
      <alignment horizontal="center"/>
    </xf>
    <xf numFmtId="0" fontId="10" fillId="17" borderId="152" xfId="5" applyFont="1" applyFill="1" applyBorder="1" applyAlignment="1">
      <alignment horizontal="center" vertical="center" wrapText="1"/>
    </xf>
    <xf numFmtId="0" fontId="10" fillId="17" borderId="152" xfId="5" applyFont="1" applyFill="1" applyBorder="1" applyAlignment="1">
      <alignment horizontal="center"/>
    </xf>
    <xf numFmtId="0" fontId="10" fillId="0" borderId="161" xfId="5" applyFont="1" applyBorder="1" applyAlignment="1">
      <alignment horizontal="center" vertical="center" wrapText="1"/>
    </xf>
    <xf numFmtId="0" fontId="10" fillId="0" borderId="162" xfId="5" applyFont="1" applyBorder="1" applyAlignment="1">
      <alignment horizontal="center"/>
    </xf>
    <xf numFmtId="37" fontId="10" fillId="0" borderId="163" xfId="5" applyNumberFormat="1" applyFont="1" applyBorder="1" applyProtection="1">
      <protection locked="0"/>
    </xf>
    <xf numFmtId="37" fontId="10" fillId="0" borderId="164" xfId="5" applyNumberFormat="1" applyFont="1" applyBorder="1" applyProtection="1">
      <protection locked="0"/>
    </xf>
    <xf numFmtId="0" fontId="10" fillId="4" borderId="165" xfId="5" applyFont="1" applyFill="1" applyBorder="1"/>
    <xf numFmtId="0" fontId="10" fillId="4" borderId="166" xfId="5" applyFont="1" applyFill="1" applyBorder="1"/>
    <xf numFmtId="0" fontId="10" fillId="4" borderId="146" xfId="5" applyFont="1" applyFill="1" applyBorder="1"/>
    <xf numFmtId="0" fontId="10" fillId="4" borderId="147" xfId="5" applyFont="1" applyFill="1" applyBorder="1"/>
    <xf numFmtId="37" fontId="10" fillId="0" borderId="167" xfId="5" applyNumberFormat="1" applyFont="1" applyBorder="1" applyProtection="1">
      <protection locked="0"/>
    </xf>
    <xf numFmtId="1" fontId="16" fillId="4" borderId="169" xfId="0" applyFont="1" applyFill="1" applyBorder="1" applyAlignment="1">
      <alignment horizontal="left" vertical="center" indent="2"/>
    </xf>
    <xf numFmtId="1" fontId="16" fillId="4" borderId="169" xfId="0" applyFont="1" applyFill="1" applyBorder="1" applyAlignment="1">
      <alignment horizontal="center" vertical="center"/>
    </xf>
    <xf numFmtId="1" fontId="16" fillId="4" borderId="171" xfId="0" applyFont="1" applyFill="1" applyBorder="1" applyAlignment="1">
      <alignment vertical="center"/>
    </xf>
    <xf numFmtId="167" fontId="16" fillId="4" borderId="171" xfId="1" applyNumberFormat="1" applyFont="1" applyFill="1" applyBorder="1" applyAlignment="1">
      <alignment horizontal="right" vertical="center"/>
    </xf>
    <xf numFmtId="166" fontId="16" fillId="4" borderId="171" xfId="0" applyNumberFormat="1" applyFont="1" applyFill="1" applyBorder="1" applyAlignment="1">
      <alignment horizontal="right" vertical="center"/>
    </xf>
    <xf numFmtId="9" fontId="16" fillId="4" borderId="171" xfId="6" applyFont="1" applyFill="1" applyBorder="1" applyAlignment="1">
      <alignment horizontal="right" vertical="center"/>
    </xf>
    <xf numFmtId="165" fontId="16" fillId="4" borderId="171" xfId="6" applyNumberFormat="1" applyFont="1" applyFill="1" applyBorder="1" applyAlignment="1">
      <alignment horizontal="right" vertical="center"/>
    </xf>
    <xf numFmtId="10" fontId="63" fillId="7" borderId="152" xfId="6" applyNumberFormat="1" applyFont="1" applyFill="1" applyBorder="1" applyAlignment="1" applyProtection="1">
      <alignment horizontal="center" vertical="center"/>
      <protection locked="0"/>
    </xf>
    <xf numFmtId="0" fontId="32" fillId="3" borderId="68" xfId="8" applyFont="1" applyFill="1" applyBorder="1" applyAlignment="1" applyProtection="1">
      <alignment horizontal="center" vertical="center"/>
      <protection locked="0"/>
    </xf>
    <xf numFmtId="1" fontId="0" fillId="3" borderId="77" xfId="0" applyFill="1" applyBorder="1" applyAlignment="1" applyProtection="1">
      <alignment horizontal="center" vertical="center"/>
      <protection locked="0"/>
    </xf>
    <xf numFmtId="1" fontId="0" fillId="3" borderId="76" xfId="0" applyFill="1" applyBorder="1" applyAlignment="1" applyProtection="1">
      <alignment horizontal="center" vertical="center"/>
      <protection locked="0"/>
    </xf>
    <xf numFmtId="0" fontId="32" fillId="23" borderId="66" xfId="8" applyFont="1" applyFill="1" applyBorder="1" applyAlignment="1" applyProtection="1">
      <alignment horizontal="center" vertical="center"/>
      <protection locked="0"/>
    </xf>
    <xf numFmtId="0" fontId="32" fillId="23" borderId="65" xfId="8" applyFont="1" applyFill="1" applyBorder="1" applyAlignment="1" applyProtection="1">
      <alignment horizontal="center" vertical="center"/>
      <protection locked="0"/>
    </xf>
    <xf numFmtId="0" fontId="32" fillId="23" borderId="64" xfId="8" applyFont="1" applyFill="1" applyBorder="1" applyAlignment="1" applyProtection="1">
      <alignment horizontal="center" vertical="center"/>
      <protection locked="0"/>
    </xf>
    <xf numFmtId="0" fontId="32" fillId="23" borderId="54" xfId="8" applyFont="1" applyFill="1" applyBorder="1" applyAlignment="1" applyProtection="1">
      <alignment horizontal="center" vertical="center"/>
      <protection locked="0"/>
    </xf>
    <xf numFmtId="0" fontId="32" fillId="23" borderId="53" xfId="8" applyFont="1" applyFill="1" applyBorder="1" applyAlignment="1" applyProtection="1">
      <alignment horizontal="center" vertical="center"/>
      <protection locked="0"/>
    </xf>
    <xf numFmtId="0" fontId="32" fillId="23" borderId="52" xfId="8" applyFont="1" applyFill="1" applyBorder="1" applyAlignment="1" applyProtection="1">
      <alignment horizontal="center" vertical="center"/>
      <protection locked="0"/>
    </xf>
    <xf numFmtId="1" fontId="32" fillId="3" borderId="68" xfId="0" applyFont="1" applyFill="1" applyBorder="1" applyAlignment="1">
      <alignment horizontal="center" vertical="center"/>
    </xf>
    <xf numFmtId="1" fontId="0" fillId="3" borderId="77" xfId="0" applyFill="1" applyBorder="1" applyAlignment="1">
      <alignment horizontal="center" vertical="center"/>
    </xf>
    <xf numFmtId="1" fontId="0" fillId="3" borderId="76" xfId="0" applyFill="1" applyBorder="1" applyAlignment="1">
      <alignment horizontal="center" vertical="center"/>
    </xf>
    <xf numFmtId="1" fontId="32" fillId="2" borderId="68" xfId="0" applyFont="1" applyFill="1" applyBorder="1" applyAlignment="1">
      <alignment horizontal="center" vertical="center"/>
    </xf>
    <xf numFmtId="1" fontId="0" fillId="0" borderId="77" xfId="0" applyBorder="1" applyAlignment="1">
      <alignment horizontal="center" vertical="center"/>
    </xf>
    <xf numFmtId="1" fontId="0" fillId="0" borderId="76" xfId="0" applyBorder="1" applyAlignment="1">
      <alignment horizontal="center" vertical="center"/>
    </xf>
    <xf numFmtId="1" fontId="32" fillId="23" borderId="128" xfId="0" applyFont="1" applyFill="1" applyBorder="1" applyAlignment="1">
      <alignment horizontal="center" vertical="center"/>
    </xf>
    <xf numFmtId="1" fontId="32" fillId="23" borderId="127" xfId="0" applyFont="1" applyFill="1" applyBorder="1" applyAlignment="1">
      <alignment horizontal="center" vertical="center"/>
    </xf>
    <xf numFmtId="1" fontId="32" fillId="23" borderId="126" xfId="0" applyFont="1" applyFill="1" applyBorder="1" applyAlignment="1">
      <alignment horizontal="center" vertical="center"/>
    </xf>
    <xf numFmtId="1" fontId="2" fillId="0" borderId="122" xfId="0" applyFont="1" applyBorder="1" applyAlignment="1">
      <alignment horizontal="center" vertical="center"/>
    </xf>
    <xf numFmtId="1" fontId="32" fillId="0" borderId="122" xfId="0" applyFont="1" applyBorder="1" applyAlignment="1">
      <alignment horizontal="center" vertical="center"/>
    </xf>
    <xf numFmtId="1" fontId="2" fillId="0" borderId="0" xfId="0" applyFont="1" applyAlignment="1">
      <alignment horizontal="center" vertical="center"/>
    </xf>
    <xf numFmtId="3" fontId="32" fillId="3" borderId="103" xfId="0" applyNumberFormat="1" applyFont="1" applyFill="1" applyBorder="1" applyAlignment="1">
      <alignment horizontal="center" vertical="center"/>
    </xf>
    <xf numFmtId="3" fontId="32" fillId="3" borderId="102" xfId="0" applyNumberFormat="1" applyFont="1" applyFill="1" applyBorder="1" applyAlignment="1">
      <alignment horizontal="center" vertical="center"/>
    </xf>
    <xf numFmtId="3" fontId="32" fillId="3" borderId="101" xfId="0" applyNumberFormat="1" applyFont="1" applyFill="1" applyBorder="1" applyAlignment="1">
      <alignment horizontal="center" vertical="center"/>
    </xf>
    <xf numFmtId="3" fontId="32" fillId="3" borderId="93" xfId="0" applyNumberFormat="1" applyFont="1" applyFill="1" applyBorder="1" applyAlignment="1">
      <alignment horizontal="center" vertical="center"/>
    </xf>
    <xf numFmtId="1" fontId="51" fillId="4" borderId="82" xfId="0" applyFont="1" applyFill="1" applyBorder="1" applyAlignment="1">
      <alignment horizontal="center" vertical="center"/>
    </xf>
    <xf numFmtId="3" fontId="32" fillId="3" borderId="91" xfId="0" applyNumberFormat="1" applyFont="1" applyFill="1" applyBorder="1" applyAlignment="1">
      <alignment horizontal="center" vertical="center"/>
    </xf>
    <xf numFmtId="3" fontId="32" fillId="3" borderId="90" xfId="0" applyNumberFormat="1" applyFont="1" applyFill="1" applyBorder="1" applyAlignment="1">
      <alignment horizontal="center" vertical="center"/>
    </xf>
    <xf numFmtId="10" fontId="51" fillId="4" borderId="91" xfId="0" applyNumberFormat="1" applyFont="1" applyFill="1" applyBorder="1" applyAlignment="1">
      <alignment horizontal="center" vertical="center"/>
    </xf>
    <xf numFmtId="10" fontId="51" fillId="4" borderId="90" xfId="0" applyNumberFormat="1" applyFont="1" applyFill="1" applyBorder="1" applyAlignment="1">
      <alignment horizontal="center" vertical="center"/>
    </xf>
    <xf numFmtId="1" fontId="17" fillId="4" borderId="68" xfId="0" applyFont="1" applyFill="1" applyBorder="1" applyAlignment="1">
      <alignment horizontal="center" vertical="center" wrapText="1"/>
    </xf>
    <xf numFmtId="1" fontId="17" fillId="4" borderId="27" xfId="0" applyFont="1" applyFill="1" applyBorder="1" applyAlignment="1">
      <alignment horizontal="center" vertical="center" wrapText="1"/>
    </xf>
    <xf numFmtId="1" fontId="17" fillId="4" borderId="108" xfId="0" applyFont="1" applyFill="1" applyBorder="1" applyAlignment="1">
      <alignment horizontal="center" vertical="center" wrapText="1"/>
    </xf>
    <xf numFmtId="1" fontId="2" fillId="3" borderId="77" xfId="0" applyFont="1" applyFill="1" applyBorder="1" applyAlignment="1">
      <alignment horizontal="center" vertical="center"/>
    </xf>
    <xf numFmtId="1" fontId="2" fillId="3" borderId="76" xfId="0" applyFont="1" applyFill="1" applyBorder="1" applyAlignment="1">
      <alignment horizontal="center" vertical="center"/>
    </xf>
    <xf numFmtId="1" fontId="51" fillId="4" borderId="91" xfId="0" applyFont="1" applyFill="1" applyBorder="1" applyAlignment="1">
      <alignment horizontal="center" vertical="center" wrapText="1"/>
    </xf>
    <xf numFmtId="1" fontId="51" fillId="4" borderId="90" xfId="0" applyFont="1" applyFill="1" applyBorder="1" applyAlignment="1">
      <alignment horizontal="center" vertical="center" wrapText="1"/>
    </xf>
    <xf numFmtId="1" fontId="17" fillId="4" borderId="91" xfId="0" applyFont="1" applyFill="1" applyBorder="1" applyAlignment="1">
      <alignment horizontal="center" vertical="center" wrapText="1"/>
    </xf>
    <xf numFmtId="1" fontId="17" fillId="4" borderId="83" xfId="0" applyFont="1" applyFill="1" applyBorder="1" applyAlignment="1">
      <alignment horizontal="center" vertical="center" wrapText="1"/>
    </xf>
    <xf numFmtId="1" fontId="17" fillId="4" borderId="90" xfId="0" applyFont="1" applyFill="1" applyBorder="1" applyAlignment="1">
      <alignment horizontal="center" vertical="center" wrapText="1"/>
    </xf>
    <xf numFmtId="1" fontId="32" fillId="4" borderId="99" xfId="0" applyFont="1" applyFill="1" applyBorder="1" applyAlignment="1">
      <alignment horizontal="center" vertical="center" wrapText="1"/>
    </xf>
    <xf numFmtId="1" fontId="32" fillId="4" borderId="96" xfId="0" applyFont="1" applyFill="1" applyBorder="1" applyAlignment="1">
      <alignment horizontal="center" vertical="center"/>
    </xf>
    <xf numFmtId="1" fontId="32" fillId="4" borderId="100" xfId="0" applyFont="1" applyFill="1" applyBorder="1" applyAlignment="1">
      <alignment horizontal="center" vertical="center" wrapText="1"/>
    </xf>
    <xf numFmtId="1" fontId="32" fillId="4" borderId="97" xfId="0" applyFont="1" applyFill="1" applyBorder="1" applyAlignment="1">
      <alignment horizontal="center" vertical="center"/>
    </xf>
    <xf numFmtId="1" fontId="17" fillId="4" borderId="32" xfId="0" applyFont="1" applyFill="1" applyBorder="1" applyAlignment="1">
      <alignment horizontal="center" vertical="center"/>
    </xf>
    <xf numFmtId="1" fontId="17" fillId="4" borderId="98" xfId="0" applyFont="1" applyFill="1" applyBorder="1" applyAlignment="1">
      <alignment horizontal="center" vertical="center"/>
    </xf>
    <xf numFmtId="1" fontId="47" fillId="4" borderId="89" xfId="0" applyFont="1" applyFill="1" applyBorder="1" applyAlignment="1">
      <alignment horizontal="left" vertical="center"/>
    </xf>
    <xf numFmtId="1" fontId="47" fillId="4" borderId="0" xfId="0" applyFont="1" applyFill="1" applyAlignment="1">
      <alignment horizontal="left" vertical="center"/>
    </xf>
    <xf numFmtId="1" fontId="17" fillId="4" borderId="68" xfId="0" applyFont="1" applyFill="1" applyBorder="1" applyAlignment="1">
      <alignment horizontal="center" vertical="center"/>
    </xf>
    <xf numFmtId="1" fontId="17" fillId="4" borderId="77" xfId="0" applyFont="1" applyFill="1" applyBorder="1" applyAlignment="1">
      <alignment horizontal="center" vertical="center"/>
    </xf>
    <xf numFmtId="1" fontId="17" fillId="4" borderId="108" xfId="0" applyFont="1" applyFill="1" applyBorder="1" applyAlignment="1">
      <alignment horizontal="center" vertical="center"/>
    </xf>
    <xf numFmtId="1" fontId="44" fillId="4" borderId="87" xfId="0" applyFont="1" applyFill="1" applyBorder="1" applyAlignment="1">
      <alignment horizontal="center" vertical="center"/>
    </xf>
    <xf numFmtId="1" fontId="44" fillId="4" borderId="74" xfId="0" applyFont="1" applyFill="1" applyBorder="1" applyAlignment="1">
      <alignment horizontal="center" vertical="center"/>
    </xf>
    <xf numFmtId="1" fontId="44" fillId="4" borderId="86" xfId="0" applyFont="1" applyFill="1" applyBorder="1" applyAlignment="1">
      <alignment horizontal="center" vertical="center"/>
    </xf>
    <xf numFmtId="1" fontId="42" fillId="5" borderId="84" xfId="0" applyFont="1" applyFill="1" applyBorder="1" applyAlignment="1">
      <alignment horizontal="center" vertical="center"/>
    </xf>
    <xf numFmtId="1" fontId="42" fillId="5" borderId="83" xfId="0" applyFont="1" applyFill="1" applyBorder="1" applyAlignment="1">
      <alignment horizontal="center" vertical="center"/>
    </xf>
    <xf numFmtId="1" fontId="42" fillId="4" borderId="89" xfId="0" applyFont="1" applyFill="1" applyBorder="1" applyAlignment="1">
      <alignment horizontal="center" vertical="center"/>
    </xf>
    <xf numFmtId="1" fontId="42" fillId="4" borderId="0" xfId="0" applyFont="1" applyFill="1" applyAlignment="1">
      <alignment horizontal="center" vertical="center"/>
    </xf>
    <xf numFmtId="1" fontId="48" fillId="4" borderId="92" xfId="0" applyFont="1" applyFill="1" applyBorder="1" applyAlignment="1">
      <alignment horizontal="center" vertical="center"/>
    </xf>
    <xf numFmtId="1" fontId="48" fillId="4" borderId="80" xfId="0" applyFont="1" applyFill="1" applyBorder="1" applyAlignment="1">
      <alignment horizontal="center" vertical="center"/>
    </xf>
    <xf numFmtId="1" fontId="17" fillId="4" borderId="91" xfId="0" applyFont="1" applyFill="1" applyBorder="1" applyAlignment="1">
      <alignment horizontal="center" vertical="center"/>
    </xf>
    <xf numFmtId="1" fontId="17" fillId="4" borderId="83" xfId="0" applyFont="1" applyFill="1" applyBorder="1" applyAlignment="1">
      <alignment horizontal="center" vertical="center"/>
    </xf>
    <xf numFmtId="1" fontId="17" fillId="4" borderId="90" xfId="0" applyFont="1" applyFill="1" applyBorder="1" applyAlignment="1">
      <alignment horizontal="center" vertical="center"/>
    </xf>
    <xf numFmtId="1" fontId="49" fillId="23" borderId="92" xfId="0" applyFont="1" applyFill="1" applyBorder="1" applyAlignment="1">
      <alignment horizontal="center" vertical="center" wrapText="1"/>
    </xf>
    <xf numFmtId="1" fontId="49" fillId="23" borderId="94" xfId="0" applyFont="1" applyFill="1" applyBorder="1" applyAlignment="1">
      <alignment horizontal="center" vertical="center" wrapText="1"/>
    </xf>
    <xf numFmtId="1" fontId="49" fillId="23" borderId="93" xfId="0" applyFont="1" applyFill="1" applyBorder="1" applyAlignment="1">
      <alignment horizontal="center" vertical="center" wrapText="1"/>
    </xf>
    <xf numFmtId="1" fontId="49" fillId="23" borderId="95" xfId="0" applyFont="1" applyFill="1" applyBorder="1" applyAlignment="1">
      <alignment horizontal="center" vertical="center" wrapText="1"/>
    </xf>
    <xf numFmtId="1" fontId="49" fillId="23" borderId="87" xfId="0" applyFont="1" applyFill="1" applyBorder="1" applyAlignment="1">
      <alignment horizontal="center" vertical="center" wrapText="1"/>
    </xf>
    <xf numFmtId="1" fontId="49" fillId="23" borderId="74" xfId="0" applyFont="1" applyFill="1" applyBorder="1" applyAlignment="1">
      <alignment horizontal="center" vertical="center" wrapText="1"/>
    </xf>
    <xf numFmtId="1" fontId="49" fillId="23" borderId="78" xfId="0" applyFont="1" applyFill="1" applyBorder="1" applyAlignment="1">
      <alignment horizontal="center" vertical="center" wrapText="1"/>
    </xf>
    <xf numFmtId="0" fontId="5" fillId="20" borderId="152" xfId="5" applyFill="1" applyBorder="1" applyAlignment="1">
      <alignment horizontal="left" vertical="center" wrapText="1"/>
    </xf>
    <xf numFmtId="0" fontId="29" fillId="17" borderId="153" xfId="5" applyFont="1" applyFill="1" applyBorder="1" applyAlignment="1">
      <alignment horizontal="center"/>
    </xf>
    <xf numFmtId="0" fontId="29" fillId="17" borderId="154" xfId="5" applyFont="1" applyFill="1" applyBorder="1" applyAlignment="1">
      <alignment horizontal="center"/>
    </xf>
    <xf numFmtId="0" fontId="29" fillId="17" borderId="155" xfId="5" applyFont="1" applyFill="1" applyBorder="1" applyAlignment="1">
      <alignment horizontal="center"/>
    </xf>
    <xf numFmtId="0" fontId="7" fillId="8" borderId="152" xfId="5" applyFont="1" applyFill="1" applyBorder="1" applyAlignment="1">
      <alignment horizontal="center"/>
    </xf>
    <xf numFmtId="0" fontId="29" fillId="17" borderId="160" xfId="5" applyFont="1" applyFill="1" applyBorder="1" applyAlignment="1">
      <alignment horizontal="center"/>
    </xf>
    <xf numFmtId="0" fontId="5" fillId="8" borderId="153" xfId="5" applyFill="1" applyBorder="1" applyAlignment="1">
      <alignment horizontal="center"/>
    </xf>
    <xf numFmtId="0" fontId="5" fillId="8" borderId="155" xfId="5" applyFill="1" applyBorder="1" applyAlignment="1">
      <alignment horizontal="center"/>
    </xf>
    <xf numFmtId="0" fontId="10" fillId="4" borderId="153" xfId="5" applyFont="1" applyFill="1" applyBorder="1" applyAlignment="1">
      <alignment horizontal="center"/>
    </xf>
    <xf numFmtId="0" fontId="10" fillId="4" borderId="155" xfId="5" applyFont="1" applyFill="1" applyBorder="1" applyAlignment="1">
      <alignment horizontal="center"/>
    </xf>
    <xf numFmtId="0" fontId="5" fillId="20" borderId="2" xfId="5" applyFill="1" applyBorder="1" applyAlignment="1">
      <alignment horizontal="left" vertical="top" wrapText="1"/>
    </xf>
    <xf numFmtId="0" fontId="5" fillId="20" borderId="0" xfId="5" applyFill="1" applyAlignment="1">
      <alignment horizontal="left" vertical="top" wrapText="1"/>
    </xf>
    <xf numFmtId="0" fontId="5" fillId="20" borderId="1" xfId="5" applyFill="1" applyBorder="1" applyAlignment="1">
      <alignment horizontal="left" vertical="top" wrapText="1"/>
    </xf>
    <xf numFmtId="0" fontId="6" fillId="17" borderId="152" xfId="5" applyFont="1" applyFill="1" applyBorder="1" applyAlignment="1" applyProtection="1">
      <alignment horizontal="center" vertical="center"/>
      <protection locked="0"/>
    </xf>
    <xf numFmtId="0" fontId="14" fillId="20" borderId="153" xfId="5" applyFont="1" applyFill="1" applyBorder="1" applyAlignment="1">
      <alignment horizontal="center" vertical="center"/>
    </xf>
    <xf numFmtId="0" fontId="14" fillId="20" borderId="154" xfId="5" applyFont="1" applyFill="1" applyBorder="1" applyAlignment="1">
      <alignment horizontal="center" vertical="center"/>
    </xf>
    <xf numFmtId="0" fontId="14" fillId="20" borderId="155" xfId="5" applyFont="1" applyFill="1" applyBorder="1" applyAlignment="1">
      <alignment horizontal="center" vertical="center"/>
    </xf>
    <xf numFmtId="0" fontId="10" fillId="0" borderId="152" xfId="5" applyFont="1" applyBorder="1" applyAlignment="1">
      <alignment horizontal="center"/>
    </xf>
    <xf numFmtId="0" fontId="5" fillId="20" borderId="156" xfId="5" applyFill="1" applyBorder="1" applyAlignment="1">
      <alignment horizontal="left" vertical="top" wrapText="1"/>
    </xf>
    <xf numFmtId="0" fontId="5" fillId="20" borderId="157" xfId="5" applyFill="1" applyBorder="1" applyAlignment="1">
      <alignment horizontal="left" vertical="top" wrapText="1"/>
    </xf>
    <xf numFmtId="0" fontId="5" fillId="20" borderId="158" xfId="5" applyFill="1" applyBorder="1" applyAlignment="1">
      <alignment horizontal="left" vertical="top" wrapText="1"/>
    </xf>
    <xf numFmtId="0" fontId="5" fillId="20" borderId="20" xfId="5" applyFill="1" applyBorder="1" applyAlignment="1">
      <alignment horizontal="left" vertical="top" wrapText="1"/>
    </xf>
    <xf numFmtId="0" fontId="5" fillId="20" borderId="18" xfId="5" applyFill="1" applyBorder="1" applyAlignment="1">
      <alignment horizontal="left" vertical="top" wrapText="1"/>
    </xf>
    <xf numFmtId="0" fontId="5" fillId="20" borderId="16" xfId="5" applyFill="1" applyBorder="1" applyAlignment="1">
      <alignment horizontal="left" vertical="top" wrapText="1"/>
    </xf>
    <xf numFmtId="0" fontId="10" fillId="17" borderId="153" xfId="5" applyFont="1" applyFill="1" applyBorder="1" applyAlignment="1">
      <alignment horizontal="center"/>
    </xf>
    <xf numFmtId="0" fontId="10" fillId="17" borderId="154" xfId="5" applyFont="1" applyFill="1" applyBorder="1" applyAlignment="1">
      <alignment horizontal="center"/>
    </xf>
    <xf numFmtId="0" fontId="10" fillId="17" borderId="155" xfId="5" applyFont="1" applyFill="1" applyBorder="1" applyAlignment="1">
      <alignment horizontal="center"/>
    </xf>
    <xf numFmtId="0" fontId="7" fillId="8" borderId="153" xfId="5" applyFont="1" applyFill="1" applyBorder="1" applyAlignment="1">
      <alignment horizontal="center"/>
    </xf>
    <xf numFmtId="0" fontId="7" fillId="8" borderId="154" xfId="5" applyFont="1" applyFill="1" applyBorder="1" applyAlignment="1">
      <alignment horizontal="center"/>
    </xf>
    <xf numFmtId="0" fontId="7" fillId="8" borderId="155" xfId="5" applyFont="1" applyFill="1" applyBorder="1" applyAlignment="1">
      <alignment horizontal="center"/>
    </xf>
    <xf numFmtId="0" fontId="10" fillId="8" borderId="153" xfId="5" applyFont="1" applyFill="1" applyBorder="1" applyAlignment="1">
      <alignment horizontal="center"/>
    </xf>
    <xf numFmtId="0" fontId="10" fillId="8" borderId="155" xfId="5" applyFont="1" applyFill="1" applyBorder="1" applyAlignment="1">
      <alignment horizontal="center"/>
    </xf>
    <xf numFmtId="0" fontId="10" fillId="17" borderId="152" xfId="5" applyFont="1" applyFill="1" applyBorder="1" applyAlignment="1" applyProtection="1">
      <alignment horizontal="center"/>
      <protection locked="0"/>
    </xf>
    <xf numFmtId="0" fontId="10" fillId="4" borderId="22" xfId="5" applyFont="1" applyFill="1" applyBorder="1"/>
    <xf numFmtId="0" fontId="10" fillId="4" borderId="168" xfId="5" applyFont="1" applyFill="1" applyBorder="1"/>
    <xf numFmtId="0" fontId="10" fillId="4" borderId="136" xfId="5" applyFont="1" applyFill="1" applyBorder="1"/>
    <xf numFmtId="0" fontId="7" fillId="4" borderId="22" xfId="5" applyFont="1" applyFill="1" applyBorder="1"/>
    <xf numFmtId="0" fontId="7" fillId="4" borderId="168" xfId="5" applyFont="1" applyFill="1" applyBorder="1"/>
    <xf numFmtId="0" fontId="7" fillId="4" borderId="136" xfId="5" applyFont="1" applyFill="1" applyBorder="1"/>
    <xf numFmtId="0" fontId="5" fillId="17" borderId="153" xfId="5" applyFill="1" applyBorder="1" applyAlignment="1">
      <alignment horizontal="center"/>
    </xf>
    <xf numFmtId="0" fontId="5" fillId="17" borderId="154" xfId="5" applyFill="1" applyBorder="1" applyAlignment="1">
      <alignment horizontal="center"/>
    </xf>
    <xf numFmtId="0" fontId="5" fillId="17" borderId="155" xfId="5" applyFill="1" applyBorder="1" applyAlignment="1">
      <alignment horizontal="center"/>
    </xf>
    <xf numFmtId="0" fontId="5" fillId="20" borderId="156" xfId="5" applyFill="1" applyBorder="1" applyAlignment="1">
      <alignment horizontal="left" vertical="center" wrapText="1"/>
    </xf>
    <xf numFmtId="0" fontId="5" fillId="20" borderId="157" xfId="5" applyFill="1" applyBorder="1" applyAlignment="1">
      <alignment horizontal="left" vertical="center" wrapText="1"/>
    </xf>
    <xf numFmtId="0" fontId="5" fillId="20" borderId="158" xfId="5" applyFill="1" applyBorder="1" applyAlignment="1">
      <alignment horizontal="left" vertical="center" wrapText="1"/>
    </xf>
    <xf numFmtId="0" fontId="5" fillId="20" borderId="2" xfId="5" applyFill="1" applyBorder="1" applyAlignment="1">
      <alignment horizontal="left" vertical="center" wrapText="1"/>
    </xf>
    <xf numFmtId="0" fontId="5" fillId="20" borderId="0" xfId="5" applyFill="1" applyAlignment="1">
      <alignment horizontal="left" vertical="center" wrapText="1"/>
    </xf>
    <xf numFmtId="0" fontId="5" fillId="20" borderId="1" xfId="5" applyFill="1" applyBorder="1" applyAlignment="1">
      <alignment horizontal="left" vertical="center" wrapText="1"/>
    </xf>
    <xf numFmtId="0" fontId="5" fillId="20" borderId="20" xfId="5" applyFill="1" applyBorder="1" applyAlignment="1">
      <alignment horizontal="left" vertical="center" wrapText="1"/>
    </xf>
    <xf numFmtId="0" fontId="5" fillId="20" borderId="18" xfId="5" applyFill="1" applyBorder="1" applyAlignment="1">
      <alignment horizontal="left" vertical="center" wrapText="1"/>
    </xf>
    <xf numFmtId="0" fontId="5" fillId="20" borderId="16" xfId="5" applyFill="1" applyBorder="1" applyAlignment="1">
      <alignment horizontal="left" vertical="center" wrapText="1"/>
    </xf>
    <xf numFmtId="0" fontId="10" fillId="0" borderId="152" xfId="5" applyFont="1" applyBorder="1" applyAlignment="1">
      <alignment horizontal="center" vertical="center"/>
    </xf>
    <xf numFmtId="0" fontId="7" fillId="6" borderId="159" xfId="5" applyFont="1" applyFill="1" applyBorder="1" applyAlignment="1">
      <alignment horizontal="center" vertical="center"/>
    </xf>
    <xf numFmtId="0" fontId="7" fillId="6" borderId="19" xfId="5" applyFont="1" applyFill="1" applyBorder="1" applyAlignment="1">
      <alignment horizontal="center" vertical="center"/>
    </xf>
    <xf numFmtId="0" fontId="7" fillId="4" borderId="153" xfId="5" applyFont="1" applyFill="1" applyBorder="1" applyAlignment="1">
      <alignment horizontal="center"/>
    </xf>
    <xf numFmtId="0" fontId="7" fillId="4" borderId="155" xfId="5" applyFont="1" applyFill="1" applyBorder="1" applyAlignment="1">
      <alignment horizontal="center"/>
    </xf>
    <xf numFmtId="3" fontId="26" fillId="0" borderId="157" xfId="5" applyNumberFormat="1" applyFont="1" applyBorder="1" applyAlignment="1">
      <alignment horizontal="center" vertical="center" wrapText="1"/>
    </xf>
    <xf numFmtId="3" fontId="26" fillId="0" borderId="0" xfId="5" applyNumberFormat="1" applyFont="1" applyAlignment="1">
      <alignment horizontal="center" vertical="center" wrapText="1"/>
    </xf>
    <xf numFmtId="3" fontId="26" fillId="0" borderId="1" xfId="5" applyNumberFormat="1" applyFont="1" applyBorder="1" applyAlignment="1">
      <alignment horizontal="center" vertical="center" wrapText="1"/>
    </xf>
    <xf numFmtId="3" fontId="26" fillId="0" borderId="18" xfId="5" applyNumberFormat="1" applyFont="1" applyBorder="1" applyAlignment="1">
      <alignment horizontal="center" vertical="center" wrapText="1"/>
    </xf>
    <xf numFmtId="3" fontId="26" fillId="0" borderId="16" xfId="5" applyNumberFormat="1" applyFont="1" applyBorder="1" applyAlignment="1">
      <alignment horizontal="center" vertical="center" wrapText="1"/>
    </xf>
    <xf numFmtId="1" fontId="2" fillId="2" borderId="169" xfId="0" applyFont="1" applyFill="1" applyBorder="1" applyAlignment="1">
      <alignment horizontal="center" vertical="center"/>
    </xf>
    <xf numFmtId="1" fontId="0" fillId="2" borderId="168" xfId="0" applyFill="1" applyBorder="1" applyAlignment="1">
      <alignment horizontal="center" vertical="center"/>
    </xf>
    <xf numFmtId="1" fontId="0" fillId="2" borderId="170" xfId="0" applyFill="1" applyBorder="1" applyAlignment="1">
      <alignment horizontal="center" vertical="center"/>
    </xf>
    <xf numFmtId="1" fontId="3" fillId="0" borderId="169" xfId="0" applyFont="1" applyBorder="1" applyAlignment="1">
      <alignment horizontal="center" vertical="center"/>
    </xf>
    <xf numFmtId="1" fontId="0" fillId="0" borderId="168" xfId="0" applyBorder="1" applyAlignment="1">
      <alignment horizontal="center" vertical="center"/>
    </xf>
    <xf numFmtId="1" fontId="0" fillId="0" borderId="170" xfId="0" applyBorder="1" applyAlignment="1">
      <alignment horizontal="center" vertical="center"/>
    </xf>
    <xf numFmtId="1" fontId="4" fillId="0" borderId="168" xfId="0" applyFont="1" applyBorder="1" applyAlignment="1">
      <alignment horizontal="center" vertical="center"/>
    </xf>
    <xf numFmtId="1" fontId="4" fillId="0" borderId="170" xfId="0" applyFont="1" applyBorder="1" applyAlignment="1">
      <alignment horizontal="center" vertical="center"/>
    </xf>
    <xf numFmtId="1" fontId="0" fillId="0" borderId="168" xfId="0" applyBorder="1" applyAlignment="1">
      <alignment vertical="center"/>
    </xf>
    <xf numFmtId="1" fontId="0" fillId="0" borderId="170" xfId="0" applyBorder="1" applyAlignment="1">
      <alignment vertical="center"/>
    </xf>
    <xf numFmtId="1" fontId="20" fillId="4" borderId="9" xfId="0" applyFont="1" applyFill="1" applyBorder="1" applyAlignment="1">
      <alignment horizontal="center" vertical="center"/>
    </xf>
    <xf numFmtId="1" fontId="20" fillId="4" borderId="10" xfId="0" applyFont="1" applyFill="1" applyBorder="1" applyAlignment="1">
      <alignment horizontal="center" vertical="center"/>
    </xf>
    <xf numFmtId="1" fontId="20" fillId="4" borderId="11" xfId="0" applyFont="1" applyFill="1" applyBorder="1" applyAlignment="1">
      <alignment horizontal="center" vertical="center"/>
    </xf>
    <xf numFmtId="1" fontId="20" fillId="4" borderId="8" xfId="0" applyFont="1" applyFill="1" applyBorder="1" applyAlignment="1">
      <alignment horizontal="center" vertical="center"/>
    </xf>
    <xf numFmtId="1" fontId="20" fillId="4" borderId="12" xfId="0" applyFont="1" applyFill="1" applyBorder="1" applyAlignment="1">
      <alignment horizontal="center" vertical="center"/>
    </xf>
    <xf numFmtId="1" fontId="20" fillId="4" borderId="13" xfId="0" applyFont="1" applyFill="1" applyBorder="1" applyAlignment="1">
      <alignment horizontal="center" vertical="center"/>
    </xf>
    <xf numFmtId="1" fontId="18" fillId="5" borderId="14" xfId="0" applyFont="1" applyFill="1" applyBorder="1" applyAlignment="1">
      <alignment horizontal="left" vertical="center" wrapText="1"/>
    </xf>
    <xf numFmtId="1" fontId="18" fillId="5" borderId="15" xfId="0" applyFont="1" applyFill="1" applyBorder="1" applyAlignment="1">
      <alignment horizontal="left" vertical="center" wrapText="1"/>
    </xf>
    <xf numFmtId="1" fontId="18" fillId="5" borderId="8" xfId="0" applyFont="1" applyFill="1" applyBorder="1" applyAlignment="1">
      <alignment horizontal="left" vertical="center" wrapText="1"/>
    </xf>
    <xf numFmtId="1" fontId="18" fillId="4" borderId="6" xfId="0" applyFont="1" applyFill="1" applyBorder="1" applyAlignment="1">
      <alignment horizontal="center" vertical="center" wrapText="1"/>
    </xf>
    <xf numFmtId="1" fontId="19" fillId="4" borderId="6" xfId="0" applyFont="1" applyFill="1" applyBorder="1" applyAlignment="1">
      <alignment horizontal="center" vertical="center" wrapText="1"/>
    </xf>
    <xf numFmtId="49" fontId="18" fillId="4" borderId="6" xfId="0" applyNumberFormat="1" applyFont="1" applyFill="1" applyBorder="1" applyAlignment="1">
      <alignment horizontal="center" vertical="center" wrapText="1"/>
    </xf>
    <xf numFmtId="0" fontId="18" fillId="4" borderId="6" xfId="0" applyNumberFormat="1" applyFont="1" applyFill="1" applyBorder="1" applyAlignment="1">
      <alignment horizontal="center" vertical="center" wrapText="1"/>
    </xf>
    <xf numFmtId="3" fontId="17" fillId="4" borderId="6" xfId="0" applyNumberFormat="1" applyFont="1" applyFill="1" applyBorder="1" applyAlignment="1">
      <alignment horizontal="center" vertical="center"/>
    </xf>
    <xf numFmtId="9" fontId="17" fillId="4" borderId="6" xfId="6" applyFont="1" applyFill="1" applyBorder="1" applyAlignment="1">
      <alignment horizontal="center" vertical="center"/>
    </xf>
    <xf numFmtId="1" fontId="23" fillId="4" borderId="171" xfId="0" applyFont="1" applyFill="1" applyBorder="1" applyAlignment="1">
      <alignment horizontal="center" vertical="center"/>
    </xf>
    <xf numFmtId="1" fontId="23" fillId="4" borderId="169" xfId="0" applyFont="1" applyFill="1" applyBorder="1" applyAlignment="1">
      <alignment horizontal="center" vertical="center"/>
    </xf>
    <xf numFmtId="1" fontId="23" fillId="4" borderId="168" xfId="0" applyFont="1" applyFill="1" applyBorder="1" applyAlignment="1">
      <alignment horizontal="center" vertical="center"/>
    </xf>
    <xf numFmtId="1" fontId="23" fillId="4" borderId="170" xfId="0" applyFont="1" applyFill="1" applyBorder="1" applyAlignment="1">
      <alignment horizontal="center" vertical="center"/>
    </xf>
    <xf numFmtId="1" fontId="16" fillId="4" borderId="3" xfId="0" applyFont="1" applyFill="1" applyBorder="1" applyAlignment="1">
      <alignment horizontal="center" vertical="center"/>
    </xf>
    <xf numFmtId="1" fontId="16" fillId="4" borderId="4" xfId="0" applyFont="1" applyFill="1" applyBorder="1" applyAlignment="1">
      <alignment horizontal="center" vertical="center"/>
    </xf>
    <xf numFmtId="1" fontId="16" fillId="4" borderId="5" xfId="0" applyFont="1" applyFill="1" applyBorder="1" applyAlignment="1">
      <alignment horizontal="center" vertical="center"/>
    </xf>
    <xf numFmtId="1" fontId="15" fillId="4" borderId="1" xfId="0" applyFont="1" applyFill="1" applyBorder="1" applyAlignment="1">
      <alignment horizontal="center" vertical="center"/>
    </xf>
    <xf numFmtId="1" fontId="15" fillId="4" borderId="16" xfId="0" applyFont="1" applyFill="1" applyBorder="1" applyAlignment="1">
      <alignment horizontal="center" vertical="center"/>
    </xf>
    <xf numFmtId="1" fontId="16" fillId="4" borderId="169" xfId="0" applyFont="1" applyFill="1" applyBorder="1" applyAlignment="1">
      <alignment horizontal="center" vertical="center"/>
    </xf>
    <xf numFmtId="1" fontId="16" fillId="4" borderId="168" xfId="0" applyFont="1" applyFill="1" applyBorder="1" applyAlignment="1">
      <alignment horizontal="center" vertical="center"/>
    </xf>
    <xf numFmtId="1" fontId="16" fillId="4" borderId="170" xfId="0" applyFont="1" applyFill="1" applyBorder="1" applyAlignment="1">
      <alignment horizontal="center" vertical="center"/>
    </xf>
  </cellXfs>
  <cellStyles count="23">
    <cellStyle name="banner1" xfId="12" xr:uid="{ED21BFE0-CCB2-4CA3-8745-33ED639FF090}"/>
    <cellStyle name="banner2" xfId="16" xr:uid="{B8FF0B15-55A2-4217-9F5C-40F6756DBD2D}"/>
    <cellStyle name="banner3" xfId="22" xr:uid="{DB92E92C-BC4F-4448-AC27-FF3FB7CD48F4}"/>
    <cellStyle name="blank" xfId="20" xr:uid="{02E00E63-8CEC-4ED5-87BE-B156C3911D5F}"/>
    <cellStyle name="Comma" xfId="1" builtinId="3"/>
    <cellStyle name="Comma 2" xfId="2" xr:uid="{00000000-0005-0000-0000-000001000000}"/>
    <cellStyle name="Comma 3" xfId="10" xr:uid="{ED15B658-89CB-48BE-87DA-109AC03E6B38}"/>
    <cellStyle name="HeadingC" xfId="15" xr:uid="{81105FC4-201F-4DE0-B435-C2F3EF4B0505}"/>
    <cellStyle name="Input 2" xfId="14" xr:uid="{81D6C712-E900-4192-87A3-9903564BA879}"/>
    <cellStyle name="Names" xfId="17" xr:uid="{B03B699C-6587-4CCC-94AE-986334629541}"/>
    <cellStyle name="Normal" xfId="0" builtinId="0"/>
    <cellStyle name="Normal 2" xfId="3" xr:uid="{00000000-0005-0000-0000-000003000000}"/>
    <cellStyle name="Normal 2 2" xfId="13" xr:uid="{2D98DF85-1C9E-42DB-9436-D89DBE1A3A31}"/>
    <cellStyle name="Normal 3" xfId="4" xr:uid="{00000000-0005-0000-0000-000004000000}"/>
    <cellStyle name="Normal 4" xfId="5" xr:uid="{00000000-0005-0000-0000-000005000000}"/>
    <cellStyle name="Normal 5" xfId="9" xr:uid="{D0454339-9F72-4CF9-B239-514F16734BA8}"/>
    <cellStyle name="Normal_Assumptions" xfId="8" xr:uid="{F9D58119-14E9-49F3-830E-0E7F364E8524}"/>
    <cellStyle name="Percent" xfId="6" builtinId="5"/>
    <cellStyle name="Percent 2" xfId="7" xr:uid="{00000000-0005-0000-0000-000009000000}"/>
    <cellStyle name="Percent 3" xfId="11" xr:uid="{E96DECC8-2D86-4CA3-B1A5-B1C66BEC4655}"/>
    <cellStyle name="Percent1" xfId="21" xr:uid="{26A856A4-9FC7-4060-8FDC-DD236FE10438}"/>
    <cellStyle name="subtotal" xfId="19" xr:uid="{314F8ED6-6E66-4239-8EA9-0DAB73A44B99}"/>
    <cellStyle name="Workings" xfId="18" xr:uid="{9B3CA7B1-1C3D-4A76-91E2-7D3E0C59288A}"/>
  </cellStyles>
  <dxfs count="23">
    <dxf>
      <font>
        <color theme="0"/>
      </font>
      <fill>
        <patternFill>
          <bgColor theme="0"/>
        </patternFill>
      </fill>
      <border>
        <left style="thin">
          <color auto="1"/>
        </left>
        <right/>
        <top/>
        <bottom/>
        <vertical/>
        <horizontal/>
      </border>
    </dxf>
    <dxf>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ill>
        <patternFill>
          <bgColor rgb="FF92D050"/>
        </patternFill>
      </fill>
    </dxf>
    <dxf>
      <font>
        <color theme="0"/>
      </font>
      <fill>
        <patternFill>
          <bgColor rgb="FFFF0000"/>
        </patternFill>
      </fill>
    </dxf>
    <dxf>
      <font>
        <color auto="1"/>
      </font>
      <fill>
        <patternFill patternType="none">
          <bgColor auto="1"/>
        </patternFill>
      </fill>
    </dxf>
    <dxf>
      <font>
        <color theme="0"/>
      </font>
      <fill>
        <patternFill>
          <bgColor rgb="FFFF0000"/>
        </patternFill>
      </fill>
    </dxf>
    <dxf>
      <font>
        <color theme="0"/>
      </font>
      <fill>
        <patternFill>
          <bgColor rgb="FFFF0000"/>
        </patternFill>
      </fill>
    </dxf>
    <dxf>
      <font>
        <color theme="0"/>
      </font>
    </dxf>
    <dxf>
      <font>
        <color auto="1"/>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DDDDDD"/>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DEDCDD"/>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EDEBEC"/>
      <rgbColor rgb="00666699"/>
      <rgbColor rgb="00EAEAEA"/>
      <rgbColor rgb="00F4F5F6"/>
      <rgbColor rgb="00339966"/>
      <rgbColor rgb="00003300"/>
      <rgbColor rgb="00333300"/>
      <rgbColor rgb="00993300"/>
      <rgbColor rgb="00993366"/>
      <rgbColor rgb="00333399"/>
      <rgbColor rgb="00333333"/>
    </indexedColors>
    <mruColors>
      <color rgb="FFFFF3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10</xdr:col>
      <xdr:colOff>342902</xdr:colOff>
      <xdr:row>32</xdr:row>
      <xdr:rowOff>57149</xdr:rowOff>
    </xdr:from>
    <xdr:to>
      <xdr:col>11</xdr:col>
      <xdr:colOff>971550</xdr:colOff>
      <xdr:row>34</xdr:row>
      <xdr:rowOff>66674</xdr:rowOff>
    </xdr:to>
    <xdr:cxnSp macro="">
      <xdr:nvCxnSpPr>
        <xdr:cNvPr id="2" name="Connector: Curved 1">
          <a:extLst>
            <a:ext uri="{FF2B5EF4-FFF2-40B4-BE49-F238E27FC236}">
              <a16:creationId xmlns:a16="http://schemas.microsoft.com/office/drawing/2014/main" id="{2B399973-7D64-4D88-B2EF-4E3BDEECFC9D}"/>
            </a:ext>
          </a:extLst>
        </xdr:cNvPr>
        <xdr:cNvCxnSpPr/>
      </xdr:nvCxnSpPr>
      <xdr:spPr bwMode="auto">
        <a:xfrm rot="10800000" flipV="1">
          <a:off x="8639177" y="4991099"/>
          <a:ext cx="1314448" cy="333375"/>
        </a:xfrm>
        <a:prstGeom prst="curved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76200</xdr:colOff>
      <xdr:row>30</xdr:row>
      <xdr:rowOff>9524</xdr:rowOff>
    </xdr:from>
    <xdr:to>
      <xdr:col>10</xdr:col>
      <xdr:colOff>333375</xdr:colOff>
      <xdr:row>38</xdr:row>
      <xdr:rowOff>133349</xdr:rowOff>
    </xdr:to>
    <xdr:sp macro="" textlink="">
      <xdr:nvSpPr>
        <xdr:cNvPr id="3" name="Right Brace 2">
          <a:extLst>
            <a:ext uri="{FF2B5EF4-FFF2-40B4-BE49-F238E27FC236}">
              <a16:creationId xmlns:a16="http://schemas.microsoft.com/office/drawing/2014/main" id="{BF3190C1-BBB0-45CA-833A-270B1434CD47}"/>
            </a:ext>
          </a:extLst>
        </xdr:cNvPr>
        <xdr:cNvSpPr/>
      </xdr:nvSpPr>
      <xdr:spPr bwMode="auto">
        <a:xfrm>
          <a:off x="8372475" y="4619624"/>
          <a:ext cx="257175" cy="1419225"/>
        </a:xfrm>
        <a:prstGeom prst="rightBrac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twoCellAnchor>
    <xdr:from>
      <xdr:col>11</xdr:col>
      <xdr:colOff>142881</xdr:colOff>
      <xdr:row>39</xdr:row>
      <xdr:rowOff>104774</xdr:rowOff>
    </xdr:from>
    <xdr:to>
      <xdr:col>12</xdr:col>
      <xdr:colOff>1181101</xdr:colOff>
      <xdr:row>41</xdr:row>
      <xdr:rowOff>142873</xdr:rowOff>
    </xdr:to>
    <xdr:cxnSp macro="">
      <xdr:nvCxnSpPr>
        <xdr:cNvPr id="4" name="Connector: Curved 3">
          <a:extLst>
            <a:ext uri="{FF2B5EF4-FFF2-40B4-BE49-F238E27FC236}">
              <a16:creationId xmlns:a16="http://schemas.microsoft.com/office/drawing/2014/main" id="{B0963657-26F6-4DA9-827C-4F57B3A2F512}"/>
            </a:ext>
          </a:extLst>
        </xdr:cNvPr>
        <xdr:cNvCxnSpPr/>
      </xdr:nvCxnSpPr>
      <xdr:spPr bwMode="auto">
        <a:xfrm rot="10800000" flipV="1">
          <a:off x="10601331" y="6372224"/>
          <a:ext cx="1943095" cy="361949"/>
        </a:xfrm>
        <a:prstGeom prst="curvedConnector3">
          <a:avLst>
            <a:gd name="adj1"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9523</xdr:colOff>
      <xdr:row>63</xdr:row>
      <xdr:rowOff>47626</xdr:rowOff>
    </xdr:from>
    <xdr:to>
      <xdr:col>9</xdr:col>
      <xdr:colOff>9524</xdr:colOff>
      <xdr:row>65</xdr:row>
      <xdr:rowOff>104776</xdr:rowOff>
    </xdr:to>
    <xdr:sp macro="" textlink="">
      <xdr:nvSpPr>
        <xdr:cNvPr id="5" name="Right Brace 4">
          <a:extLst>
            <a:ext uri="{FF2B5EF4-FFF2-40B4-BE49-F238E27FC236}">
              <a16:creationId xmlns:a16="http://schemas.microsoft.com/office/drawing/2014/main" id="{70F9137C-0E5B-4790-AC00-CB09606168A6}"/>
            </a:ext>
          </a:extLst>
        </xdr:cNvPr>
        <xdr:cNvSpPr/>
      </xdr:nvSpPr>
      <xdr:spPr bwMode="auto">
        <a:xfrm rot="5400000">
          <a:off x="4471986" y="7234238"/>
          <a:ext cx="381000" cy="5934076"/>
        </a:xfrm>
        <a:prstGeom prst="rightBrace">
          <a:avLst>
            <a:gd name="adj1" fmla="val 0"/>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twoCellAnchor>
    <xdr:from>
      <xdr:col>10</xdr:col>
      <xdr:colOff>9524</xdr:colOff>
      <xdr:row>5</xdr:row>
      <xdr:rowOff>66675</xdr:rowOff>
    </xdr:from>
    <xdr:to>
      <xdr:col>20</xdr:col>
      <xdr:colOff>9524</xdr:colOff>
      <xdr:row>7</xdr:row>
      <xdr:rowOff>66679</xdr:rowOff>
    </xdr:to>
    <xdr:sp macro="" textlink="">
      <xdr:nvSpPr>
        <xdr:cNvPr id="6" name="Right Brace 5">
          <a:extLst>
            <a:ext uri="{FF2B5EF4-FFF2-40B4-BE49-F238E27FC236}">
              <a16:creationId xmlns:a16="http://schemas.microsoft.com/office/drawing/2014/main" id="{352DBEEE-941D-451C-B465-6D35A6BDDA4F}"/>
            </a:ext>
          </a:extLst>
        </xdr:cNvPr>
        <xdr:cNvSpPr/>
      </xdr:nvSpPr>
      <xdr:spPr bwMode="auto">
        <a:xfrm rot="5400000">
          <a:off x="12925422" y="-2152648"/>
          <a:ext cx="323854" cy="6610350"/>
        </a:xfrm>
        <a:prstGeom prst="rightBrace">
          <a:avLst>
            <a:gd name="adj1" fmla="val 0"/>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twoCellAnchor>
    <xdr:from>
      <xdr:col>12</xdr:col>
      <xdr:colOff>9525</xdr:colOff>
      <xdr:row>57</xdr:row>
      <xdr:rowOff>28579</xdr:rowOff>
    </xdr:from>
    <xdr:to>
      <xdr:col>18</xdr:col>
      <xdr:colOff>495300</xdr:colOff>
      <xdr:row>59</xdr:row>
      <xdr:rowOff>3</xdr:rowOff>
    </xdr:to>
    <xdr:sp macro="" textlink="">
      <xdr:nvSpPr>
        <xdr:cNvPr id="7" name="Right Brace 6">
          <a:extLst>
            <a:ext uri="{FF2B5EF4-FFF2-40B4-BE49-F238E27FC236}">
              <a16:creationId xmlns:a16="http://schemas.microsoft.com/office/drawing/2014/main" id="{D81248EF-A58A-4B0E-9211-B6AF008547EC}"/>
            </a:ext>
          </a:extLst>
        </xdr:cNvPr>
        <xdr:cNvSpPr/>
      </xdr:nvSpPr>
      <xdr:spPr bwMode="auto">
        <a:xfrm rot="5400000">
          <a:off x="10920413" y="7091366"/>
          <a:ext cx="295274" cy="4152900"/>
        </a:xfrm>
        <a:prstGeom prst="rightBrace">
          <a:avLst>
            <a:gd name="adj1" fmla="val 0"/>
            <a:gd name="adj2" fmla="val 5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kaartechit-my.sharepoint.com/Users/amofeez/AppData/Local/Microsoft/Windows/Temporary%20Internet%20Files/Content.Outlook/FP34AO9B/SIDF%20Mod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2. Attach A"/>
      <sheetName val="3. Repayment Schedule"/>
      <sheetName val="Financial Stat."/>
      <sheetName val="Print Menu"/>
      <sheetName val="ATT_D"/>
      <sheetName val="ATT_C"/>
      <sheetName val="ATT_B"/>
      <sheetName val="Summ."/>
      <sheetName val="NPV"/>
    </sheetNames>
    <sheetDataSet>
      <sheetData sheetId="0"/>
      <sheetData sheetId="1"/>
      <sheetData sheetId="2"/>
      <sheetData sheetId="3">
        <row r="320">
          <cell r="B320">
            <v>2016</v>
          </cell>
        </row>
      </sheetData>
      <sheetData sheetId="4">
        <row r="3">
          <cell r="AQ3">
            <v>0</v>
          </cell>
        </row>
        <row r="5">
          <cell r="AQ5">
            <v>0</v>
          </cell>
        </row>
        <row r="6">
          <cell r="AQ6">
            <v>0</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41" row="4">
    <wetp:webextensionref xmlns:r="http://schemas.openxmlformats.org/officeDocument/2006/relationships" r:id="rId1"/>
  </wetp:taskpane>
  <wetp:taskpane dockstate="right" visibility="0" width="536"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B69BB27-A129-4239-8DB1-DB6BB332D012}">
  <we:reference id="wa104380862" version="1.5.0.0" store="en-US" storeType="OMEX"/>
  <we:alternateReferences>
    <we:reference id="wa104380862" version="1.5.0.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7537815C-4FD5-4013-9D41-BE71F3F94AD1}">
  <we:reference id="7df791d3-1536-4d84-9fed-68edc2a4a749" version="1.0.0.0" store="\\Desktop-t3cla6o\exceladdin\models\client" storeType="Filesystem"/>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2376-9944-4ECF-9AF3-E9252D48A7E7}">
  <sheetPr>
    <pageSetUpPr autoPageBreaks="0"/>
  </sheetPr>
  <dimension ref="A1:Q24"/>
  <sheetViews>
    <sheetView workbookViewId="0">
      <selection activeCell="A24" sqref="A24:XFD24"/>
    </sheetView>
  </sheetViews>
  <sheetFormatPr defaultRowHeight="13.2"/>
  <cols>
    <col min="2" max="17" width="11.66406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1</v>
      </c>
      <c r="B2" t="e">
        <f>#REF!*1000</f>
        <v>#REF!</v>
      </c>
      <c r="C2" t="e">
        <f>#REF!*1000</f>
        <v>#REF!</v>
      </c>
      <c r="D2" t="e">
        <f>#REF!*1000</f>
        <v>#REF!</v>
      </c>
      <c r="E2" t="e">
        <f>#REF!*1000</f>
        <v>#REF!</v>
      </c>
      <c r="F2" t="e">
        <f>#REF!*1000</f>
        <v>#REF!</v>
      </c>
      <c r="G2" t="e">
        <f>#REF!*1000</f>
        <v>#REF!</v>
      </c>
      <c r="H2" t="e">
        <f>#REF!*1000</f>
        <v>#REF!</v>
      </c>
      <c r="I2" t="e">
        <f>#REF!*1000</f>
        <v>#REF!</v>
      </c>
      <c r="J2" t="e">
        <f>#REF!*1000</f>
        <v>#REF!</v>
      </c>
      <c r="K2" t="e">
        <f>#REF!*1000</f>
        <v>#REF!</v>
      </c>
      <c r="L2" t="e">
        <f>#REF!*1000</f>
        <v>#REF!</v>
      </c>
      <c r="M2" t="e">
        <f>#REF!*1000</f>
        <v>#REF!</v>
      </c>
      <c r="N2" t="e">
        <f>#REF!*1000</f>
        <v>#REF!</v>
      </c>
      <c r="O2" t="e">
        <f>#REF!*1000</f>
        <v>#REF!</v>
      </c>
      <c r="P2" t="e">
        <f>#REF!*1000</f>
        <v>#REF!</v>
      </c>
      <c r="Q2" t="e">
        <f>#REF!*1000</f>
        <v>#REF!</v>
      </c>
    </row>
    <row r="3" spans="1:17">
      <c r="A3" t="s">
        <v>2</v>
      </c>
      <c r="B3" t="e">
        <f>#REF!*1000</f>
        <v>#REF!</v>
      </c>
      <c r="C3" t="e">
        <f>#REF!*1000</f>
        <v>#REF!</v>
      </c>
      <c r="D3" t="e">
        <f>#REF!*1000</f>
        <v>#REF!</v>
      </c>
      <c r="E3" t="e">
        <f>#REF!*1000</f>
        <v>#REF!</v>
      </c>
      <c r="F3" t="e">
        <f>#REF!*1000</f>
        <v>#REF!</v>
      </c>
      <c r="G3" t="e">
        <f>#REF!*1000</f>
        <v>#REF!</v>
      </c>
      <c r="H3" t="e">
        <f>#REF!*1000</f>
        <v>#REF!</v>
      </c>
      <c r="I3" t="e">
        <f>#REF!*1000</f>
        <v>#REF!</v>
      </c>
      <c r="J3" t="e">
        <f>#REF!*1000</f>
        <v>#REF!</v>
      </c>
      <c r="K3" t="e">
        <f>#REF!*1000</f>
        <v>#REF!</v>
      </c>
      <c r="L3" t="e">
        <f>#REF!*1000</f>
        <v>#REF!</v>
      </c>
      <c r="M3" t="e">
        <f>#REF!*1000</f>
        <v>#REF!</v>
      </c>
      <c r="N3" t="e">
        <f>#REF!*1000</f>
        <v>#REF!</v>
      </c>
      <c r="O3" t="e">
        <f>#REF!*1000</f>
        <v>#REF!</v>
      </c>
      <c r="P3" t="e">
        <f>#REF!*1000</f>
        <v>#REF!</v>
      </c>
      <c r="Q3" t="e">
        <f>#REF!*1000</f>
        <v>#REF!</v>
      </c>
    </row>
    <row r="4" spans="1:17">
      <c r="A4" t="s">
        <v>3</v>
      </c>
      <c r="B4" t="e">
        <f>#REF!*1000</f>
        <v>#REF!</v>
      </c>
      <c r="C4" t="e">
        <f>#REF!*1000</f>
        <v>#REF!</v>
      </c>
      <c r="D4" t="e">
        <f>#REF!*1000</f>
        <v>#REF!</v>
      </c>
      <c r="E4" t="e">
        <f>#REF!*1000</f>
        <v>#REF!</v>
      </c>
      <c r="F4" t="e">
        <f>#REF!*1000</f>
        <v>#REF!</v>
      </c>
      <c r="G4" t="e">
        <f>#REF!*1000</f>
        <v>#REF!</v>
      </c>
      <c r="H4" t="e">
        <f>#REF!*1000</f>
        <v>#REF!</v>
      </c>
      <c r="I4" t="e">
        <f>#REF!*1000</f>
        <v>#REF!</v>
      </c>
      <c r="J4" t="e">
        <f>#REF!*1000</f>
        <v>#REF!</v>
      </c>
      <c r="K4" t="e">
        <f>#REF!*1000</f>
        <v>#REF!</v>
      </c>
      <c r="L4" t="e">
        <f>#REF!*1000</f>
        <v>#REF!</v>
      </c>
      <c r="M4" t="e">
        <f>#REF!*1000</f>
        <v>#REF!</v>
      </c>
      <c r="N4" t="e">
        <f>#REF!*1000</f>
        <v>#REF!</v>
      </c>
      <c r="O4" t="e">
        <f>#REF!*1000</f>
        <v>#REF!</v>
      </c>
      <c r="P4" t="e">
        <f>#REF!*1000</f>
        <v>#REF!</v>
      </c>
      <c r="Q4" t="e">
        <f>#REF!*1000</f>
        <v>#REF!</v>
      </c>
    </row>
    <row r="5" spans="1:17">
      <c r="A5" t="s">
        <v>4</v>
      </c>
      <c r="B5" t="e">
        <f>#REF!*1000</f>
        <v>#REF!</v>
      </c>
      <c r="C5" t="e">
        <f>#REF!*1000</f>
        <v>#REF!</v>
      </c>
      <c r="D5" t="e">
        <f>#REF!*1000</f>
        <v>#REF!</v>
      </c>
      <c r="E5" t="e">
        <f>#REF!*1000</f>
        <v>#REF!</v>
      </c>
      <c r="F5" t="e">
        <f>#REF!*1000</f>
        <v>#REF!</v>
      </c>
      <c r="G5" t="e">
        <f>#REF!*1000</f>
        <v>#REF!</v>
      </c>
      <c r="H5" t="e">
        <f>#REF!*1000</f>
        <v>#REF!</v>
      </c>
      <c r="I5" t="e">
        <f>#REF!*1000</f>
        <v>#REF!</v>
      </c>
      <c r="J5" t="e">
        <f>#REF!*1000</f>
        <v>#REF!</v>
      </c>
      <c r="K5" t="e">
        <f>#REF!*1000</f>
        <v>#REF!</v>
      </c>
      <c r="L5" t="e">
        <f>#REF!*1000</f>
        <v>#REF!</v>
      </c>
      <c r="M5" t="e">
        <f>#REF!*1000</f>
        <v>#REF!</v>
      </c>
      <c r="N5" t="e">
        <f>#REF!*1000</f>
        <v>#REF!</v>
      </c>
      <c r="O5" t="e">
        <f>#REF!*1000</f>
        <v>#REF!</v>
      </c>
      <c r="P5" t="e">
        <f>#REF!*1000</f>
        <v>#REF!</v>
      </c>
      <c r="Q5" t="e">
        <f>#REF!*1000</f>
        <v>#REF!</v>
      </c>
    </row>
    <row r="6" spans="1:17">
      <c r="A6" t="s">
        <v>5</v>
      </c>
      <c r="B6" t="e">
        <f>#REF!*1000</f>
        <v>#REF!</v>
      </c>
      <c r="C6" t="e">
        <f>#REF!*1000</f>
        <v>#REF!</v>
      </c>
      <c r="D6" t="e">
        <f>#REF!*1000</f>
        <v>#REF!</v>
      </c>
      <c r="E6" t="e">
        <f>#REF!*1000</f>
        <v>#REF!</v>
      </c>
      <c r="F6" t="e">
        <f>#REF!*1000</f>
        <v>#REF!</v>
      </c>
      <c r="G6" t="e">
        <f>#REF!*1000</f>
        <v>#REF!</v>
      </c>
      <c r="H6" t="e">
        <f>#REF!*1000</f>
        <v>#REF!</v>
      </c>
      <c r="I6" t="e">
        <f>#REF!*1000</f>
        <v>#REF!</v>
      </c>
      <c r="J6" t="e">
        <f>#REF!*1000</f>
        <v>#REF!</v>
      </c>
      <c r="K6" t="e">
        <f>#REF!*1000</f>
        <v>#REF!</v>
      </c>
      <c r="L6" t="e">
        <f>#REF!*1000</f>
        <v>#REF!</v>
      </c>
      <c r="M6" t="e">
        <f>#REF!*1000</f>
        <v>#REF!</v>
      </c>
      <c r="N6" t="e">
        <f>#REF!*1000</f>
        <v>#REF!</v>
      </c>
      <c r="O6" t="e">
        <f>#REF!*1000</f>
        <v>#REF!</v>
      </c>
      <c r="P6" t="e">
        <f>#REF!*1000</f>
        <v>#REF!</v>
      </c>
      <c r="Q6" t="e">
        <f>#REF!*1000</f>
        <v>#REF!</v>
      </c>
    </row>
    <row r="7" spans="1:17">
      <c r="A7" t="s">
        <v>6</v>
      </c>
      <c r="B7" t="e">
        <f>#REF!*1000</f>
        <v>#REF!</v>
      </c>
      <c r="C7" t="e">
        <f>#REF!*1000</f>
        <v>#REF!</v>
      </c>
      <c r="D7" t="e">
        <f>#REF!*1000</f>
        <v>#REF!</v>
      </c>
      <c r="E7" t="e">
        <f>#REF!*1000</f>
        <v>#REF!</v>
      </c>
      <c r="F7" t="e">
        <f>#REF!*1000</f>
        <v>#REF!</v>
      </c>
      <c r="G7" t="e">
        <f>#REF!*1000</f>
        <v>#REF!</v>
      </c>
      <c r="H7" t="e">
        <f>#REF!*1000</f>
        <v>#REF!</v>
      </c>
      <c r="I7" t="e">
        <f>#REF!*1000</f>
        <v>#REF!</v>
      </c>
      <c r="J7" t="e">
        <f>#REF!*1000</f>
        <v>#REF!</v>
      </c>
      <c r="K7" t="e">
        <f>#REF!*1000</f>
        <v>#REF!</v>
      </c>
      <c r="L7" t="e">
        <f>#REF!*1000</f>
        <v>#REF!</v>
      </c>
      <c r="M7" t="e">
        <f>#REF!*1000</f>
        <v>#REF!</v>
      </c>
      <c r="N7" t="e">
        <f>#REF!*1000</f>
        <v>#REF!</v>
      </c>
      <c r="O7" t="e">
        <f>#REF!*1000</f>
        <v>#REF!</v>
      </c>
      <c r="P7" t="e">
        <f>#REF!*1000</f>
        <v>#REF!</v>
      </c>
      <c r="Q7" t="e">
        <f>#REF!*1000</f>
        <v>#REF!</v>
      </c>
    </row>
    <row r="8" spans="1:17">
      <c r="A8" t="s">
        <v>7</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s">
        <v>8</v>
      </c>
      <c r="B9" t="e">
        <f>#REF!*1000</f>
        <v>#REF!</v>
      </c>
      <c r="C9" t="e">
        <f>#REF!*1000</f>
        <v>#REF!</v>
      </c>
      <c r="D9" t="e">
        <f>#REF!*1000</f>
        <v>#REF!</v>
      </c>
      <c r="E9" t="e">
        <f>#REF!*1000</f>
        <v>#REF!</v>
      </c>
      <c r="F9" t="e">
        <f>#REF!*1000</f>
        <v>#REF!</v>
      </c>
      <c r="G9" t="e">
        <f>#REF!*1000</f>
        <v>#REF!</v>
      </c>
      <c r="H9" t="e">
        <f>#REF!*1000</f>
        <v>#REF!</v>
      </c>
      <c r="I9" t="e">
        <f>#REF!*1000</f>
        <v>#REF!</v>
      </c>
      <c r="J9" t="e">
        <f>#REF!*1000</f>
        <v>#REF!</v>
      </c>
      <c r="K9" t="e">
        <f>#REF!*1000</f>
        <v>#REF!</v>
      </c>
      <c r="L9" t="e">
        <f>#REF!*1000</f>
        <v>#REF!</v>
      </c>
      <c r="M9" t="e">
        <f>#REF!*1000</f>
        <v>#REF!</v>
      </c>
      <c r="N9" t="e">
        <f>#REF!*1000</f>
        <v>#REF!</v>
      </c>
      <c r="O9" t="e">
        <f>#REF!*1000</f>
        <v>#REF!</v>
      </c>
      <c r="P9" t="e">
        <f>#REF!*1000</f>
        <v>#REF!</v>
      </c>
      <c r="Q9" t="e">
        <f>#REF!*1000</f>
        <v>#REF!</v>
      </c>
    </row>
    <row r="10" spans="1:17">
      <c r="A10" t="s">
        <v>9</v>
      </c>
      <c r="B10" t="e">
        <f>#REF!*1000</f>
        <v>#REF!</v>
      </c>
      <c r="C10" t="e">
        <f>#REF!*1000</f>
        <v>#REF!</v>
      </c>
      <c r="D10" t="e">
        <f>#REF!*1000</f>
        <v>#REF!</v>
      </c>
      <c r="E10" t="e">
        <f>#REF!*1000</f>
        <v>#REF!</v>
      </c>
      <c r="F10" t="e">
        <f>#REF!*1000</f>
        <v>#REF!</v>
      </c>
      <c r="G10" t="e">
        <f>#REF!*1000</f>
        <v>#REF!</v>
      </c>
      <c r="H10" t="e">
        <f>#REF!*1000</f>
        <v>#REF!</v>
      </c>
      <c r="I10" t="e">
        <f>#REF!*1000</f>
        <v>#REF!</v>
      </c>
      <c r="J10" t="e">
        <f>#REF!*1000</f>
        <v>#REF!</v>
      </c>
      <c r="K10" t="e">
        <f>#REF!*1000</f>
        <v>#REF!</v>
      </c>
      <c r="L10" t="e">
        <f>#REF!*1000</f>
        <v>#REF!</v>
      </c>
      <c r="M10" t="e">
        <f>#REF!*1000</f>
        <v>#REF!</v>
      </c>
      <c r="N10" t="e">
        <f>#REF!*1000</f>
        <v>#REF!</v>
      </c>
      <c r="O10" t="e">
        <f>#REF!*1000</f>
        <v>#REF!</v>
      </c>
      <c r="P10" t="e">
        <f>#REF!*1000</f>
        <v>#REF!</v>
      </c>
      <c r="Q10" t="e">
        <f>#REF!*1000</f>
        <v>#REF!</v>
      </c>
    </row>
    <row r="11" spans="1:17">
      <c r="A11" t="s">
        <v>10</v>
      </c>
      <c r="B11" t="e">
        <f>#REF!*1000</f>
        <v>#REF!</v>
      </c>
      <c r="C11" t="e">
        <f>#REF!*1000</f>
        <v>#REF!</v>
      </c>
      <c r="D11" t="e">
        <f>#REF!*1000</f>
        <v>#REF!</v>
      </c>
      <c r="E11" t="e">
        <f>#REF!*1000</f>
        <v>#REF!</v>
      </c>
      <c r="F11" t="e">
        <f>#REF!*1000</f>
        <v>#REF!</v>
      </c>
      <c r="G11" t="e">
        <f>#REF!*1000</f>
        <v>#REF!</v>
      </c>
      <c r="H11" t="e">
        <f>#REF!*1000</f>
        <v>#REF!</v>
      </c>
      <c r="I11" t="e">
        <f>#REF!*1000</f>
        <v>#REF!</v>
      </c>
      <c r="J11" t="e">
        <f>#REF!*1000</f>
        <v>#REF!</v>
      </c>
      <c r="K11" t="e">
        <f>#REF!*1000</f>
        <v>#REF!</v>
      </c>
      <c r="L11" t="e">
        <f>#REF!*1000</f>
        <v>#REF!</v>
      </c>
      <c r="M11" t="e">
        <f>#REF!*1000</f>
        <v>#REF!</v>
      </c>
      <c r="N11" t="e">
        <f>#REF!*1000</f>
        <v>#REF!</v>
      </c>
      <c r="O11" t="e">
        <f>#REF!*1000</f>
        <v>#REF!</v>
      </c>
      <c r="P11" t="e">
        <f>#REF!*1000</f>
        <v>#REF!</v>
      </c>
      <c r="Q11" t="e">
        <f>#REF!*1000</f>
        <v>#REF!</v>
      </c>
    </row>
    <row r="12" spans="1:17">
      <c r="A12" t="s">
        <v>11</v>
      </c>
      <c r="B12" t="e">
        <f>#REF!*1000</f>
        <v>#REF!</v>
      </c>
      <c r="C12" t="e">
        <f>#REF!*1000</f>
        <v>#REF!</v>
      </c>
      <c r="D12" t="e">
        <f>#REF!*1000</f>
        <v>#REF!</v>
      </c>
      <c r="E12" t="e">
        <f>#REF!*1000</f>
        <v>#REF!</v>
      </c>
      <c r="F12" t="e">
        <f>#REF!*1000</f>
        <v>#REF!</v>
      </c>
      <c r="G12" t="e">
        <f>#REF!*1000</f>
        <v>#REF!</v>
      </c>
      <c r="H12" t="e">
        <f>#REF!*1000</f>
        <v>#REF!</v>
      </c>
      <c r="I12" t="e">
        <f>#REF!*1000</f>
        <v>#REF!</v>
      </c>
      <c r="J12" t="e">
        <f>#REF!*1000</f>
        <v>#REF!</v>
      </c>
      <c r="K12" t="e">
        <f>#REF!*1000</f>
        <v>#REF!</v>
      </c>
      <c r="L12" t="e">
        <f>#REF!*1000</f>
        <v>#REF!</v>
      </c>
      <c r="M12" t="e">
        <f>#REF!*1000</f>
        <v>#REF!</v>
      </c>
      <c r="N12" t="e">
        <f>#REF!*1000</f>
        <v>#REF!</v>
      </c>
      <c r="O12" t="e">
        <f>#REF!*1000</f>
        <v>#REF!</v>
      </c>
      <c r="P12" t="e">
        <f>#REF!*1000</f>
        <v>#REF!</v>
      </c>
      <c r="Q12" t="e">
        <f>#REF!*1000</f>
        <v>#REF!</v>
      </c>
    </row>
    <row r="13" spans="1:17">
      <c r="A13" t="s">
        <v>12</v>
      </c>
      <c r="B13" t="e">
        <f>#REF!*1000</f>
        <v>#REF!</v>
      </c>
      <c r="C13" t="e">
        <f>#REF!*1000</f>
        <v>#REF!</v>
      </c>
      <c r="D13" t="e">
        <f>#REF!*1000</f>
        <v>#REF!</v>
      </c>
      <c r="E13" t="e">
        <f>#REF!*1000</f>
        <v>#REF!</v>
      </c>
      <c r="F13" t="e">
        <f>#REF!*1000</f>
        <v>#REF!</v>
      </c>
      <c r="G13" t="e">
        <f>#REF!*1000</f>
        <v>#REF!</v>
      </c>
      <c r="H13" t="e">
        <f>#REF!*1000</f>
        <v>#REF!</v>
      </c>
      <c r="I13" t="e">
        <f>#REF!*1000</f>
        <v>#REF!</v>
      </c>
      <c r="J13" t="e">
        <f>#REF!*1000</f>
        <v>#REF!</v>
      </c>
      <c r="K13" t="e">
        <f>#REF!*1000</f>
        <v>#REF!</v>
      </c>
      <c r="L13" t="e">
        <f>#REF!*1000</f>
        <v>#REF!</v>
      </c>
      <c r="M13" t="e">
        <f>#REF!*1000</f>
        <v>#REF!</v>
      </c>
      <c r="N13" t="e">
        <f>#REF!*1000</f>
        <v>#REF!</v>
      </c>
      <c r="O13" t="e">
        <f>#REF!*1000</f>
        <v>#REF!</v>
      </c>
      <c r="P13" t="e">
        <f>#REF!*1000</f>
        <v>#REF!</v>
      </c>
      <c r="Q13" t="e">
        <f>#REF!*1000</f>
        <v>#REF!</v>
      </c>
    </row>
    <row r="14" spans="1:17">
      <c r="A14" t="s">
        <v>13</v>
      </c>
      <c r="B14" t="e">
        <f>#REF!*1000</f>
        <v>#REF!</v>
      </c>
      <c r="C14" t="e">
        <f>#REF!*1000</f>
        <v>#REF!</v>
      </c>
      <c r="D14" t="e">
        <f>#REF!*1000</f>
        <v>#REF!</v>
      </c>
      <c r="E14" t="e">
        <f>#REF!*1000</f>
        <v>#REF!</v>
      </c>
      <c r="F14" t="e">
        <f>#REF!*1000</f>
        <v>#REF!</v>
      </c>
      <c r="G14" t="e">
        <f>#REF!*1000</f>
        <v>#REF!</v>
      </c>
      <c r="H14" t="e">
        <f>#REF!*1000</f>
        <v>#REF!</v>
      </c>
      <c r="I14" t="e">
        <f>#REF!*1000</f>
        <v>#REF!</v>
      </c>
      <c r="J14" t="e">
        <f>#REF!*1000</f>
        <v>#REF!</v>
      </c>
      <c r="K14" t="e">
        <f>#REF!*1000</f>
        <v>#REF!</v>
      </c>
      <c r="L14" t="e">
        <f>#REF!*1000</f>
        <v>#REF!</v>
      </c>
      <c r="M14" t="e">
        <f>#REF!*1000</f>
        <v>#REF!</v>
      </c>
      <c r="N14" t="e">
        <f>#REF!*1000</f>
        <v>#REF!</v>
      </c>
      <c r="O14" t="e">
        <f>#REF!*1000</f>
        <v>#REF!</v>
      </c>
      <c r="P14" t="e">
        <f>#REF!*1000</f>
        <v>#REF!</v>
      </c>
      <c r="Q14" t="e">
        <f>#REF!*1000</f>
        <v>#REF!</v>
      </c>
    </row>
    <row r="15" spans="1:17">
      <c r="A15" t="s">
        <v>14</v>
      </c>
      <c r="B15" t="e">
        <f>#REF!*1000</f>
        <v>#REF!</v>
      </c>
      <c r="C15" t="e">
        <f>#REF!*1000</f>
        <v>#REF!</v>
      </c>
      <c r="D15" t="e">
        <f>#REF!*1000</f>
        <v>#REF!</v>
      </c>
      <c r="E15" t="e">
        <f>#REF!*1000</f>
        <v>#REF!</v>
      </c>
      <c r="F15" t="e">
        <f>#REF!*1000</f>
        <v>#REF!</v>
      </c>
      <c r="G15" t="e">
        <f>#REF!*1000</f>
        <v>#REF!</v>
      </c>
      <c r="H15" t="e">
        <f>#REF!*1000</f>
        <v>#REF!</v>
      </c>
      <c r="I15" t="e">
        <f>#REF!*1000</f>
        <v>#REF!</v>
      </c>
      <c r="J15" t="e">
        <f>#REF!*1000</f>
        <v>#REF!</v>
      </c>
      <c r="K15" t="e">
        <f>#REF!*1000</f>
        <v>#REF!</v>
      </c>
      <c r="L15" t="e">
        <f>#REF!*1000</f>
        <v>#REF!</v>
      </c>
      <c r="M15" t="e">
        <f>#REF!*1000</f>
        <v>#REF!</v>
      </c>
      <c r="N15" t="e">
        <f>#REF!*1000</f>
        <v>#REF!</v>
      </c>
      <c r="O15" t="e">
        <f>#REF!*1000</f>
        <v>#REF!</v>
      </c>
      <c r="P15" t="e">
        <f>#REF!*1000</f>
        <v>#REF!</v>
      </c>
      <c r="Q15" t="e">
        <f>#REF!*1000</f>
        <v>#REF!</v>
      </c>
    </row>
    <row r="16" spans="1:17">
      <c r="A16" t="s">
        <v>15</v>
      </c>
      <c r="B16" t="e">
        <f>#REF!*1000</f>
        <v>#REF!</v>
      </c>
      <c r="C16" t="e">
        <f>#REF!*1000</f>
        <v>#REF!</v>
      </c>
      <c r="D16" t="e">
        <f>#REF!*1000</f>
        <v>#REF!</v>
      </c>
      <c r="E16" t="e">
        <f>#REF!*1000</f>
        <v>#REF!</v>
      </c>
      <c r="F16" t="e">
        <f>#REF!*1000</f>
        <v>#REF!</v>
      </c>
      <c r="G16" t="e">
        <f>#REF!*1000</f>
        <v>#REF!</v>
      </c>
      <c r="H16" t="e">
        <f>#REF!*1000</f>
        <v>#REF!</v>
      </c>
      <c r="I16" t="e">
        <f>#REF!*1000</f>
        <v>#REF!</v>
      </c>
      <c r="J16" t="e">
        <f>#REF!*1000</f>
        <v>#REF!</v>
      </c>
      <c r="K16" t="e">
        <f>#REF!*1000</f>
        <v>#REF!</v>
      </c>
      <c r="L16" t="e">
        <f>#REF!*1000</f>
        <v>#REF!</v>
      </c>
      <c r="M16" t="e">
        <f>#REF!*1000</f>
        <v>#REF!</v>
      </c>
      <c r="N16" t="e">
        <f>#REF!*1000</f>
        <v>#REF!</v>
      </c>
      <c r="O16" t="e">
        <f>#REF!*1000</f>
        <v>#REF!</v>
      </c>
      <c r="P16" t="e">
        <f>#REF!*1000</f>
        <v>#REF!</v>
      </c>
      <c r="Q16" t="e">
        <f>#REF!*1000</f>
        <v>#REF!</v>
      </c>
    </row>
    <row r="17" spans="1:17">
      <c r="A17" t="s">
        <v>16</v>
      </c>
      <c r="B17" t="e">
        <f>#REF!*1000</f>
        <v>#REF!</v>
      </c>
      <c r="C17" t="e">
        <f>#REF!*1000</f>
        <v>#REF!</v>
      </c>
      <c r="D17" t="e">
        <f>#REF!*1000</f>
        <v>#REF!</v>
      </c>
      <c r="E17" t="e">
        <f>#REF!*1000</f>
        <v>#REF!</v>
      </c>
      <c r="F17" t="e">
        <f>#REF!*1000</f>
        <v>#REF!</v>
      </c>
      <c r="G17" t="e">
        <f>#REF!*1000</f>
        <v>#REF!</v>
      </c>
      <c r="H17" t="e">
        <f>#REF!*1000</f>
        <v>#REF!</v>
      </c>
      <c r="I17" t="e">
        <f>#REF!*1000</f>
        <v>#REF!</v>
      </c>
      <c r="J17" t="e">
        <f>#REF!*1000</f>
        <v>#REF!</v>
      </c>
      <c r="K17" t="e">
        <f>#REF!*1000</f>
        <v>#REF!</v>
      </c>
      <c r="L17" t="e">
        <f>#REF!*1000</f>
        <v>#REF!</v>
      </c>
      <c r="M17" t="e">
        <f>#REF!*1000</f>
        <v>#REF!</v>
      </c>
      <c r="N17" t="e">
        <f>#REF!*1000</f>
        <v>#REF!</v>
      </c>
      <c r="O17" t="e">
        <f>#REF!*1000</f>
        <v>#REF!</v>
      </c>
      <c r="P17" t="e">
        <f>#REF!*1000</f>
        <v>#REF!</v>
      </c>
      <c r="Q17" t="e">
        <f>#REF!*1000</f>
        <v>#REF!</v>
      </c>
    </row>
    <row r="18" spans="1:17">
      <c r="A18" t="s">
        <v>17</v>
      </c>
      <c r="B18" t="e">
        <f>#REF!*1000</f>
        <v>#REF!</v>
      </c>
      <c r="C18" t="e">
        <f>#REF!*1000</f>
        <v>#REF!</v>
      </c>
      <c r="D18" t="e">
        <f>#REF!*1000</f>
        <v>#REF!</v>
      </c>
      <c r="E18" t="e">
        <f>#REF!*1000</f>
        <v>#REF!</v>
      </c>
      <c r="F18" t="e">
        <f>#REF!*1000</f>
        <v>#REF!</v>
      </c>
      <c r="G18" t="e">
        <f>#REF!*1000</f>
        <v>#REF!</v>
      </c>
      <c r="H18" t="e">
        <f>#REF!*1000</f>
        <v>#REF!</v>
      </c>
      <c r="I18" t="e">
        <f>#REF!*1000</f>
        <v>#REF!</v>
      </c>
      <c r="J18" t="e">
        <f>#REF!*1000</f>
        <v>#REF!</v>
      </c>
      <c r="K18" t="e">
        <f>#REF!*1000</f>
        <v>#REF!</v>
      </c>
      <c r="L18" t="e">
        <f>#REF!*1000</f>
        <v>#REF!</v>
      </c>
      <c r="M18" t="e">
        <f>#REF!*1000</f>
        <v>#REF!</v>
      </c>
      <c r="N18" t="e">
        <f>#REF!*1000</f>
        <v>#REF!</v>
      </c>
      <c r="O18" t="e">
        <f>#REF!*1000</f>
        <v>#REF!</v>
      </c>
      <c r="P18" t="e">
        <f>#REF!*1000</f>
        <v>#REF!</v>
      </c>
      <c r="Q18" t="e">
        <f>#REF!*1000</f>
        <v>#REF!</v>
      </c>
    </row>
    <row r="19" spans="1:17">
      <c r="A19" t="s">
        <v>18</v>
      </c>
      <c r="B19" t="e">
        <f>#REF!*1000</f>
        <v>#REF!</v>
      </c>
      <c r="C19" t="e">
        <f>#REF!*1000</f>
        <v>#REF!</v>
      </c>
      <c r="D19" t="e">
        <f>#REF!*1000</f>
        <v>#REF!</v>
      </c>
      <c r="E19" t="e">
        <f>#REF!*1000</f>
        <v>#REF!</v>
      </c>
      <c r="F19" t="e">
        <f>#REF!*1000</f>
        <v>#REF!</v>
      </c>
      <c r="G19" t="e">
        <f>#REF!*1000</f>
        <v>#REF!</v>
      </c>
      <c r="H19" t="e">
        <f>#REF!*1000</f>
        <v>#REF!</v>
      </c>
      <c r="I19" t="e">
        <f>#REF!*1000</f>
        <v>#REF!</v>
      </c>
      <c r="J19" t="e">
        <f>#REF!*1000</f>
        <v>#REF!</v>
      </c>
      <c r="K19" t="e">
        <f>#REF!*1000</f>
        <v>#REF!</v>
      </c>
      <c r="L19" t="e">
        <f>#REF!*1000</f>
        <v>#REF!</v>
      </c>
      <c r="M19" t="e">
        <f>#REF!*1000</f>
        <v>#REF!</v>
      </c>
      <c r="N19" t="e">
        <f>#REF!*1000</f>
        <v>#REF!</v>
      </c>
      <c r="O19" t="e">
        <f>#REF!*1000</f>
        <v>#REF!</v>
      </c>
      <c r="P19" t="e">
        <f>#REF!*1000</f>
        <v>#REF!</v>
      </c>
      <c r="Q19" t="e">
        <f>#REF!*1000</f>
        <v>#REF!</v>
      </c>
    </row>
    <row r="20" spans="1:17">
      <c r="A20" t="s">
        <v>19</v>
      </c>
      <c r="B20" t="e">
        <f>#REF!*1000</f>
        <v>#REF!</v>
      </c>
      <c r="C20" t="e">
        <f>#REF!*1000</f>
        <v>#REF!</v>
      </c>
      <c r="D20" t="e">
        <f>#REF!*1000</f>
        <v>#REF!</v>
      </c>
      <c r="E20" t="e">
        <f>#REF!*1000</f>
        <v>#REF!</v>
      </c>
      <c r="F20" t="e">
        <f>#REF!*1000</f>
        <v>#REF!</v>
      </c>
      <c r="G20" t="e">
        <f>#REF!*1000</f>
        <v>#REF!</v>
      </c>
      <c r="H20" t="e">
        <f>#REF!*1000</f>
        <v>#REF!</v>
      </c>
      <c r="I20" t="e">
        <f>#REF!*1000</f>
        <v>#REF!</v>
      </c>
      <c r="J20" t="e">
        <f>#REF!*1000</f>
        <v>#REF!</v>
      </c>
      <c r="K20" t="e">
        <f>#REF!*1000</f>
        <v>#REF!</v>
      </c>
      <c r="L20" t="e">
        <f>#REF!*1000</f>
        <v>#REF!</v>
      </c>
      <c r="M20" t="e">
        <f>#REF!*1000</f>
        <v>#REF!</v>
      </c>
      <c r="N20" t="e">
        <f>#REF!*1000</f>
        <v>#REF!</v>
      </c>
      <c r="O20" t="e">
        <f>#REF!*1000</f>
        <v>#REF!</v>
      </c>
      <c r="P20" t="e">
        <f>#REF!*1000</f>
        <v>#REF!</v>
      </c>
      <c r="Q20" t="e">
        <f>#REF!*1000</f>
        <v>#REF!</v>
      </c>
    </row>
    <row r="21" spans="1:17">
      <c r="A21" t="s">
        <v>20</v>
      </c>
      <c r="B21" t="e">
        <f>#REF!*1000</f>
        <v>#REF!</v>
      </c>
      <c r="C21" t="e">
        <f>#REF!*1000</f>
        <v>#REF!</v>
      </c>
      <c r="D21" t="e">
        <f>#REF!*1000</f>
        <v>#REF!</v>
      </c>
      <c r="E21" t="e">
        <f>#REF!*1000</f>
        <v>#REF!</v>
      </c>
      <c r="F21" t="e">
        <f>#REF!*1000</f>
        <v>#REF!</v>
      </c>
      <c r="G21" t="e">
        <f>#REF!*1000</f>
        <v>#REF!</v>
      </c>
      <c r="H21" t="e">
        <f>#REF!*1000</f>
        <v>#REF!</v>
      </c>
      <c r="I21" t="e">
        <f>#REF!*1000</f>
        <v>#REF!</v>
      </c>
      <c r="J21" t="e">
        <f>#REF!*1000</f>
        <v>#REF!</v>
      </c>
      <c r="K21" t="e">
        <f>#REF!*1000</f>
        <v>#REF!</v>
      </c>
      <c r="L21" t="e">
        <f>#REF!*1000</f>
        <v>#REF!</v>
      </c>
      <c r="M21" t="e">
        <f>#REF!*1000</f>
        <v>#REF!</v>
      </c>
      <c r="N21" t="e">
        <f>#REF!*1000</f>
        <v>#REF!</v>
      </c>
      <c r="O21" t="e">
        <f>#REF!*1000</f>
        <v>#REF!</v>
      </c>
      <c r="P21" t="e">
        <f>#REF!*1000</f>
        <v>#REF!</v>
      </c>
      <c r="Q21" t="e">
        <f>#REF!*1000</f>
        <v>#REF!</v>
      </c>
    </row>
    <row r="22" spans="1:17">
      <c r="A22" t="s">
        <v>21</v>
      </c>
      <c r="B22" t="e">
        <f>#REF!*1000</f>
        <v>#REF!</v>
      </c>
      <c r="C22" t="e">
        <f>#REF!*1000</f>
        <v>#REF!</v>
      </c>
      <c r="D22" t="e">
        <f>#REF!*1000</f>
        <v>#REF!</v>
      </c>
      <c r="E22" t="e">
        <f>#REF!*1000</f>
        <v>#REF!</v>
      </c>
      <c r="F22" t="e">
        <f>#REF!*1000</f>
        <v>#REF!</v>
      </c>
      <c r="G22" t="e">
        <f>#REF!*1000</f>
        <v>#REF!</v>
      </c>
      <c r="H22" t="e">
        <f>#REF!*1000</f>
        <v>#REF!</v>
      </c>
      <c r="I22" t="e">
        <f>#REF!*1000</f>
        <v>#REF!</v>
      </c>
      <c r="J22" t="e">
        <f>#REF!*1000</f>
        <v>#REF!</v>
      </c>
      <c r="K22" t="e">
        <f>#REF!*1000</f>
        <v>#REF!</v>
      </c>
      <c r="L22" t="e">
        <f>#REF!*1000</f>
        <v>#REF!</v>
      </c>
      <c r="M22" t="e">
        <f>#REF!*1000</f>
        <v>#REF!</v>
      </c>
      <c r="N22" t="e">
        <f>#REF!*1000</f>
        <v>#REF!</v>
      </c>
      <c r="O22" t="e">
        <f>#REF!*1000</f>
        <v>#REF!</v>
      </c>
      <c r="P22" t="e">
        <f>#REF!*1000</f>
        <v>#REF!</v>
      </c>
      <c r="Q22" t="e">
        <f>#REF!*1000</f>
        <v>#REF!</v>
      </c>
    </row>
    <row r="23" spans="1:17">
      <c r="A23" t="s">
        <v>22</v>
      </c>
      <c r="B23" t="e">
        <f>#REF!*1000</f>
        <v>#REF!</v>
      </c>
      <c r="C23" t="e">
        <f>#REF!*1000</f>
        <v>#REF!</v>
      </c>
      <c r="D23" t="e">
        <f>#REF!*1000</f>
        <v>#REF!</v>
      </c>
      <c r="E23" t="e">
        <f>#REF!*1000</f>
        <v>#REF!</v>
      </c>
      <c r="F23" t="e">
        <f>#REF!*1000</f>
        <v>#REF!</v>
      </c>
      <c r="G23" t="e">
        <f>#REF!*1000</f>
        <v>#REF!</v>
      </c>
      <c r="H23" t="e">
        <f>#REF!*1000</f>
        <v>#REF!</v>
      </c>
      <c r="I23" t="e">
        <f>#REF!*1000</f>
        <v>#REF!</v>
      </c>
      <c r="J23" t="e">
        <f>#REF!*1000</f>
        <v>#REF!</v>
      </c>
      <c r="K23" t="e">
        <f>#REF!*1000</f>
        <v>#REF!</v>
      </c>
      <c r="L23" t="e">
        <f>#REF!*1000</f>
        <v>#REF!</v>
      </c>
      <c r="M23" t="e">
        <f>#REF!*1000</f>
        <v>#REF!</v>
      </c>
      <c r="N23" t="e">
        <f>#REF!*1000</f>
        <v>#REF!</v>
      </c>
      <c r="O23" t="e">
        <f>#REF!*1000</f>
        <v>#REF!</v>
      </c>
      <c r="P23" t="e">
        <f>#REF!*1000</f>
        <v>#REF!</v>
      </c>
      <c r="Q23" t="e">
        <f>#REF!*1000</f>
        <v>#REF!</v>
      </c>
    </row>
    <row r="24" spans="1:17">
      <c r="A24" t="s">
        <v>23</v>
      </c>
      <c r="B24">
        <v>12</v>
      </c>
      <c r="C24">
        <v>12</v>
      </c>
      <c r="D24">
        <v>12</v>
      </c>
      <c r="E24">
        <v>12</v>
      </c>
      <c r="F24">
        <v>12</v>
      </c>
      <c r="G24">
        <v>12</v>
      </c>
      <c r="H24">
        <v>12</v>
      </c>
      <c r="I24">
        <v>12</v>
      </c>
      <c r="J24">
        <v>12</v>
      </c>
      <c r="K24">
        <v>12</v>
      </c>
      <c r="L24">
        <v>12</v>
      </c>
      <c r="M24">
        <v>12</v>
      </c>
      <c r="N24">
        <v>12</v>
      </c>
      <c r="O24">
        <v>12</v>
      </c>
      <c r="P24">
        <v>12</v>
      </c>
      <c r="Q24">
        <v>12</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62DAC-2507-4696-9256-2326EE6A9713}">
  <sheetPr>
    <pageSetUpPr autoPageBreaks="0"/>
  </sheetPr>
  <dimension ref="A1:Q27"/>
  <sheetViews>
    <sheetView workbookViewId="0">
      <selection activeCell="A24" sqref="A24:XFD24"/>
    </sheetView>
  </sheetViews>
  <sheetFormatPr defaultRowHeight="13.2"/>
  <cols>
    <col min="1" max="1" width="16.88671875" customWidth="1"/>
    <col min="2" max="2" width="11.6640625" customWidth="1"/>
    <col min="3" max="17" width="11.332031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24</v>
      </c>
      <c r="B2" s="30" t="e">
        <f>#REF!*1000</f>
        <v>#REF!</v>
      </c>
      <c r="C2" s="30" t="e">
        <f>#REF!*1000</f>
        <v>#REF!</v>
      </c>
      <c r="D2" s="30" t="e">
        <f>#REF!*1000</f>
        <v>#REF!</v>
      </c>
      <c r="E2" s="30" t="e">
        <f>#REF!*1000</f>
        <v>#REF!</v>
      </c>
      <c r="F2" s="30" t="e">
        <f>#REF!*1000</f>
        <v>#REF!</v>
      </c>
      <c r="G2" s="30" t="e">
        <f>#REF!*1000</f>
        <v>#REF!</v>
      </c>
      <c r="H2" s="30" t="e">
        <f>#REF!*1000</f>
        <v>#REF!</v>
      </c>
      <c r="I2" s="30" t="e">
        <f>#REF!*1000</f>
        <v>#REF!</v>
      </c>
      <c r="J2" s="30" t="e">
        <f>#REF!*1000</f>
        <v>#REF!</v>
      </c>
      <c r="K2" s="30" t="e">
        <f>#REF!*1000</f>
        <v>#REF!</v>
      </c>
      <c r="L2" s="30" t="e">
        <f>#REF!*1000</f>
        <v>#REF!</v>
      </c>
      <c r="M2" s="30" t="e">
        <f>#REF!*1000</f>
        <v>#REF!</v>
      </c>
      <c r="N2" s="30" t="e">
        <f>#REF!*1000</f>
        <v>#REF!</v>
      </c>
      <c r="O2" s="30" t="e">
        <f>#REF!*1000</f>
        <v>#REF!</v>
      </c>
      <c r="P2" s="30" t="e">
        <f>#REF!*1000</f>
        <v>#REF!</v>
      </c>
      <c r="Q2" s="30" t="e">
        <f>#REF!*1000</f>
        <v>#REF!</v>
      </c>
    </row>
    <row r="3" spans="1:17">
      <c r="A3" t="s">
        <v>25</v>
      </c>
      <c r="B3" s="30" t="e">
        <f>#REF!*1000</f>
        <v>#REF!</v>
      </c>
      <c r="C3" s="30" t="e">
        <f>#REF!*1000</f>
        <v>#REF!</v>
      </c>
      <c r="D3" s="30" t="e">
        <f>#REF!*1000</f>
        <v>#REF!</v>
      </c>
      <c r="E3" s="30" t="e">
        <f>#REF!*1000</f>
        <v>#REF!</v>
      </c>
      <c r="F3" s="30" t="e">
        <f>#REF!*1000</f>
        <v>#REF!</v>
      </c>
      <c r="G3" s="30" t="e">
        <f>#REF!*1000</f>
        <v>#REF!</v>
      </c>
      <c r="H3" s="30" t="e">
        <f>#REF!*1000</f>
        <v>#REF!</v>
      </c>
      <c r="I3" s="30" t="e">
        <f>#REF!*1000</f>
        <v>#REF!</v>
      </c>
      <c r="J3" s="30" t="e">
        <f>#REF!*1000</f>
        <v>#REF!</v>
      </c>
      <c r="K3" s="30" t="e">
        <f>#REF!*1000</f>
        <v>#REF!</v>
      </c>
      <c r="L3" s="30" t="e">
        <f>#REF!*1000</f>
        <v>#REF!</v>
      </c>
      <c r="M3" s="30" t="e">
        <f>#REF!*1000</f>
        <v>#REF!</v>
      </c>
      <c r="N3" s="30" t="e">
        <f>#REF!*1000</f>
        <v>#REF!</v>
      </c>
      <c r="O3" s="30" t="e">
        <f>#REF!*1000</f>
        <v>#REF!</v>
      </c>
      <c r="P3" s="30" t="e">
        <f>#REF!*1000</f>
        <v>#REF!</v>
      </c>
      <c r="Q3" s="30" t="e">
        <f>#REF!*1000</f>
        <v>#REF!</v>
      </c>
    </row>
    <row r="4" spans="1:17">
      <c r="A4" t="s">
        <v>26</v>
      </c>
      <c r="B4" s="30" t="e">
        <f>#REF!*1000</f>
        <v>#REF!</v>
      </c>
      <c r="C4" s="30" t="e">
        <f>#REF!*1000</f>
        <v>#REF!</v>
      </c>
      <c r="D4" s="30" t="e">
        <f>#REF!*1000</f>
        <v>#REF!</v>
      </c>
      <c r="E4" s="30" t="e">
        <f>#REF!*1000</f>
        <v>#REF!</v>
      </c>
      <c r="F4" s="30" t="e">
        <f>#REF!*1000</f>
        <v>#REF!</v>
      </c>
      <c r="G4" s="30" t="e">
        <f>#REF!*1000</f>
        <v>#REF!</v>
      </c>
      <c r="H4" s="30" t="e">
        <f>#REF!*1000</f>
        <v>#REF!</v>
      </c>
      <c r="I4" s="30" t="e">
        <f>#REF!*1000</f>
        <v>#REF!</v>
      </c>
      <c r="J4" s="30" t="e">
        <f>#REF!*1000</f>
        <v>#REF!</v>
      </c>
      <c r="K4" s="30" t="e">
        <f>#REF!*1000</f>
        <v>#REF!</v>
      </c>
      <c r="L4" s="30" t="e">
        <f>#REF!*1000</f>
        <v>#REF!</v>
      </c>
      <c r="M4" s="30" t="e">
        <f>#REF!*1000</f>
        <v>#REF!</v>
      </c>
      <c r="N4" s="30" t="e">
        <f>#REF!*1000</f>
        <v>#REF!</v>
      </c>
      <c r="O4" s="30" t="e">
        <f>#REF!*1000</f>
        <v>#REF!</v>
      </c>
      <c r="P4" s="30" t="e">
        <f>#REF!*1000</f>
        <v>#REF!</v>
      </c>
      <c r="Q4" s="30" t="e">
        <f>#REF!*1000</f>
        <v>#REF!</v>
      </c>
    </row>
    <row r="5" spans="1:17">
      <c r="A5" t="s">
        <v>27</v>
      </c>
      <c r="B5" s="30" t="e">
        <f>#REF!*1000</f>
        <v>#REF!</v>
      </c>
      <c r="C5" s="30" t="e">
        <f>#REF!*1000</f>
        <v>#REF!</v>
      </c>
      <c r="D5" s="30" t="e">
        <f>#REF!*1000</f>
        <v>#REF!</v>
      </c>
      <c r="E5" s="30" t="e">
        <f>#REF!*1000</f>
        <v>#REF!</v>
      </c>
      <c r="F5" s="30" t="e">
        <f>#REF!*1000</f>
        <v>#REF!</v>
      </c>
      <c r="G5" s="30" t="e">
        <f>#REF!*1000</f>
        <v>#REF!</v>
      </c>
      <c r="H5" s="30" t="e">
        <f>#REF!*1000</f>
        <v>#REF!</v>
      </c>
      <c r="I5" s="30" t="e">
        <f>#REF!*1000</f>
        <v>#REF!</v>
      </c>
      <c r="J5" s="30" t="e">
        <f>#REF!*1000</f>
        <v>#REF!</v>
      </c>
      <c r="K5" s="30" t="e">
        <f>#REF!*1000</f>
        <v>#REF!</v>
      </c>
      <c r="L5" s="30" t="e">
        <f>#REF!*1000</f>
        <v>#REF!</v>
      </c>
      <c r="M5" s="30" t="e">
        <f>#REF!*1000</f>
        <v>#REF!</v>
      </c>
      <c r="N5" s="30" t="e">
        <f>#REF!*1000</f>
        <v>#REF!</v>
      </c>
      <c r="O5" s="30" t="e">
        <f>#REF!*1000</f>
        <v>#REF!</v>
      </c>
      <c r="P5" s="30" t="e">
        <f>#REF!*1000</f>
        <v>#REF!</v>
      </c>
      <c r="Q5" s="30" t="e">
        <f>#REF!*1000</f>
        <v>#REF!</v>
      </c>
    </row>
    <row r="6" spans="1:17">
      <c r="A6" t="s">
        <v>28</v>
      </c>
      <c r="B6" s="30" t="e">
        <f>#REF!*1000</f>
        <v>#REF!</v>
      </c>
      <c r="C6" s="30" t="e">
        <f>#REF!*1000</f>
        <v>#REF!</v>
      </c>
      <c r="D6" s="30" t="e">
        <f>#REF!*1000</f>
        <v>#REF!</v>
      </c>
      <c r="E6" s="30" t="e">
        <f>#REF!*1000</f>
        <v>#REF!</v>
      </c>
      <c r="F6" s="30" t="e">
        <f>#REF!*1000</f>
        <v>#REF!</v>
      </c>
      <c r="G6" s="30" t="e">
        <f>#REF!*1000</f>
        <v>#REF!</v>
      </c>
      <c r="H6" s="30" t="e">
        <f>#REF!*1000</f>
        <v>#REF!</v>
      </c>
      <c r="I6" s="30" t="e">
        <f>#REF!*1000</f>
        <v>#REF!</v>
      </c>
      <c r="J6" s="30" t="e">
        <f>#REF!*1000</f>
        <v>#REF!</v>
      </c>
      <c r="K6" s="30" t="e">
        <f>#REF!*1000</f>
        <v>#REF!</v>
      </c>
      <c r="L6" s="30" t="e">
        <f>#REF!*1000</f>
        <v>#REF!</v>
      </c>
      <c r="M6" s="30" t="e">
        <f>#REF!*1000</f>
        <v>#REF!</v>
      </c>
      <c r="N6" s="30" t="e">
        <f>#REF!*1000</f>
        <v>#REF!</v>
      </c>
      <c r="O6" s="30" t="e">
        <f>#REF!*1000</f>
        <v>#REF!</v>
      </c>
      <c r="P6" s="30" t="e">
        <f>#REF!*1000</f>
        <v>#REF!</v>
      </c>
      <c r="Q6" s="30" t="e">
        <f>#REF!*1000</f>
        <v>#REF!</v>
      </c>
    </row>
    <row r="7" spans="1:17">
      <c r="A7" t="s">
        <v>7</v>
      </c>
      <c r="B7" s="30" t="e">
        <f>#REF!*1000</f>
        <v>#REF!</v>
      </c>
      <c r="C7" s="30" t="e">
        <f>#REF!*1000</f>
        <v>#REF!</v>
      </c>
      <c r="D7" s="30" t="e">
        <f>#REF!*1000</f>
        <v>#REF!</v>
      </c>
      <c r="E7" s="30" t="e">
        <f>#REF!*1000</f>
        <v>#REF!</v>
      </c>
      <c r="F7" s="30" t="e">
        <f>#REF!*1000</f>
        <v>#REF!</v>
      </c>
      <c r="G7" s="30" t="e">
        <f>#REF!*1000</f>
        <v>#REF!</v>
      </c>
      <c r="H7" s="30" t="e">
        <f>#REF!*1000</f>
        <v>#REF!</v>
      </c>
      <c r="I7" s="30" t="e">
        <f>#REF!*1000</f>
        <v>#REF!</v>
      </c>
      <c r="J7" s="30" t="e">
        <f>#REF!*1000</f>
        <v>#REF!</v>
      </c>
      <c r="K7" s="30" t="e">
        <f>#REF!*1000</f>
        <v>#REF!</v>
      </c>
      <c r="L7" s="30" t="e">
        <f>#REF!*1000</f>
        <v>#REF!</v>
      </c>
      <c r="M7" s="30" t="e">
        <f>#REF!*1000</f>
        <v>#REF!</v>
      </c>
      <c r="N7" s="30" t="e">
        <f>#REF!*1000</f>
        <v>#REF!</v>
      </c>
      <c r="O7" s="30" t="e">
        <f>#REF!*1000</f>
        <v>#REF!</v>
      </c>
      <c r="P7" s="30" t="e">
        <f>#REF!*1000</f>
        <v>#REF!</v>
      </c>
      <c r="Q7" s="30" t="e">
        <f>#REF!*1000</f>
        <v>#REF!</v>
      </c>
    </row>
    <row r="8" spans="1:17">
      <c r="A8" t="s">
        <v>29</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s">
        <v>30</v>
      </c>
      <c r="B9" s="30" t="e">
        <f>#REF!*1000</f>
        <v>#REF!</v>
      </c>
      <c r="C9" s="30" t="e">
        <f>#REF!*1000</f>
        <v>#REF!</v>
      </c>
      <c r="D9" s="30" t="e">
        <f>#REF!*1000</f>
        <v>#REF!</v>
      </c>
      <c r="E9" s="30" t="e">
        <f>#REF!*1000</f>
        <v>#REF!</v>
      </c>
      <c r="F9" s="30" t="e">
        <f>#REF!*1000</f>
        <v>#REF!</v>
      </c>
      <c r="G9" s="30" t="e">
        <f>#REF!*1000</f>
        <v>#REF!</v>
      </c>
      <c r="H9" s="30" t="e">
        <f>#REF!*1000</f>
        <v>#REF!</v>
      </c>
      <c r="I9" s="30" t="e">
        <f>#REF!*1000</f>
        <v>#REF!</v>
      </c>
      <c r="J9" s="30" t="e">
        <f>#REF!*1000</f>
        <v>#REF!</v>
      </c>
      <c r="K9" s="30" t="e">
        <f>#REF!*1000</f>
        <v>#REF!</v>
      </c>
      <c r="L9" s="30" t="e">
        <f>#REF!*1000</f>
        <v>#REF!</v>
      </c>
      <c r="M9" s="30" t="e">
        <f>#REF!*1000</f>
        <v>#REF!</v>
      </c>
      <c r="N9" s="30" t="e">
        <f>#REF!*1000</f>
        <v>#REF!</v>
      </c>
      <c r="O9" s="30" t="e">
        <f>#REF!*1000</f>
        <v>#REF!</v>
      </c>
      <c r="P9" s="30" t="e">
        <f>#REF!*1000</f>
        <v>#REF!</v>
      </c>
      <c r="Q9" s="30" t="e">
        <f>#REF!*1000</f>
        <v>#REF!</v>
      </c>
    </row>
    <row r="10" spans="1:17">
      <c r="A10" t="s">
        <v>31</v>
      </c>
      <c r="B10" s="30" t="e">
        <f>#REF!*1000</f>
        <v>#REF!</v>
      </c>
      <c r="C10" s="30" t="e">
        <f>#REF!*1000</f>
        <v>#REF!</v>
      </c>
      <c r="D10" s="30" t="e">
        <f>#REF!*1000</f>
        <v>#REF!</v>
      </c>
      <c r="E10" s="30" t="e">
        <f>#REF!*1000</f>
        <v>#REF!</v>
      </c>
      <c r="F10" s="30" t="e">
        <f>#REF!*1000</f>
        <v>#REF!</v>
      </c>
      <c r="G10" s="30" t="e">
        <f>#REF!*1000</f>
        <v>#REF!</v>
      </c>
      <c r="H10" s="30" t="e">
        <f>#REF!*1000</f>
        <v>#REF!</v>
      </c>
      <c r="I10" s="30" t="e">
        <f>#REF!*1000</f>
        <v>#REF!</v>
      </c>
      <c r="J10" s="30" t="e">
        <f>#REF!*1000</f>
        <v>#REF!</v>
      </c>
      <c r="K10" s="30" t="e">
        <f>#REF!*1000</f>
        <v>#REF!</v>
      </c>
      <c r="L10" s="30" t="e">
        <f>#REF!*1000</f>
        <v>#REF!</v>
      </c>
      <c r="M10" s="30" t="e">
        <f>#REF!*1000</f>
        <v>#REF!</v>
      </c>
      <c r="N10" s="30" t="e">
        <f>#REF!*1000</f>
        <v>#REF!</v>
      </c>
      <c r="O10" s="30" t="e">
        <f>#REF!*1000</f>
        <v>#REF!</v>
      </c>
      <c r="P10" s="30" t="e">
        <f>#REF!*1000</f>
        <v>#REF!</v>
      </c>
      <c r="Q10" s="30" t="e">
        <f>#REF!*1000</f>
        <v>#REF!</v>
      </c>
    </row>
    <row r="11" spans="1:17">
      <c r="A11" t="s">
        <v>32</v>
      </c>
      <c r="B11" s="30" t="e">
        <f>#REF!*1000</f>
        <v>#REF!</v>
      </c>
      <c r="C11" s="30" t="e">
        <f>#REF!*1000</f>
        <v>#REF!</v>
      </c>
      <c r="D11" s="30" t="e">
        <f>#REF!*1000</f>
        <v>#REF!</v>
      </c>
      <c r="E11" s="30" t="e">
        <f>#REF!*1000</f>
        <v>#REF!</v>
      </c>
      <c r="F11" s="30" t="e">
        <f>#REF!*1000</f>
        <v>#REF!</v>
      </c>
      <c r="G11" s="30" t="e">
        <f>#REF!*1000</f>
        <v>#REF!</v>
      </c>
      <c r="H11" s="30" t="e">
        <f>#REF!*1000</f>
        <v>#REF!</v>
      </c>
      <c r="I11" s="30" t="e">
        <f>#REF!*1000</f>
        <v>#REF!</v>
      </c>
      <c r="J11" s="30" t="e">
        <f>#REF!*1000</f>
        <v>#REF!</v>
      </c>
      <c r="K11" s="30" t="e">
        <f>#REF!*1000</f>
        <v>#REF!</v>
      </c>
      <c r="L11" s="30" t="e">
        <f>#REF!*1000</f>
        <v>#REF!</v>
      </c>
      <c r="M11" s="30" t="e">
        <f>#REF!*1000</f>
        <v>#REF!</v>
      </c>
      <c r="N11" s="30" t="e">
        <f>#REF!*1000</f>
        <v>#REF!</v>
      </c>
      <c r="O11" s="30" t="e">
        <f>#REF!*1000</f>
        <v>#REF!</v>
      </c>
      <c r="P11" s="30" t="e">
        <f>#REF!*1000</f>
        <v>#REF!</v>
      </c>
      <c r="Q11" s="30" t="e">
        <f>#REF!*1000</f>
        <v>#REF!</v>
      </c>
    </row>
    <row r="12" spans="1:17">
      <c r="A12" t="s">
        <v>33</v>
      </c>
      <c r="B12" s="30" t="e">
        <f>#REF!*1000</f>
        <v>#REF!</v>
      </c>
      <c r="C12" s="30" t="e">
        <f>#REF!*1000</f>
        <v>#REF!</v>
      </c>
      <c r="D12" s="30" t="e">
        <f>#REF!*1000</f>
        <v>#REF!</v>
      </c>
      <c r="E12" s="30" t="e">
        <f>#REF!*1000</f>
        <v>#REF!</v>
      </c>
      <c r="F12" s="30" t="e">
        <f>#REF!*1000</f>
        <v>#REF!</v>
      </c>
      <c r="G12" s="30" t="e">
        <f>#REF!*1000</f>
        <v>#REF!</v>
      </c>
      <c r="H12" s="30" t="e">
        <f>#REF!*1000</f>
        <v>#REF!</v>
      </c>
      <c r="I12" s="30" t="e">
        <f>#REF!*1000</f>
        <v>#REF!</v>
      </c>
      <c r="J12" s="30" t="e">
        <f>#REF!*1000</f>
        <v>#REF!</v>
      </c>
      <c r="K12" s="30" t="e">
        <f>#REF!*1000</f>
        <v>#REF!</v>
      </c>
      <c r="L12" s="30" t="e">
        <f>#REF!*1000</f>
        <v>#REF!</v>
      </c>
      <c r="M12" s="30" t="e">
        <f>#REF!*1000</f>
        <v>#REF!</v>
      </c>
      <c r="N12" s="30" t="e">
        <f>#REF!*1000</f>
        <v>#REF!</v>
      </c>
      <c r="O12" s="30" t="e">
        <f>#REF!*1000</f>
        <v>#REF!</v>
      </c>
      <c r="P12" s="30" t="e">
        <f>#REF!*1000</f>
        <v>#REF!</v>
      </c>
      <c r="Q12" s="30" t="e">
        <f>#REF!*1000</f>
        <v>#REF!</v>
      </c>
    </row>
    <row r="13" spans="1:17">
      <c r="A13" t="s">
        <v>34</v>
      </c>
      <c r="B13" s="30" t="e">
        <f>#REF!*1000</f>
        <v>#REF!</v>
      </c>
      <c r="C13" s="30" t="e">
        <f>#REF!*1000</f>
        <v>#REF!</v>
      </c>
      <c r="D13" s="30" t="e">
        <f>#REF!*1000</f>
        <v>#REF!</v>
      </c>
      <c r="E13" s="30" t="e">
        <f>#REF!*1000</f>
        <v>#REF!</v>
      </c>
      <c r="F13" s="30" t="e">
        <f>#REF!*1000</f>
        <v>#REF!</v>
      </c>
      <c r="G13" s="30" t="e">
        <f>#REF!*1000</f>
        <v>#REF!</v>
      </c>
      <c r="H13" s="30" t="e">
        <f>#REF!*1000</f>
        <v>#REF!</v>
      </c>
      <c r="I13" s="30" t="e">
        <f>#REF!*1000</f>
        <v>#REF!</v>
      </c>
      <c r="J13" s="30" t="e">
        <f>#REF!*1000</f>
        <v>#REF!</v>
      </c>
      <c r="K13" s="30" t="e">
        <f>#REF!*1000</f>
        <v>#REF!</v>
      </c>
      <c r="L13" s="30" t="e">
        <f>#REF!*1000</f>
        <v>#REF!</v>
      </c>
      <c r="M13" s="30" t="e">
        <f>#REF!*1000</f>
        <v>#REF!</v>
      </c>
      <c r="N13" s="30" t="e">
        <f>#REF!*1000</f>
        <v>#REF!</v>
      </c>
      <c r="O13" s="30" t="e">
        <f>#REF!*1000</f>
        <v>#REF!</v>
      </c>
      <c r="P13" s="30" t="e">
        <f>#REF!*1000</f>
        <v>#REF!</v>
      </c>
      <c r="Q13" s="30" t="e">
        <f>#REF!*1000</f>
        <v>#REF!</v>
      </c>
    </row>
    <row r="14" spans="1:17">
      <c r="A14" t="s">
        <v>35</v>
      </c>
      <c r="B14" s="30" t="e">
        <f>#REF!*1000</f>
        <v>#REF!</v>
      </c>
      <c r="C14" s="30" t="e">
        <f>#REF!*1000</f>
        <v>#REF!</v>
      </c>
      <c r="D14" s="30" t="e">
        <f>#REF!*1000</f>
        <v>#REF!</v>
      </c>
      <c r="E14" s="30" t="e">
        <f>#REF!*1000</f>
        <v>#REF!</v>
      </c>
      <c r="F14" s="30" t="e">
        <f>#REF!*1000</f>
        <v>#REF!</v>
      </c>
      <c r="G14" s="30" t="e">
        <f>#REF!*1000</f>
        <v>#REF!</v>
      </c>
      <c r="H14" s="30" t="e">
        <f>#REF!*1000</f>
        <v>#REF!</v>
      </c>
      <c r="I14" s="30" t="e">
        <f>#REF!*1000</f>
        <v>#REF!</v>
      </c>
      <c r="J14" s="30" t="e">
        <f>#REF!*1000</f>
        <v>#REF!</v>
      </c>
      <c r="K14" s="30" t="e">
        <f>#REF!*1000</f>
        <v>#REF!</v>
      </c>
      <c r="L14" s="30" t="e">
        <f>#REF!*1000</f>
        <v>#REF!</v>
      </c>
      <c r="M14" s="30" t="e">
        <f>#REF!*1000</f>
        <v>#REF!</v>
      </c>
      <c r="N14" s="30" t="e">
        <f>#REF!*1000</f>
        <v>#REF!</v>
      </c>
      <c r="O14" s="30" t="e">
        <f>#REF!*1000</f>
        <v>#REF!</v>
      </c>
      <c r="P14" s="30" t="e">
        <f>#REF!*1000</f>
        <v>#REF!</v>
      </c>
      <c r="Q14" s="30" t="e">
        <f>#REF!*1000</f>
        <v>#REF!</v>
      </c>
    </row>
    <row r="15" spans="1:17">
      <c r="A15" t="s">
        <v>8</v>
      </c>
      <c r="B15" s="30" t="e">
        <f>#REF!*1000</f>
        <v>#REF!</v>
      </c>
      <c r="C15" s="30" t="e">
        <f>#REF!*1000</f>
        <v>#REF!</v>
      </c>
      <c r="D15" s="30" t="e">
        <f>#REF!*1000</f>
        <v>#REF!</v>
      </c>
      <c r="E15" s="30" t="e">
        <f>#REF!*1000</f>
        <v>#REF!</v>
      </c>
      <c r="F15" s="30" t="e">
        <f>#REF!*1000</f>
        <v>#REF!</v>
      </c>
      <c r="G15" s="30" t="e">
        <f>#REF!*1000</f>
        <v>#REF!</v>
      </c>
      <c r="H15" s="30" t="e">
        <f>#REF!*1000</f>
        <v>#REF!</v>
      </c>
      <c r="I15" s="30" t="e">
        <f>#REF!*1000</f>
        <v>#REF!</v>
      </c>
      <c r="J15" s="30" t="e">
        <f>#REF!*1000</f>
        <v>#REF!</v>
      </c>
      <c r="K15" s="30" t="e">
        <f>#REF!*1000</f>
        <v>#REF!</v>
      </c>
      <c r="L15" s="30" t="e">
        <f>#REF!*1000</f>
        <v>#REF!</v>
      </c>
      <c r="M15" s="30" t="e">
        <f>#REF!*1000</f>
        <v>#REF!</v>
      </c>
      <c r="N15" s="30" t="e">
        <f>#REF!*1000</f>
        <v>#REF!</v>
      </c>
      <c r="O15" s="30" t="e">
        <f>#REF!*1000</f>
        <v>#REF!</v>
      </c>
      <c r="P15" s="30" t="e">
        <f>#REF!*1000</f>
        <v>#REF!</v>
      </c>
      <c r="Q15" s="30" t="e">
        <f>#REF!*1000</f>
        <v>#REF!</v>
      </c>
    </row>
    <row r="16" spans="1:17">
      <c r="A16" t="s">
        <v>36</v>
      </c>
      <c r="B16" s="30" t="e">
        <f>#REF!*1000</f>
        <v>#REF!</v>
      </c>
      <c r="C16" s="30" t="e">
        <f>#REF!*1000</f>
        <v>#REF!</v>
      </c>
      <c r="D16" s="30" t="e">
        <f>#REF!*1000</f>
        <v>#REF!</v>
      </c>
      <c r="E16" s="30" t="e">
        <f>#REF!*1000</f>
        <v>#REF!</v>
      </c>
      <c r="F16" s="30" t="e">
        <f>#REF!*1000</f>
        <v>#REF!</v>
      </c>
      <c r="G16" s="30" t="e">
        <f>#REF!*1000</f>
        <v>#REF!</v>
      </c>
      <c r="H16" s="30" t="e">
        <f>#REF!*1000</f>
        <v>#REF!</v>
      </c>
      <c r="I16" s="30" t="e">
        <f>#REF!*1000</f>
        <v>#REF!</v>
      </c>
      <c r="J16" s="30" t="e">
        <f>#REF!*1000</f>
        <v>#REF!</v>
      </c>
      <c r="K16" s="30" t="e">
        <f>#REF!*1000</f>
        <v>#REF!</v>
      </c>
      <c r="L16" s="30" t="e">
        <f>#REF!*1000</f>
        <v>#REF!</v>
      </c>
      <c r="M16" s="30" t="e">
        <f>#REF!*1000</f>
        <v>#REF!</v>
      </c>
      <c r="N16" s="30" t="e">
        <f>#REF!*1000</f>
        <v>#REF!</v>
      </c>
      <c r="O16" s="30" t="e">
        <f>#REF!*1000</f>
        <v>#REF!</v>
      </c>
      <c r="P16" s="30" t="e">
        <f>#REF!*1000</f>
        <v>#REF!</v>
      </c>
      <c r="Q16" s="30" t="e">
        <f>#REF!*1000</f>
        <v>#REF!</v>
      </c>
    </row>
    <row r="17" spans="1:17">
      <c r="A17" t="s">
        <v>37</v>
      </c>
      <c r="B17" s="31" t="e">
        <f>#REF!*1000</f>
        <v>#REF!</v>
      </c>
      <c r="C17" s="31" t="e">
        <f>#REF!*1000</f>
        <v>#REF!</v>
      </c>
      <c r="D17" s="31" t="e">
        <f>#REF!*1000</f>
        <v>#REF!</v>
      </c>
      <c r="E17" s="31" t="e">
        <f>#REF!*1000</f>
        <v>#REF!</v>
      </c>
      <c r="F17" s="31" t="e">
        <f>#REF!*1000</f>
        <v>#REF!</v>
      </c>
      <c r="G17" s="31" t="e">
        <f>#REF!*1000</f>
        <v>#REF!</v>
      </c>
      <c r="H17" s="31" t="e">
        <f>#REF!*1000</f>
        <v>#REF!</v>
      </c>
      <c r="I17" s="31" t="e">
        <f>#REF!*1000</f>
        <v>#REF!</v>
      </c>
      <c r="J17" s="31" t="e">
        <f>#REF!*1000</f>
        <v>#REF!</v>
      </c>
      <c r="K17" s="31" t="e">
        <f>#REF!*1000</f>
        <v>#REF!</v>
      </c>
      <c r="L17" s="31" t="e">
        <f>#REF!*1000</f>
        <v>#REF!</v>
      </c>
      <c r="M17" s="31" t="e">
        <f>#REF!*1000</f>
        <v>#REF!</v>
      </c>
      <c r="N17" s="31" t="e">
        <f>#REF!*1000</f>
        <v>#REF!</v>
      </c>
      <c r="O17" s="31" t="e">
        <f>#REF!*1000</f>
        <v>#REF!</v>
      </c>
      <c r="P17" s="31" t="e">
        <f>#REF!*1000</f>
        <v>#REF!</v>
      </c>
      <c r="Q17" s="31" t="e">
        <f>#REF!*1000</f>
        <v>#REF!</v>
      </c>
    </row>
    <row r="18" spans="1:17">
      <c r="A18" t="s">
        <v>38</v>
      </c>
      <c r="B18" s="31" t="e">
        <f>#REF!*1000</f>
        <v>#REF!</v>
      </c>
      <c r="C18" s="31" t="e">
        <f>#REF!*1000</f>
        <v>#REF!</v>
      </c>
      <c r="D18" s="31" t="e">
        <f>#REF!*1000</f>
        <v>#REF!</v>
      </c>
      <c r="E18" s="31" t="e">
        <f>#REF!*1000</f>
        <v>#REF!</v>
      </c>
      <c r="F18" s="31" t="e">
        <f>#REF!*1000</f>
        <v>#REF!</v>
      </c>
      <c r="G18" s="31" t="e">
        <f>#REF!*1000</f>
        <v>#REF!</v>
      </c>
      <c r="H18" s="31" t="e">
        <f>#REF!*1000</f>
        <v>#REF!</v>
      </c>
      <c r="I18" s="31" t="e">
        <f>#REF!*1000</f>
        <v>#REF!</v>
      </c>
      <c r="J18" s="31" t="e">
        <f>#REF!*1000</f>
        <v>#REF!</v>
      </c>
      <c r="K18" s="31" t="e">
        <f>#REF!*1000</f>
        <v>#REF!</v>
      </c>
      <c r="L18" s="31" t="e">
        <f>#REF!*1000</f>
        <v>#REF!</v>
      </c>
      <c r="M18" s="31" t="e">
        <f>#REF!*1000</f>
        <v>#REF!</v>
      </c>
      <c r="N18" s="31" t="e">
        <f>#REF!*1000</f>
        <v>#REF!</v>
      </c>
      <c r="O18" s="31" t="e">
        <f>#REF!*1000</f>
        <v>#REF!</v>
      </c>
      <c r="P18" s="31" t="e">
        <f>#REF!*1000</f>
        <v>#REF!</v>
      </c>
      <c r="Q18" s="31" t="e">
        <f>#REF!*1000</f>
        <v>#REF!</v>
      </c>
    </row>
    <row r="19" spans="1:17">
      <c r="A19" t="s">
        <v>39</v>
      </c>
      <c r="B19" s="31" t="e">
        <f>#REF!*1000</f>
        <v>#REF!</v>
      </c>
      <c r="C19" s="31" t="e">
        <f>#REF!*1000</f>
        <v>#REF!</v>
      </c>
      <c r="D19" s="31" t="e">
        <f>#REF!*1000</f>
        <v>#REF!</v>
      </c>
      <c r="E19" s="31" t="e">
        <f>#REF!*1000</f>
        <v>#REF!</v>
      </c>
      <c r="F19" s="31" t="e">
        <f>#REF!*1000</f>
        <v>#REF!</v>
      </c>
      <c r="G19" s="31" t="e">
        <f>#REF!*1000</f>
        <v>#REF!</v>
      </c>
      <c r="H19" s="31" t="e">
        <f>#REF!*1000</f>
        <v>#REF!</v>
      </c>
      <c r="I19" s="31" t="e">
        <f>#REF!*1000</f>
        <v>#REF!</v>
      </c>
      <c r="J19" s="31" t="e">
        <f>#REF!*1000</f>
        <v>#REF!</v>
      </c>
      <c r="K19" s="31" t="e">
        <f>#REF!*1000</f>
        <v>#REF!</v>
      </c>
      <c r="L19" s="31" t="e">
        <f>#REF!*1000</f>
        <v>#REF!</v>
      </c>
      <c r="M19" s="31" t="e">
        <f>#REF!*1000</f>
        <v>#REF!</v>
      </c>
      <c r="N19" s="31" t="e">
        <f>#REF!*1000</f>
        <v>#REF!</v>
      </c>
      <c r="O19" s="31" t="e">
        <f>#REF!*1000</f>
        <v>#REF!</v>
      </c>
      <c r="P19" s="31" t="e">
        <f>#REF!*1000</f>
        <v>#REF!</v>
      </c>
      <c r="Q19" s="31" t="e">
        <f>#REF!*1000</f>
        <v>#REF!</v>
      </c>
    </row>
    <row r="20" spans="1:17">
      <c r="A20" t="s">
        <v>40</v>
      </c>
      <c r="B20" s="32" t="e">
        <f>#REF!*1000</f>
        <v>#REF!</v>
      </c>
      <c r="C20" s="32" t="e">
        <f>#REF!*1000</f>
        <v>#REF!</v>
      </c>
      <c r="D20" s="32" t="e">
        <f>#REF!*1000</f>
        <v>#REF!</v>
      </c>
      <c r="E20" s="32" t="e">
        <f>#REF!*1000</f>
        <v>#REF!</v>
      </c>
      <c r="F20" s="32" t="e">
        <f>#REF!*1000</f>
        <v>#REF!</v>
      </c>
      <c r="G20" s="32" t="e">
        <f>#REF!*1000</f>
        <v>#REF!</v>
      </c>
      <c r="H20" s="32" t="e">
        <f>#REF!*1000</f>
        <v>#REF!</v>
      </c>
      <c r="I20" s="32" t="e">
        <f>#REF!*1000</f>
        <v>#REF!</v>
      </c>
      <c r="J20" s="32" t="e">
        <f>#REF!*1000</f>
        <v>#REF!</v>
      </c>
      <c r="K20" s="32" t="e">
        <f>#REF!*1000</f>
        <v>#REF!</v>
      </c>
      <c r="L20" s="32" t="e">
        <f>#REF!*1000</f>
        <v>#REF!</v>
      </c>
      <c r="M20" s="32" t="e">
        <f>#REF!*1000</f>
        <v>#REF!</v>
      </c>
      <c r="N20" s="32" t="e">
        <f>#REF!*1000</f>
        <v>#REF!</v>
      </c>
      <c r="O20" s="32" t="e">
        <f>#REF!*1000</f>
        <v>#REF!</v>
      </c>
      <c r="P20" s="32" t="e">
        <f>#REF!*1000</f>
        <v>#REF!</v>
      </c>
      <c r="Q20" s="32" t="e">
        <f>#REF!*1000</f>
        <v>#REF!</v>
      </c>
    </row>
    <row r="21" spans="1:17">
      <c r="A21" t="s">
        <v>41</v>
      </c>
      <c r="B21" s="30" t="e">
        <f>#REF!*1000</f>
        <v>#REF!</v>
      </c>
      <c r="C21" s="30" t="e">
        <f>#REF!*1000</f>
        <v>#REF!</v>
      </c>
      <c r="D21" s="30" t="e">
        <f>#REF!*1000</f>
        <v>#REF!</v>
      </c>
      <c r="E21" s="30" t="e">
        <f>#REF!*1000</f>
        <v>#REF!</v>
      </c>
      <c r="F21" s="30" t="e">
        <f>#REF!*1000</f>
        <v>#REF!</v>
      </c>
      <c r="G21" s="30" t="e">
        <f>#REF!*1000</f>
        <v>#REF!</v>
      </c>
      <c r="H21" s="30" t="e">
        <f>#REF!*1000</f>
        <v>#REF!</v>
      </c>
      <c r="I21" s="30" t="e">
        <f>#REF!*1000</f>
        <v>#REF!</v>
      </c>
      <c r="J21" s="30" t="e">
        <f>#REF!*1000</f>
        <v>#REF!</v>
      </c>
      <c r="K21" s="30" t="e">
        <f>#REF!*1000</f>
        <v>#REF!</v>
      </c>
      <c r="L21" s="30" t="e">
        <f>#REF!*1000</f>
        <v>#REF!</v>
      </c>
      <c r="M21" s="30" t="e">
        <f>#REF!*1000</f>
        <v>#REF!</v>
      </c>
      <c r="N21" s="30" t="e">
        <f>#REF!*1000</f>
        <v>#REF!</v>
      </c>
      <c r="O21" s="30" t="e">
        <f>#REF!*1000</f>
        <v>#REF!</v>
      </c>
      <c r="P21" s="30" t="e">
        <f>#REF!*1000</f>
        <v>#REF!</v>
      </c>
      <c r="Q21" s="30" t="e">
        <f>#REF!*1000</f>
        <v>#REF!</v>
      </c>
    </row>
    <row r="22" spans="1:17">
      <c r="A22" t="s">
        <v>42</v>
      </c>
      <c r="B22" s="30" t="e">
        <f>#REF!*1000</f>
        <v>#REF!</v>
      </c>
      <c r="C22" s="30" t="e">
        <f>#REF!*1000</f>
        <v>#REF!</v>
      </c>
      <c r="D22" s="30" t="e">
        <f>#REF!*1000</f>
        <v>#REF!</v>
      </c>
      <c r="E22" s="30" t="e">
        <f>#REF!*1000</f>
        <v>#REF!</v>
      </c>
      <c r="F22" s="30" t="e">
        <f>#REF!*1000</f>
        <v>#REF!</v>
      </c>
      <c r="G22" s="30" t="e">
        <f>#REF!*1000</f>
        <v>#REF!</v>
      </c>
      <c r="H22" s="30" t="e">
        <f>#REF!*1000</f>
        <v>#REF!</v>
      </c>
      <c r="I22" s="30" t="e">
        <f>#REF!*1000</f>
        <v>#REF!</v>
      </c>
      <c r="J22" s="30" t="e">
        <f>#REF!*1000</f>
        <v>#REF!</v>
      </c>
      <c r="K22" s="30" t="e">
        <f>#REF!*1000</f>
        <v>#REF!</v>
      </c>
      <c r="L22" s="30" t="e">
        <f>#REF!*1000</f>
        <v>#REF!</v>
      </c>
      <c r="M22" s="30" t="e">
        <f>#REF!*1000</f>
        <v>#REF!</v>
      </c>
      <c r="N22" s="30" t="e">
        <f>#REF!*1000</f>
        <v>#REF!</v>
      </c>
      <c r="O22" s="30" t="e">
        <f>#REF!*1000</f>
        <v>#REF!</v>
      </c>
      <c r="P22" s="30" t="e">
        <f>#REF!*1000</f>
        <v>#REF!</v>
      </c>
      <c r="Q22" s="30" t="e">
        <f>#REF!*1000</f>
        <v>#REF!</v>
      </c>
    </row>
    <row r="23" spans="1:17">
      <c r="A23" t="s">
        <v>43</v>
      </c>
      <c r="B23" s="30" t="e">
        <f>#REF!*1000</f>
        <v>#REF!</v>
      </c>
      <c r="C23" s="30" t="e">
        <f>#REF!*1000</f>
        <v>#REF!</v>
      </c>
      <c r="D23" s="30" t="e">
        <f>#REF!*1000</f>
        <v>#REF!</v>
      </c>
      <c r="E23" s="30" t="e">
        <f>#REF!*1000</f>
        <v>#REF!</v>
      </c>
      <c r="F23" s="30" t="e">
        <f>#REF!*1000</f>
        <v>#REF!</v>
      </c>
      <c r="G23" s="30" t="e">
        <f>#REF!*1000</f>
        <v>#REF!</v>
      </c>
      <c r="H23" s="30" t="e">
        <f>#REF!*1000</f>
        <v>#REF!</v>
      </c>
      <c r="I23" s="30" t="e">
        <f>#REF!*1000</f>
        <v>#REF!</v>
      </c>
      <c r="J23" s="30" t="e">
        <f>#REF!*1000</f>
        <v>#REF!</v>
      </c>
      <c r="K23" s="30" t="e">
        <f>#REF!*1000</f>
        <v>#REF!</v>
      </c>
      <c r="L23" s="30" t="e">
        <f>#REF!*1000</f>
        <v>#REF!</v>
      </c>
      <c r="M23" s="30" t="e">
        <f>#REF!*1000</f>
        <v>#REF!</v>
      </c>
      <c r="N23" s="30" t="e">
        <f>#REF!*1000</f>
        <v>#REF!</v>
      </c>
      <c r="O23" s="30" t="e">
        <f>#REF!*1000</f>
        <v>#REF!</v>
      </c>
      <c r="P23" s="30" t="e">
        <f>#REF!*1000</f>
        <v>#REF!</v>
      </c>
      <c r="Q23" s="30" t="e">
        <f>#REF!*1000</f>
        <v>#REF!</v>
      </c>
    </row>
    <row r="24" spans="1:17">
      <c r="A24" t="s">
        <v>44</v>
      </c>
      <c r="B24" s="30" t="e">
        <f>#REF!*1000</f>
        <v>#REF!</v>
      </c>
      <c r="C24" s="30" t="e">
        <f>#REF!*1000</f>
        <v>#REF!</v>
      </c>
      <c r="D24" s="30" t="e">
        <f>#REF!*1000</f>
        <v>#REF!</v>
      </c>
      <c r="E24" s="30" t="e">
        <f>#REF!*1000</f>
        <v>#REF!</v>
      </c>
      <c r="F24" s="30" t="e">
        <f>#REF!*1000</f>
        <v>#REF!</v>
      </c>
      <c r="G24" s="30" t="e">
        <f>#REF!*1000</f>
        <v>#REF!</v>
      </c>
      <c r="H24" s="30" t="e">
        <f>#REF!*1000</f>
        <v>#REF!</v>
      </c>
      <c r="I24" s="30" t="e">
        <f>#REF!*1000</f>
        <v>#REF!</v>
      </c>
      <c r="J24" s="30" t="e">
        <f>#REF!*1000</f>
        <v>#REF!</v>
      </c>
      <c r="K24" s="30" t="e">
        <f>#REF!*1000</f>
        <v>#REF!</v>
      </c>
      <c r="L24" s="30" t="e">
        <f>#REF!*1000</f>
        <v>#REF!</v>
      </c>
      <c r="M24" s="30" t="e">
        <f>#REF!*1000</f>
        <v>#REF!</v>
      </c>
      <c r="N24" s="30" t="e">
        <f>#REF!*1000</f>
        <v>#REF!</v>
      </c>
      <c r="O24" s="30" t="e">
        <f>#REF!*1000</f>
        <v>#REF!</v>
      </c>
      <c r="P24" s="30" t="e">
        <f>#REF!*1000</f>
        <v>#REF!</v>
      </c>
      <c r="Q24" s="30" t="e">
        <f>#REF!*1000</f>
        <v>#REF!</v>
      </c>
    </row>
    <row r="25" spans="1:17">
      <c r="A25" t="s">
        <v>45</v>
      </c>
      <c r="B25" s="30" t="e">
        <f>#REF!*1000</f>
        <v>#REF!</v>
      </c>
      <c r="C25" s="30" t="e">
        <f>#REF!*1000</f>
        <v>#REF!</v>
      </c>
      <c r="D25" s="30" t="e">
        <f>#REF!*1000</f>
        <v>#REF!</v>
      </c>
      <c r="E25" s="30" t="e">
        <f>#REF!*1000</f>
        <v>#REF!</v>
      </c>
      <c r="F25" s="30" t="e">
        <f>#REF!*1000</f>
        <v>#REF!</v>
      </c>
      <c r="G25" s="30" t="e">
        <f>#REF!*1000</f>
        <v>#REF!</v>
      </c>
      <c r="H25" s="30" t="e">
        <f>#REF!*1000</f>
        <v>#REF!</v>
      </c>
      <c r="I25" s="30" t="e">
        <f>#REF!*1000</f>
        <v>#REF!</v>
      </c>
      <c r="J25" s="30" t="e">
        <f>#REF!*1000</f>
        <v>#REF!</v>
      </c>
      <c r="K25" s="30" t="e">
        <f>#REF!*1000</f>
        <v>#REF!</v>
      </c>
      <c r="L25" s="30" t="e">
        <f>#REF!*1000</f>
        <v>#REF!</v>
      </c>
      <c r="M25" s="30" t="e">
        <f>#REF!*1000</f>
        <v>#REF!</v>
      </c>
      <c r="N25" s="30" t="e">
        <f>#REF!*1000</f>
        <v>#REF!</v>
      </c>
      <c r="O25" s="30" t="e">
        <f>#REF!*1000</f>
        <v>#REF!</v>
      </c>
      <c r="P25" s="30" t="e">
        <f>#REF!*1000</f>
        <v>#REF!</v>
      </c>
      <c r="Q25" s="30" t="e">
        <f>#REF!*1000</f>
        <v>#REF!</v>
      </c>
    </row>
    <row r="26" spans="1:17">
      <c r="A26" t="s">
        <v>46</v>
      </c>
      <c r="B26" t="e">
        <f>#REF!*1000</f>
        <v>#REF!</v>
      </c>
      <c r="C26" t="e">
        <f>#REF!*1000</f>
        <v>#REF!</v>
      </c>
      <c r="D26" t="e">
        <f>#REF!*1000</f>
        <v>#REF!</v>
      </c>
      <c r="E26" t="e">
        <f>#REF!*1000</f>
        <v>#REF!</v>
      </c>
      <c r="F26" t="e">
        <f>#REF!*1000</f>
        <v>#REF!</v>
      </c>
      <c r="G26" t="e">
        <f>#REF!*1000</f>
        <v>#REF!</v>
      </c>
      <c r="H26" t="e">
        <f>#REF!*1000</f>
        <v>#REF!</v>
      </c>
      <c r="I26" t="e">
        <f>#REF!*1000</f>
        <v>#REF!</v>
      </c>
      <c r="J26" t="e">
        <f>#REF!*1000</f>
        <v>#REF!</v>
      </c>
      <c r="K26" t="e">
        <f>#REF!*1000</f>
        <v>#REF!</v>
      </c>
      <c r="L26" t="e">
        <f>#REF!*1000</f>
        <v>#REF!</v>
      </c>
      <c r="M26" t="e">
        <f>#REF!*1000</f>
        <v>#REF!</v>
      </c>
      <c r="N26" t="e">
        <f>#REF!*1000</f>
        <v>#REF!</v>
      </c>
      <c r="O26" t="e">
        <f>#REF!*1000</f>
        <v>#REF!</v>
      </c>
      <c r="P26" t="e">
        <f>#REF!*1000</f>
        <v>#REF!</v>
      </c>
      <c r="Q26" t="e">
        <f>#REF!*1000</f>
        <v>#REF!</v>
      </c>
    </row>
    <row r="27" spans="1:17">
      <c r="A27" t="s">
        <v>23</v>
      </c>
      <c r="B27">
        <v>12</v>
      </c>
      <c r="C27">
        <v>12</v>
      </c>
      <c r="D27">
        <v>12</v>
      </c>
      <c r="E27">
        <v>12</v>
      </c>
      <c r="F27">
        <v>12</v>
      </c>
      <c r="G27">
        <v>12</v>
      </c>
      <c r="H27">
        <v>12</v>
      </c>
      <c r="I27">
        <v>12</v>
      </c>
      <c r="J27">
        <v>12</v>
      </c>
      <c r="K27">
        <v>12</v>
      </c>
      <c r="L27">
        <v>12</v>
      </c>
      <c r="M27">
        <v>12</v>
      </c>
      <c r="N27">
        <v>12</v>
      </c>
      <c r="O27">
        <v>12</v>
      </c>
      <c r="P27">
        <v>12</v>
      </c>
      <c r="Q27">
        <v>12</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658F-F35F-415A-A860-C98E82AB130F}">
  <sheetPr>
    <pageSetUpPr autoPageBreaks="0"/>
  </sheetPr>
  <dimension ref="A1:Q23"/>
  <sheetViews>
    <sheetView workbookViewId="0">
      <selection activeCell="A24" sqref="A24:XFD24"/>
    </sheetView>
  </sheetViews>
  <sheetFormatPr defaultRowHeight="13.2"/>
  <cols>
    <col min="2" max="17" width="11.332031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47</v>
      </c>
      <c r="B2" s="25" t="e">
        <f>#REF!*1000</f>
        <v>#REF!</v>
      </c>
      <c r="C2" s="25" t="e">
        <f>#REF!*1000</f>
        <v>#REF!</v>
      </c>
      <c r="D2" s="25" t="e">
        <f>#REF!*1000</f>
        <v>#REF!</v>
      </c>
      <c r="E2" s="25" t="e">
        <f>#REF!*1000</f>
        <v>#REF!</v>
      </c>
      <c r="F2" s="25" t="e">
        <f>#REF!*1000</f>
        <v>#REF!</v>
      </c>
      <c r="G2" s="25" t="e">
        <f>#REF!*1000</f>
        <v>#REF!</v>
      </c>
      <c r="H2" s="25" t="e">
        <f>#REF!*1000</f>
        <v>#REF!</v>
      </c>
      <c r="I2" s="25" t="e">
        <f>#REF!*1000</f>
        <v>#REF!</v>
      </c>
      <c r="J2" s="25" t="e">
        <f>#REF!*1000</f>
        <v>#REF!</v>
      </c>
      <c r="K2" s="25" t="e">
        <f>#REF!*1000</f>
        <v>#REF!</v>
      </c>
      <c r="L2" s="25" t="e">
        <f>#REF!*1000</f>
        <v>#REF!</v>
      </c>
      <c r="M2" s="25" t="e">
        <f>#REF!*1000</f>
        <v>#REF!</v>
      </c>
      <c r="N2" s="25" t="e">
        <f>#REF!*1000</f>
        <v>#REF!</v>
      </c>
      <c r="O2" s="25" t="e">
        <f>#REF!*1000</f>
        <v>#REF!</v>
      </c>
      <c r="P2" s="25" t="e">
        <f>#REF!*1000</f>
        <v>#REF!</v>
      </c>
      <c r="Q2" s="25" t="e">
        <f>#REF!*1000</f>
        <v>#REF!</v>
      </c>
    </row>
    <row r="3" spans="1:17">
      <c r="A3" t="s">
        <v>48</v>
      </c>
      <c r="B3" s="26" t="e">
        <f>#REF!*1000</f>
        <v>#REF!</v>
      </c>
      <c r="C3" s="26" t="e">
        <f>#REF!*1000</f>
        <v>#REF!</v>
      </c>
      <c r="D3" s="26" t="e">
        <f>#REF!*1000</f>
        <v>#REF!</v>
      </c>
      <c r="E3" s="26" t="e">
        <f>#REF!*1000</f>
        <v>#REF!</v>
      </c>
      <c r="F3" s="26" t="e">
        <f>#REF!*1000</f>
        <v>#REF!</v>
      </c>
      <c r="G3" s="26" t="e">
        <f>#REF!*1000</f>
        <v>#REF!</v>
      </c>
      <c r="H3" s="26" t="e">
        <f>#REF!*1000</f>
        <v>#REF!</v>
      </c>
      <c r="I3" s="26" t="e">
        <f>#REF!*1000</f>
        <v>#REF!</v>
      </c>
      <c r="J3" s="26" t="e">
        <f>#REF!*1000</f>
        <v>#REF!</v>
      </c>
      <c r="K3" s="26" t="e">
        <f>#REF!*1000</f>
        <v>#REF!</v>
      </c>
      <c r="L3" s="26" t="e">
        <f>#REF!*1000</f>
        <v>#REF!</v>
      </c>
      <c r="M3" s="26" t="e">
        <f>#REF!*1000</f>
        <v>#REF!</v>
      </c>
      <c r="N3" s="26" t="e">
        <f>#REF!*1000</f>
        <v>#REF!</v>
      </c>
      <c r="O3" s="26" t="e">
        <f>#REF!*1000</f>
        <v>#REF!</v>
      </c>
      <c r="P3" s="26" t="e">
        <f>#REF!*1000</f>
        <v>#REF!</v>
      </c>
      <c r="Q3" s="26" t="e">
        <f>#REF!*1000</f>
        <v>#REF!</v>
      </c>
    </row>
    <row r="4" spans="1:17">
      <c r="A4" t="s">
        <v>49</v>
      </c>
      <c r="B4" s="26" t="e">
        <f>#REF!*1000</f>
        <v>#REF!</v>
      </c>
      <c r="C4" s="26" t="e">
        <f>#REF!*1000</f>
        <v>#REF!</v>
      </c>
      <c r="D4" s="26" t="e">
        <f>#REF!*1000</f>
        <v>#REF!</v>
      </c>
      <c r="E4" s="26" t="e">
        <f>#REF!*1000</f>
        <v>#REF!</v>
      </c>
      <c r="F4" s="26" t="e">
        <f>#REF!*1000</f>
        <v>#REF!</v>
      </c>
      <c r="G4" s="26" t="e">
        <f>#REF!*1000</f>
        <v>#REF!</v>
      </c>
      <c r="H4" s="26" t="e">
        <f>#REF!*1000</f>
        <v>#REF!</v>
      </c>
      <c r="I4" s="26" t="e">
        <f>#REF!*1000</f>
        <v>#REF!</v>
      </c>
      <c r="J4" s="26" t="e">
        <f>#REF!*1000</f>
        <v>#REF!</v>
      </c>
      <c r="K4" s="26" t="e">
        <f>#REF!*1000</f>
        <v>#REF!</v>
      </c>
      <c r="L4" s="26" t="e">
        <f>#REF!*1000</f>
        <v>#REF!</v>
      </c>
      <c r="M4" s="26" t="e">
        <f>#REF!*1000</f>
        <v>#REF!</v>
      </c>
      <c r="N4" s="26" t="e">
        <f>#REF!*1000</f>
        <v>#REF!</v>
      </c>
      <c r="O4" s="26" t="e">
        <f>#REF!*1000</f>
        <v>#REF!</v>
      </c>
      <c r="P4" s="26" t="e">
        <f>#REF!*1000</f>
        <v>#REF!</v>
      </c>
      <c r="Q4" s="26" t="e">
        <f>#REF!*1000</f>
        <v>#REF!</v>
      </c>
    </row>
    <row r="5" spans="1:17">
      <c r="A5" t="s">
        <v>50</v>
      </c>
      <c r="B5" s="26" t="e">
        <f>#REF!*1000</f>
        <v>#REF!</v>
      </c>
      <c r="C5" s="26" t="e">
        <f>#REF!*1000</f>
        <v>#REF!</v>
      </c>
      <c r="D5" s="26" t="e">
        <f>#REF!*1000</f>
        <v>#REF!</v>
      </c>
      <c r="E5" s="26" t="e">
        <f>#REF!*1000</f>
        <v>#REF!</v>
      </c>
      <c r="F5" s="26" t="e">
        <f>#REF!*1000</f>
        <v>#REF!</v>
      </c>
      <c r="G5" s="26" t="e">
        <f>#REF!*1000</f>
        <v>#REF!</v>
      </c>
      <c r="H5" s="26" t="e">
        <f>#REF!*1000</f>
        <v>#REF!</v>
      </c>
      <c r="I5" s="26" t="e">
        <f>#REF!*1000</f>
        <v>#REF!</v>
      </c>
      <c r="J5" s="26" t="e">
        <f>#REF!*1000</f>
        <v>#REF!</v>
      </c>
      <c r="K5" s="26" t="e">
        <f>#REF!*1000</f>
        <v>#REF!</v>
      </c>
      <c r="L5" s="26" t="e">
        <f>#REF!*1000</f>
        <v>#REF!</v>
      </c>
      <c r="M5" s="26" t="e">
        <f>#REF!*1000</f>
        <v>#REF!</v>
      </c>
      <c r="N5" s="26" t="e">
        <f>#REF!*1000</f>
        <v>#REF!</v>
      </c>
      <c r="O5" s="26" t="e">
        <f>#REF!*1000</f>
        <v>#REF!</v>
      </c>
      <c r="P5" s="26" t="e">
        <f>#REF!*1000</f>
        <v>#REF!</v>
      </c>
      <c r="Q5" s="26" t="e">
        <f>#REF!*1000</f>
        <v>#REF!</v>
      </c>
    </row>
    <row r="6" spans="1:17">
      <c r="A6" t="s">
        <v>51</v>
      </c>
      <c r="B6" s="26" t="e">
        <f>#REF!*1000</f>
        <v>#REF!</v>
      </c>
      <c r="C6" s="26" t="e">
        <f>#REF!*1000</f>
        <v>#REF!</v>
      </c>
      <c r="D6" s="26" t="e">
        <f>#REF!*1000</f>
        <v>#REF!</v>
      </c>
      <c r="E6" s="26" t="e">
        <f>#REF!*1000</f>
        <v>#REF!</v>
      </c>
      <c r="F6" s="26" t="e">
        <f>#REF!*1000</f>
        <v>#REF!</v>
      </c>
      <c r="G6" s="26" t="e">
        <f>#REF!*1000</f>
        <v>#REF!</v>
      </c>
      <c r="H6" s="26" t="e">
        <f>#REF!*1000</f>
        <v>#REF!</v>
      </c>
      <c r="I6" s="26" t="e">
        <f>#REF!*1000</f>
        <v>#REF!</v>
      </c>
      <c r="J6" s="26" t="e">
        <f>#REF!*1000</f>
        <v>#REF!</v>
      </c>
      <c r="K6" s="26" t="e">
        <f>#REF!*1000</f>
        <v>#REF!</v>
      </c>
      <c r="L6" s="26" t="e">
        <f>#REF!*1000</f>
        <v>#REF!</v>
      </c>
      <c r="M6" s="26" t="e">
        <f>#REF!*1000</f>
        <v>#REF!</v>
      </c>
      <c r="N6" s="26" t="e">
        <f>#REF!*1000</f>
        <v>#REF!</v>
      </c>
      <c r="O6" s="26" t="e">
        <f>#REF!*1000</f>
        <v>#REF!</v>
      </c>
      <c r="P6" s="26" t="e">
        <f>#REF!*1000</f>
        <v>#REF!</v>
      </c>
      <c r="Q6" s="26" t="e">
        <f>#REF!*1000</f>
        <v>#REF!</v>
      </c>
    </row>
    <row r="7" spans="1:17">
      <c r="A7" t="s">
        <v>52</v>
      </c>
      <c r="B7" s="26" t="e">
        <f>#REF!*1000</f>
        <v>#REF!</v>
      </c>
      <c r="C7" s="26" t="e">
        <f>#REF!*1000</f>
        <v>#REF!</v>
      </c>
      <c r="D7" s="26" t="e">
        <f>#REF!*1000</f>
        <v>#REF!</v>
      </c>
      <c r="E7" s="26" t="e">
        <f>#REF!*1000</f>
        <v>#REF!</v>
      </c>
      <c r="F7" s="26" t="e">
        <f>#REF!*1000</f>
        <v>#REF!</v>
      </c>
      <c r="G7" s="26" t="e">
        <f>#REF!*1000</f>
        <v>#REF!</v>
      </c>
      <c r="H7" s="26" t="e">
        <f>#REF!*1000</f>
        <v>#REF!</v>
      </c>
      <c r="I7" s="26" t="e">
        <f>#REF!*1000</f>
        <v>#REF!</v>
      </c>
      <c r="J7" s="26" t="e">
        <f>#REF!*1000</f>
        <v>#REF!</v>
      </c>
      <c r="K7" s="26" t="e">
        <f>#REF!*1000</f>
        <v>#REF!</v>
      </c>
      <c r="L7" s="26" t="e">
        <f>#REF!*1000</f>
        <v>#REF!</v>
      </c>
      <c r="M7" s="26" t="e">
        <f>#REF!*1000</f>
        <v>#REF!</v>
      </c>
      <c r="N7" s="26" t="e">
        <f>#REF!*1000</f>
        <v>#REF!</v>
      </c>
      <c r="O7" s="26" t="e">
        <f>#REF!*1000</f>
        <v>#REF!</v>
      </c>
      <c r="P7" s="26" t="e">
        <f>#REF!*1000</f>
        <v>#REF!</v>
      </c>
      <c r="Q7" s="26" t="e">
        <f>#REF!*1000</f>
        <v>#REF!</v>
      </c>
    </row>
    <row r="8" spans="1:17">
      <c r="A8" t="s">
        <v>53</v>
      </c>
      <c r="B8" s="26" t="e">
        <f>#REF!*1000</f>
        <v>#REF!</v>
      </c>
      <c r="C8" s="26" t="e">
        <f>#REF!*1000</f>
        <v>#REF!</v>
      </c>
      <c r="D8" s="26" t="e">
        <f>#REF!*1000</f>
        <v>#REF!</v>
      </c>
      <c r="E8" s="26" t="e">
        <f>#REF!*1000</f>
        <v>#REF!</v>
      </c>
      <c r="F8" s="26" t="e">
        <f>#REF!*1000</f>
        <v>#REF!</v>
      </c>
      <c r="G8" s="26" t="e">
        <f>#REF!*1000</f>
        <v>#REF!</v>
      </c>
      <c r="H8" s="26" t="e">
        <f>#REF!*1000</f>
        <v>#REF!</v>
      </c>
      <c r="I8" s="26" t="e">
        <f>#REF!*1000</f>
        <v>#REF!</v>
      </c>
      <c r="J8" s="26" t="e">
        <f>#REF!*1000</f>
        <v>#REF!</v>
      </c>
      <c r="K8" s="26" t="e">
        <f>#REF!*1000</f>
        <v>#REF!</v>
      </c>
      <c r="L8" s="26" t="e">
        <f>#REF!*1000</f>
        <v>#REF!</v>
      </c>
      <c r="M8" s="26" t="e">
        <f>#REF!*1000</f>
        <v>#REF!</v>
      </c>
      <c r="N8" s="26" t="e">
        <f>#REF!*1000</f>
        <v>#REF!</v>
      </c>
      <c r="O8" s="26" t="e">
        <f>#REF!*1000</f>
        <v>#REF!</v>
      </c>
      <c r="P8" s="26" t="e">
        <f>#REF!*1000</f>
        <v>#REF!</v>
      </c>
      <c r="Q8" s="26" t="e">
        <f>#REF!*1000</f>
        <v>#REF!</v>
      </c>
    </row>
    <row r="9" spans="1:17">
      <c r="A9" t="s">
        <v>54</v>
      </c>
      <c r="B9" s="26" t="e">
        <f>#REF!*1000</f>
        <v>#REF!</v>
      </c>
      <c r="C9" s="26" t="e">
        <f>#REF!*1000</f>
        <v>#REF!</v>
      </c>
      <c r="D9" s="26" t="e">
        <f>#REF!*1000</f>
        <v>#REF!</v>
      </c>
      <c r="E9" s="26" t="e">
        <f>#REF!*1000</f>
        <v>#REF!</v>
      </c>
      <c r="F9" s="26" t="e">
        <f>#REF!*1000</f>
        <v>#REF!</v>
      </c>
      <c r="G9" s="26" t="e">
        <f>#REF!*1000</f>
        <v>#REF!</v>
      </c>
      <c r="H9" s="26" t="e">
        <f>#REF!*1000</f>
        <v>#REF!</v>
      </c>
      <c r="I9" s="26" t="e">
        <f>#REF!*1000</f>
        <v>#REF!</v>
      </c>
      <c r="J9" s="26" t="e">
        <f>#REF!*1000</f>
        <v>#REF!</v>
      </c>
      <c r="K9" s="26" t="e">
        <f>#REF!*1000</f>
        <v>#REF!</v>
      </c>
      <c r="L9" s="26" t="e">
        <f>#REF!*1000</f>
        <v>#REF!</v>
      </c>
      <c r="M9" s="26" t="e">
        <f>#REF!*1000</f>
        <v>#REF!</v>
      </c>
      <c r="N9" s="26" t="e">
        <f>#REF!*1000</f>
        <v>#REF!</v>
      </c>
      <c r="O9" s="26" t="e">
        <f>#REF!*1000</f>
        <v>#REF!</v>
      </c>
      <c r="P9" s="26" t="e">
        <f>#REF!*1000</f>
        <v>#REF!</v>
      </c>
      <c r="Q9" s="26" t="e">
        <f>#REF!*1000</f>
        <v>#REF!</v>
      </c>
    </row>
    <row r="10" spans="1:17">
      <c r="A10" t="s">
        <v>55</v>
      </c>
      <c r="B10" s="27" t="e">
        <f>#REF!*1000</f>
        <v>#REF!</v>
      </c>
      <c r="C10" s="27" t="e">
        <f>#REF!*1000</f>
        <v>#REF!</v>
      </c>
      <c r="D10" s="27" t="e">
        <f>#REF!*1000</f>
        <v>#REF!</v>
      </c>
      <c r="E10" s="27" t="e">
        <f>#REF!*1000</f>
        <v>#REF!</v>
      </c>
      <c r="F10" s="27" t="e">
        <f>#REF!*1000</f>
        <v>#REF!</v>
      </c>
      <c r="G10" s="27" t="e">
        <f>#REF!*1000</f>
        <v>#REF!</v>
      </c>
      <c r="H10" s="27" t="e">
        <f>#REF!*1000</f>
        <v>#REF!</v>
      </c>
      <c r="I10" s="27" t="e">
        <f>#REF!*1000</f>
        <v>#REF!</v>
      </c>
      <c r="J10" s="27" t="e">
        <f>#REF!*1000</f>
        <v>#REF!</v>
      </c>
      <c r="K10" s="27" t="e">
        <f>#REF!*1000</f>
        <v>#REF!</v>
      </c>
      <c r="L10" s="27" t="e">
        <f>#REF!*1000</f>
        <v>#REF!</v>
      </c>
      <c r="M10" s="27" t="e">
        <f>#REF!*1000</f>
        <v>#REF!</v>
      </c>
      <c r="N10" s="27" t="e">
        <f>#REF!*1000</f>
        <v>#REF!</v>
      </c>
      <c r="O10" s="27" t="e">
        <f>#REF!*1000</f>
        <v>#REF!</v>
      </c>
      <c r="P10" s="27" t="e">
        <f>#REF!*1000</f>
        <v>#REF!</v>
      </c>
      <c r="Q10" s="27" t="e">
        <f>#REF!*1000</f>
        <v>#REF!</v>
      </c>
    </row>
    <row r="11" spans="1:17">
      <c r="A11" t="s">
        <v>56</v>
      </c>
      <c r="B11" s="28" t="e">
        <f>#REF!*1000</f>
        <v>#REF!</v>
      </c>
      <c r="C11" s="28" t="e">
        <f>#REF!*1000</f>
        <v>#REF!</v>
      </c>
      <c r="D11" s="28" t="e">
        <f>#REF!*1000</f>
        <v>#REF!</v>
      </c>
      <c r="E11" s="28" t="e">
        <f>#REF!*1000</f>
        <v>#REF!</v>
      </c>
      <c r="F11" s="28" t="e">
        <f>#REF!*1000</f>
        <v>#REF!</v>
      </c>
      <c r="G11" s="28" t="e">
        <f>#REF!*1000</f>
        <v>#REF!</v>
      </c>
      <c r="H11" s="28" t="e">
        <f>#REF!*1000</f>
        <v>#REF!</v>
      </c>
      <c r="I11" s="28" t="e">
        <f>#REF!*1000</f>
        <v>#REF!</v>
      </c>
      <c r="J11" s="28" t="e">
        <f>#REF!*1000</f>
        <v>#REF!</v>
      </c>
      <c r="K11" s="28" t="e">
        <f>#REF!*1000</f>
        <v>#REF!</v>
      </c>
      <c r="L11" s="28" t="e">
        <f>#REF!*1000</f>
        <v>#REF!</v>
      </c>
      <c r="M11" s="28" t="e">
        <f>#REF!*1000</f>
        <v>#REF!</v>
      </c>
      <c r="N11" s="28" t="e">
        <f>#REF!*1000</f>
        <v>#REF!</v>
      </c>
      <c r="O11" s="28" t="e">
        <f>#REF!*1000</f>
        <v>#REF!</v>
      </c>
      <c r="P11" s="28" t="e">
        <f>#REF!*1000</f>
        <v>#REF!</v>
      </c>
      <c r="Q11" s="28" t="e">
        <f>#REF!*1000</f>
        <v>#REF!</v>
      </c>
    </row>
    <row r="12" spans="1:17">
      <c r="A12" t="s">
        <v>57</v>
      </c>
      <c r="B12" s="29" t="e">
        <f>#REF!*1000</f>
        <v>#REF!</v>
      </c>
      <c r="C12" s="29" t="e">
        <f>#REF!*1000</f>
        <v>#REF!</v>
      </c>
      <c r="D12" s="29" t="e">
        <f>#REF!*1000</f>
        <v>#REF!</v>
      </c>
      <c r="E12" s="29" t="e">
        <f>#REF!*1000</f>
        <v>#REF!</v>
      </c>
      <c r="F12" s="29" t="e">
        <f>#REF!*1000</f>
        <v>#REF!</v>
      </c>
      <c r="G12" s="29" t="e">
        <f>#REF!*1000</f>
        <v>#REF!</v>
      </c>
      <c r="H12" s="29" t="e">
        <f>#REF!*1000</f>
        <v>#REF!</v>
      </c>
      <c r="I12" s="29" t="e">
        <f>#REF!*1000</f>
        <v>#REF!</v>
      </c>
      <c r="J12" s="29" t="e">
        <f>#REF!*1000</f>
        <v>#REF!</v>
      </c>
      <c r="K12" s="29" t="e">
        <f>#REF!*1000</f>
        <v>#REF!</v>
      </c>
      <c r="L12" s="29" t="e">
        <f>#REF!*1000</f>
        <v>#REF!</v>
      </c>
      <c r="M12" s="29" t="e">
        <f>#REF!*1000</f>
        <v>#REF!</v>
      </c>
      <c r="N12" s="29" t="e">
        <f>#REF!*1000</f>
        <v>#REF!</v>
      </c>
      <c r="O12" s="29" t="e">
        <f>#REF!*1000</f>
        <v>#REF!</v>
      </c>
      <c r="P12" s="29" t="e">
        <f>#REF!*1000</f>
        <v>#REF!</v>
      </c>
      <c r="Q12" s="29" t="e">
        <f>#REF!*1000</f>
        <v>#REF!</v>
      </c>
    </row>
    <row r="13" spans="1:17">
      <c r="A13" t="s">
        <v>58</v>
      </c>
      <c r="B13" s="29" t="e">
        <f>#REF!*1000</f>
        <v>#REF!</v>
      </c>
      <c r="C13" s="29" t="e">
        <f>#REF!*1000</f>
        <v>#REF!</v>
      </c>
      <c r="D13" s="29" t="e">
        <f>#REF!*1000</f>
        <v>#REF!</v>
      </c>
      <c r="E13" s="29" t="e">
        <f>#REF!*1000</f>
        <v>#REF!</v>
      </c>
      <c r="F13" s="29" t="e">
        <f>#REF!*1000</f>
        <v>#REF!</v>
      </c>
      <c r="G13" s="29" t="e">
        <f>#REF!*1000</f>
        <v>#REF!</v>
      </c>
      <c r="H13" s="29" t="e">
        <f>#REF!*1000</f>
        <v>#REF!</v>
      </c>
      <c r="I13" s="29" t="e">
        <f>#REF!*1000</f>
        <v>#REF!</v>
      </c>
      <c r="J13" s="29" t="e">
        <f>#REF!*1000</f>
        <v>#REF!</v>
      </c>
      <c r="K13" s="29" t="e">
        <f>#REF!*1000</f>
        <v>#REF!</v>
      </c>
      <c r="L13" s="29" t="e">
        <f>#REF!*1000</f>
        <v>#REF!</v>
      </c>
      <c r="M13" s="29" t="e">
        <f>#REF!*1000</f>
        <v>#REF!</v>
      </c>
      <c r="N13" s="29" t="e">
        <f>#REF!*1000</f>
        <v>#REF!</v>
      </c>
      <c r="O13" s="29" t="e">
        <f>#REF!*1000</f>
        <v>#REF!</v>
      </c>
      <c r="P13" s="29" t="e">
        <f>#REF!*1000</f>
        <v>#REF!</v>
      </c>
      <c r="Q13" s="29" t="e">
        <f>#REF!*1000</f>
        <v>#REF!</v>
      </c>
    </row>
    <row r="14" spans="1:17">
      <c r="A14" t="s">
        <v>59</v>
      </c>
      <c r="B14" s="29" t="e">
        <f>#REF!*1000</f>
        <v>#REF!</v>
      </c>
      <c r="C14" s="29" t="e">
        <f>#REF!*1000</f>
        <v>#REF!</v>
      </c>
      <c r="D14" s="29" t="e">
        <f>#REF!*1000</f>
        <v>#REF!</v>
      </c>
      <c r="E14" s="29" t="e">
        <f>#REF!*1000</f>
        <v>#REF!</v>
      </c>
      <c r="F14" s="29" t="e">
        <f>#REF!*1000</f>
        <v>#REF!</v>
      </c>
      <c r="G14" s="29" t="e">
        <f>#REF!*1000</f>
        <v>#REF!</v>
      </c>
      <c r="H14" s="29" t="e">
        <f>#REF!*1000</f>
        <v>#REF!</v>
      </c>
      <c r="I14" s="29" t="e">
        <f>#REF!*1000</f>
        <v>#REF!</v>
      </c>
      <c r="J14" s="29" t="e">
        <f>#REF!*1000</f>
        <v>#REF!</v>
      </c>
      <c r="K14" s="29" t="e">
        <f>#REF!*1000</f>
        <v>#REF!</v>
      </c>
      <c r="L14" s="29" t="e">
        <f>#REF!*1000</f>
        <v>#REF!</v>
      </c>
      <c r="M14" s="29" t="e">
        <f>#REF!*1000</f>
        <v>#REF!</v>
      </c>
      <c r="N14" s="29" t="e">
        <f>#REF!*1000</f>
        <v>#REF!</v>
      </c>
      <c r="O14" s="29" t="e">
        <f>#REF!*1000</f>
        <v>#REF!</v>
      </c>
      <c r="P14" s="29" t="e">
        <f>#REF!*1000</f>
        <v>#REF!</v>
      </c>
      <c r="Q14" s="29" t="e">
        <f>#REF!*1000</f>
        <v>#REF!</v>
      </c>
    </row>
    <row r="15" spans="1:17">
      <c r="A15" t="s">
        <v>60</v>
      </c>
      <c r="B15" s="29" t="e">
        <f>#REF!*1000</f>
        <v>#REF!</v>
      </c>
      <c r="C15" s="29" t="e">
        <f>#REF!*1000</f>
        <v>#REF!</v>
      </c>
      <c r="D15" s="29" t="e">
        <f>#REF!*1000</f>
        <v>#REF!</v>
      </c>
      <c r="E15" s="29" t="e">
        <f>#REF!*1000</f>
        <v>#REF!</v>
      </c>
      <c r="F15" s="29" t="e">
        <f>#REF!*1000</f>
        <v>#REF!</v>
      </c>
      <c r="G15" s="29" t="e">
        <f>#REF!*1000</f>
        <v>#REF!</v>
      </c>
      <c r="H15" s="29" t="e">
        <f>#REF!*1000</f>
        <v>#REF!</v>
      </c>
      <c r="I15" s="29" t="e">
        <f>#REF!*1000</f>
        <v>#REF!</v>
      </c>
      <c r="J15" s="29" t="e">
        <f>#REF!*1000</f>
        <v>#REF!</v>
      </c>
      <c r="K15" s="29" t="e">
        <f>#REF!*1000</f>
        <v>#REF!</v>
      </c>
      <c r="L15" s="29" t="e">
        <f>#REF!*1000</f>
        <v>#REF!</v>
      </c>
      <c r="M15" s="29" t="e">
        <f>#REF!*1000</f>
        <v>#REF!</v>
      </c>
      <c r="N15" s="29" t="e">
        <f>#REF!*1000</f>
        <v>#REF!</v>
      </c>
      <c r="O15" s="29" t="e">
        <f>#REF!*1000</f>
        <v>#REF!</v>
      </c>
      <c r="P15" s="29" t="e">
        <f>#REF!*1000</f>
        <v>#REF!</v>
      </c>
      <c r="Q15" s="29" t="e">
        <f>#REF!*1000</f>
        <v>#REF!</v>
      </c>
    </row>
    <row r="16" spans="1:17">
      <c r="A16" t="s">
        <v>61</v>
      </c>
      <c r="B16" t="e">
        <f>#REF!*1000</f>
        <v>#REF!</v>
      </c>
      <c r="C16" t="e">
        <f>#REF!*1000</f>
        <v>#REF!</v>
      </c>
      <c r="D16" t="e">
        <f>#REF!*1000</f>
        <v>#REF!</v>
      </c>
      <c r="E16" t="e">
        <f>#REF!*1000</f>
        <v>#REF!</v>
      </c>
      <c r="F16" t="e">
        <f>#REF!*1000</f>
        <v>#REF!</v>
      </c>
      <c r="G16" t="e">
        <f>#REF!*1000</f>
        <v>#REF!</v>
      </c>
      <c r="H16" t="e">
        <f>#REF!*1000</f>
        <v>#REF!</v>
      </c>
      <c r="I16" t="e">
        <f>#REF!*1000</f>
        <v>#REF!</v>
      </c>
      <c r="J16" t="e">
        <f>#REF!*1000</f>
        <v>#REF!</v>
      </c>
      <c r="K16" t="e">
        <f>#REF!*1000</f>
        <v>#REF!</v>
      </c>
      <c r="L16" t="e">
        <f>#REF!*1000</f>
        <v>#REF!</v>
      </c>
      <c r="M16" t="e">
        <f>#REF!*1000</f>
        <v>#REF!</v>
      </c>
      <c r="N16" t="e">
        <f>#REF!*1000</f>
        <v>#REF!</v>
      </c>
      <c r="O16" t="e">
        <f>#REF!*1000</f>
        <v>#REF!</v>
      </c>
      <c r="P16" t="e">
        <f>#REF!*1000</f>
        <v>#REF!</v>
      </c>
      <c r="Q16" t="e">
        <f>#REF!*1000</f>
        <v>#REF!</v>
      </c>
    </row>
    <row r="17" spans="1:17">
      <c r="A17" t="s">
        <v>62</v>
      </c>
      <c r="B17" s="30" t="e">
        <f>#REF!*1000</f>
        <v>#REF!</v>
      </c>
      <c r="C17" s="30" t="e">
        <f>#REF!*1000</f>
        <v>#REF!</v>
      </c>
      <c r="D17" s="30" t="e">
        <f>#REF!*1000</f>
        <v>#REF!</v>
      </c>
      <c r="E17" s="30" t="e">
        <f>#REF!*1000</f>
        <v>#REF!</v>
      </c>
      <c r="F17" s="30" t="e">
        <f>#REF!*1000</f>
        <v>#REF!</v>
      </c>
      <c r="G17" s="30" t="e">
        <f>#REF!*1000</f>
        <v>#REF!</v>
      </c>
      <c r="H17" s="30" t="e">
        <f>#REF!*1000</f>
        <v>#REF!</v>
      </c>
      <c r="I17" s="30" t="e">
        <f>#REF!*1000</f>
        <v>#REF!</v>
      </c>
      <c r="J17" s="30" t="e">
        <f>#REF!*1000</f>
        <v>#REF!</v>
      </c>
      <c r="K17" s="30" t="e">
        <f>#REF!*1000</f>
        <v>#REF!</v>
      </c>
      <c r="L17" s="30" t="e">
        <f>#REF!*1000</f>
        <v>#REF!</v>
      </c>
      <c r="M17" s="30" t="e">
        <f>#REF!*1000</f>
        <v>#REF!</v>
      </c>
      <c r="N17" s="30" t="e">
        <f>#REF!*1000</f>
        <v>#REF!</v>
      </c>
      <c r="O17" s="30" t="e">
        <f>#REF!*1000</f>
        <v>#REF!</v>
      </c>
      <c r="P17" s="30" t="e">
        <f>#REF!*1000</f>
        <v>#REF!</v>
      </c>
      <c r="Q17" s="30" t="e">
        <f>#REF!*1000</f>
        <v>#REF!</v>
      </c>
    </row>
    <row r="18" spans="1:17">
      <c r="A18" t="s">
        <v>63</v>
      </c>
      <c r="B18" s="30" t="e">
        <f>#REF!*1000</f>
        <v>#REF!</v>
      </c>
      <c r="C18" s="30" t="e">
        <f>#REF!*1000</f>
        <v>#REF!</v>
      </c>
      <c r="D18" s="30" t="e">
        <f>#REF!*1000</f>
        <v>#REF!</v>
      </c>
      <c r="E18" s="30" t="e">
        <f>#REF!*1000</f>
        <v>#REF!</v>
      </c>
      <c r="F18" s="30" t="e">
        <f>#REF!*1000</f>
        <v>#REF!</v>
      </c>
      <c r="G18" s="30" t="e">
        <f>#REF!*1000</f>
        <v>#REF!</v>
      </c>
      <c r="H18" s="30" t="e">
        <f>#REF!*1000</f>
        <v>#REF!</v>
      </c>
      <c r="I18" s="30" t="e">
        <f>#REF!*1000</f>
        <v>#REF!</v>
      </c>
      <c r="J18" s="30" t="e">
        <f>#REF!*1000</f>
        <v>#REF!</v>
      </c>
      <c r="K18" s="30" t="e">
        <f>#REF!*1000</f>
        <v>#REF!</v>
      </c>
      <c r="L18" s="30" t="e">
        <f>#REF!*1000</f>
        <v>#REF!</v>
      </c>
      <c r="M18" s="30" t="e">
        <f>#REF!*1000</f>
        <v>#REF!</v>
      </c>
      <c r="N18" s="30" t="e">
        <f>#REF!*1000</f>
        <v>#REF!</v>
      </c>
      <c r="O18" s="30" t="e">
        <f>#REF!*1000</f>
        <v>#REF!</v>
      </c>
      <c r="P18" s="30" t="e">
        <f>#REF!*1000</f>
        <v>#REF!</v>
      </c>
      <c r="Q18" s="30" t="e">
        <f>#REF!*1000</f>
        <v>#REF!</v>
      </c>
    </row>
    <row r="19" spans="1:17">
      <c r="A19" t="s">
        <v>64</v>
      </c>
      <c r="B19" s="29" t="e">
        <f>#REF!*1000</f>
        <v>#REF!</v>
      </c>
      <c r="C19" s="29" t="e">
        <f>#REF!*1000</f>
        <v>#REF!</v>
      </c>
      <c r="D19" s="29" t="e">
        <f>#REF!*1000</f>
        <v>#REF!</v>
      </c>
      <c r="E19" s="29" t="e">
        <f>#REF!*1000</f>
        <v>#REF!</v>
      </c>
      <c r="F19" s="29" t="e">
        <f>#REF!*1000</f>
        <v>#REF!</v>
      </c>
      <c r="G19" s="29" t="e">
        <f>#REF!*1000</f>
        <v>#REF!</v>
      </c>
      <c r="H19" s="29" t="e">
        <f>#REF!*1000</f>
        <v>#REF!</v>
      </c>
      <c r="I19" s="29" t="e">
        <f>#REF!*1000</f>
        <v>#REF!</v>
      </c>
      <c r="J19" s="29" t="e">
        <f>#REF!*1000</f>
        <v>#REF!</v>
      </c>
      <c r="K19" s="29" t="e">
        <f>#REF!*1000</f>
        <v>#REF!</v>
      </c>
      <c r="L19" s="29" t="e">
        <f>#REF!*1000</f>
        <v>#REF!</v>
      </c>
      <c r="M19" s="29" t="e">
        <f>#REF!*1000</f>
        <v>#REF!</v>
      </c>
      <c r="N19" s="29" t="e">
        <f>#REF!*1000</f>
        <v>#REF!</v>
      </c>
      <c r="O19" s="29" t="e">
        <f>#REF!*1000</f>
        <v>#REF!</v>
      </c>
      <c r="P19" s="29" t="e">
        <f>#REF!*1000</f>
        <v>#REF!</v>
      </c>
      <c r="Q19" s="29" t="e">
        <f>#REF!*1000</f>
        <v>#REF!</v>
      </c>
    </row>
    <row r="20" spans="1:17">
      <c r="A20" t="s">
        <v>19</v>
      </c>
      <c r="B20" s="29" t="e">
        <f>#REF!*1000</f>
        <v>#REF!</v>
      </c>
      <c r="C20" s="29" t="e">
        <f>#REF!*1000</f>
        <v>#REF!</v>
      </c>
      <c r="D20" s="29" t="e">
        <f>#REF!*1000</f>
        <v>#REF!</v>
      </c>
      <c r="E20" s="29" t="e">
        <f>#REF!*1000</f>
        <v>#REF!</v>
      </c>
      <c r="F20" s="29" t="e">
        <f>#REF!*1000</f>
        <v>#REF!</v>
      </c>
      <c r="G20" s="29" t="e">
        <f>#REF!*1000</f>
        <v>#REF!</v>
      </c>
      <c r="H20" s="29" t="e">
        <f>#REF!*1000</f>
        <v>#REF!</v>
      </c>
      <c r="I20" s="29" t="e">
        <f>#REF!*1000</f>
        <v>#REF!</v>
      </c>
      <c r="J20" s="29" t="e">
        <f>#REF!*1000</f>
        <v>#REF!</v>
      </c>
      <c r="K20" s="29" t="e">
        <f>#REF!*1000</f>
        <v>#REF!</v>
      </c>
      <c r="L20" s="29" t="e">
        <f>#REF!*1000</f>
        <v>#REF!</v>
      </c>
      <c r="M20" s="29" t="e">
        <f>#REF!*1000</f>
        <v>#REF!</v>
      </c>
      <c r="N20" s="29" t="e">
        <f>#REF!*1000</f>
        <v>#REF!</v>
      </c>
      <c r="O20" s="29" t="e">
        <f>#REF!*1000</f>
        <v>#REF!</v>
      </c>
      <c r="P20" s="29" t="e">
        <f>#REF!*1000</f>
        <v>#REF!</v>
      </c>
      <c r="Q20" s="29" t="e">
        <f>#REF!*1000</f>
        <v>#REF!</v>
      </c>
    </row>
    <row r="21" spans="1:17">
      <c r="A21" t="s">
        <v>65</v>
      </c>
      <c r="B21" s="29" t="e">
        <f>#REF!*1000</f>
        <v>#REF!</v>
      </c>
      <c r="C21" s="29" t="e">
        <f>#REF!*1000</f>
        <v>#REF!</v>
      </c>
      <c r="D21" s="29" t="e">
        <f>#REF!*1000</f>
        <v>#REF!</v>
      </c>
      <c r="E21" s="29" t="e">
        <f>#REF!*1000</f>
        <v>#REF!</v>
      </c>
      <c r="F21" s="29" t="e">
        <f>#REF!*1000</f>
        <v>#REF!</v>
      </c>
      <c r="G21" s="29" t="e">
        <f>#REF!*1000</f>
        <v>#REF!</v>
      </c>
      <c r="H21" s="29" t="e">
        <f>#REF!*1000</f>
        <v>#REF!</v>
      </c>
      <c r="I21" s="29" t="e">
        <f>#REF!*1000</f>
        <v>#REF!</v>
      </c>
      <c r="J21" s="29" t="e">
        <f>#REF!*1000</f>
        <v>#REF!</v>
      </c>
      <c r="K21" s="29" t="e">
        <f>#REF!*1000</f>
        <v>#REF!</v>
      </c>
      <c r="L21" s="29" t="e">
        <f>#REF!*1000</f>
        <v>#REF!</v>
      </c>
      <c r="M21" s="29" t="e">
        <f>#REF!*1000</f>
        <v>#REF!</v>
      </c>
      <c r="N21" s="29" t="e">
        <f>#REF!*1000</f>
        <v>#REF!</v>
      </c>
      <c r="O21" s="29" t="e">
        <f>#REF!*1000</f>
        <v>#REF!</v>
      </c>
      <c r="P21" s="29" t="e">
        <f>#REF!*1000</f>
        <v>#REF!</v>
      </c>
      <c r="Q21" s="29" t="e">
        <f>#REF!*1000</f>
        <v>#REF!</v>
      </c>
    </row>
    <row r="22" spans="1:17">
      <c r="A22" t="s">
        <v>66</v>
      </c>
      <c r="B22" s="29" t="e">
        <f>#REF!*1000</f>
        <v>#REF!</v>
      </c>
      <c r="C22" s="29" t="e">
        <f>#REF!*1000</f>
        <v>#REF!</v>
      </c>
      <c r="D22" s="29" t="e">
        <f>#REF!*1000</f>
        <v>#REF!</v>
      </c>
      <c r="E22" s="29" t="e">
        <f>#REF!*1000</f>
        <v>#REF!</v>
      </c>
      <c r="F22" s="29" t="e">
        <f>#REF!*1000</f>
        <v>#REF!</v>
      </c>
      <c r="G22" s="29" t="e">
        <f>#REF!*1000</f>
        <v>#REF!</v>
      </c>
      <c r="H22" s="29" t="e">
        <f>#REF!*1000</f>
        <v>#REF!</v>
      </c>
      <c r="I22" s="29" t="e">
        <f>#REF!*1000</f>
        <v>#REF!</v>
      </c>
      <c r="J22" s="29" t="e">
        <f>#REF!*1000</f>
        <v>#REF!</v>
      </c>
      <c r="K22" s="29" t="e">
        <f>#REF!*1000</f>
        <v>#REF!</v>
      </c>
      <c r="L22" s="29" t="e">
        <f>#REF!*1000</f>
        <v>#REF!</v>
      </c>
      <c r="M22" s="29" t="e">
        <f>#REF!*1000</f>
        <v>#REF!</v>
      </c>
      <c r="N22" s="29" t="e">
        <f>#REF!*1000</f>
        <v>#REF!</v>
      </c>
      <c r="O22" s="29" t="e">
        <f>#REF!*1000</f>
        <v>#REF!</v>
      </c>
      <c r="P22" s="29" t="e">
        <f>#REF!*1000</f>
        <v>#REF!</v>
      </c>
      <c r="Q22" s="29" t="e">
        <f>#REF!*1000</f>
        <v>#REF!</v>
      </c>
    </row>
    <row r="23" spans="1:17">
      <c r="A23" t="s">
        <v>23</v>
      </c>
      <c r="B23">
        <v>12</v>
      </c>
      <c r="C23">
        <v>12</v>
      </c>
      <c r="D23">
        <v>12</v>
      </c>
      <c r="E23">
        <v>12</v>
      </c>
      <c r="F23">
        <v>12</v>
      </c>
      <c r="G23">
        <v>12</v>
      </c>
      <c r="H23">
        <v>12</v>
      </c>
      <c r="I23">
        <v>12</v>
      </c>
      <c r="J23">
        <v>12</v>
      </c>
      <c r="K23">
        <v>12</v>
      </c>
      <c r="L23">
        <v>12</v>
      </c>
      <c r="M23">
        <v>12</v>
      </c>
      <c r="N23">
        <v>12</v>
      </c>
      <c r="O23">
        <v>12</v>
      </c>
      <c r="P23">
        <v>12</v>
      </c>
      <c r="Q23">
        <v>12</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56740-B85A-481B-B4B5-CD9A0F12B6EF}">
  <sheetPr>
    <pageSetUpPr autoPageBreaks="0"/>
  </sheetPr>
  <dimension ref="A1:R21"/>
  <sheetViews>
    <sheetView workbookViewId="0">
      <selection activeCell="A24" sqref="A24:XFD24"/>
    </sheetView>
  </sheetViews>
  <sheetFormatPr defaultRowHeight="13.2"/>
  <cols>
    <col min="1" max="1" width="22.6640625" customWidth="1"/>
    <col min="2" max="2" width="11.6640625" bestFit="1" customWidth="1"/>
  </cols>
  <sheetData>
    <row r="1" spans="1:18">
      <c r="A1" t="s">
        <v>67</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8">
      <c r="A2" t="e">
        <f>SUBSTITUTE(#REF!," ","")</f>
        <v>#REF!</v>
      </c>
      <c r="B2" t="e">
        <f>#REF!*1000</f>
        <v>#REF!</v>
      </c>
      <c r="C2" t="e">
        <f>#REF!</f>
        <v>#REF!</v>
      </c>
      <c r="D2" t="e">
        <f>#REF!</f>
        <v>#REF!</v>
      </c>
      <c r="E2" t="e">
        <f>#REF!</f>
        <v>#REF!</v>
      </c>
      <c r="F2" t="e">
        <f>#REF!</f>
        <v>#REF!</v>
      </c>
      <c r="G2" t="e">
        <f>#REF!</f>
        <v>#REF!</v>
      </c>
      <c r="H2" t="e">
        <f>#REF!</f>
        <v>#REF!</v>
      </c>
      <c r="I2" t="e">
        <f>#REF!</f>
        <v>#REF!</v>
      </c>
      <c r="J2" t="e">
        <f>#REF!</f>
        <v>#REF!</v>
      </c>
      <c r="K2" t="e">
        <f>#REF!</f>
        <v>#REF!</v>
      </c>
      <c r="L2" t="e">
        <f>#REF!</f>
        <v>#REF!</v>
      </c>
      <c r="M2" t="e">
        <f>#REF!</f>
        <v>#REF!</v>
      </c>
      <c r="N2" t="e">
        <f>#REF!</f>
        <v>#REF!</v>
      </c>
      <c r="O2" t="e">
        <f>#REF!</f>
        <v>#REF!</v>
      </c>
      <c r="P2" t="e">
        <f>#REF!</f>
        <v>#REF!</v>
      </c>
      <c r="Q2" t="e">
        <f>#REF!</f>
        <v>#REF!</v>
      </c>
    </row>
    <row r="3" spans="1:18">
      <c r="A3" t="e">
        <f>SUBSTITUTE(#REF!," ","")</f>
        <v>#REF!</v>
      </c>
      <c r="B3" t="e">
        <f>#REF!*1000</f>
        <v>#REF!</v>
      </c>
      <c r="C3" t="e">
        <f>#REF!</f>
        <v>#REF!</v>
      </c>
      <c r="D3" t="e">
        <f>#REF!</f>
        <v>#REF!</v>
      </c>
      <c r="E3" t="e">
        <f>#REF!</f>
        <v>#REF!</v>
      </c>
      <c r="F3" t="e">
        <f>#REF!</f>
        <v>#REF!</v>
      </c>
      <c r="G3" t="e">
        <f>#REF!</f>
        <v>#REF!</v>
      </c>
      <c r="H3" t="e">
        <f>#REF!</f>
        <v>#REF!</v>
      </c>
      <c r="I3" t="e">
        <f>#REF!</f>
        <v>#REF!</v>
      </c>
      <c r="J3" t="e">
        <f>#REF!</f>
        <v>#REF!</v>
      </c>
      <c r="K3" t="e">
        <f>#REF!</f>
        <v>#REF!</v>
      </c>
      <c r="L3" t="e">
        <f>#REF!</f>
        <v>#REF!</v>
      </c>
      <c r="M3" t="e">
        <f>#REF!</f>
        <v>#REF!</v>
      </c>
      <c r="N3" t="e">
        <f>#REF!</f>
        <v>#REF!</v>
      </c>
      <c r="O3" t="e">
        <f>#REF!</f>
        <v>#REF!</v>
      </c>
      <c r="P3" t="e">
        <f>#REF!</f>
        <v>#REF!</v>
      </c>
      <c r="Q3" t="e">
        <f>#REF!</f>
        <v>#REF!</v>
      </c>
    </row>
    <row r="4" spans="1:18">
      <c r="A4" t="e">
        <f>SUBSTITUTE(#REF!," ","")</f>
        <v>#REF!</v>
      </c>
      <c r="B4" t="e">
        <f>#REF!*1000</f>
        <v>#REF!</v>
      </c>
      <c r="C4" t="e">
        <f>#REF!</f>
        <v>#REF!</v>
      </c>
      <c r="D4" t="e">
        <f>#REF!</f>
        <v>#REF!</v>
      </c>
      <c r="E4" t="e">
        <f>#REF!</f>
        <v>#REF!</v>
      </c>
      <c r="F4" t="e">
        <f>#REF!</f>
        <v>#REF!</v>
      </c>
      <c r="G4" t="e">
        <f>#REF!</f>
        <v>#REF!</v>
      </c>
      <c r="H4" t="e">
        <f>#REF!</f>
        <v>#REF!</v>
      </c>
      <c r="I4" t="e">
        <f>#REF!</f>
        <v>#REF!</v>
      </c>
      <c r="J4" t="e">
        <f>#REF!</f>
        <v>#REF!</v>
      </c>
      <c r="K4" t="e">
        <f>#REF!</f>
        <v>#REF!</v>
      </c>
      <c r="L4" t="e">
        <f>#REF!</f>
        <v>#REF!</v>
      </c>
      <c r="M4" t="e">
        <f>#REF!</f>
        <v>#REF!</v>
      </c>
      <c r="N4" t="e">
        <f>#REF!</f>
        <v>#REF!</v>
      </c>
      <c r="O4" t="e">
        <f>#REF!</f>
        <v>#REF!</v>
      </c>
      <c r="P4" t="e">
        <f>#REF!</f>
        <v>#REF!</v>
      </c>
      <c r="Q4" t="e">
        <f>#REF!</f>
        <v>#REF!</v>
      </c>
    </row>
    <row r="5" spans="1:18">
      <c r="A5" t="e">
        <f>SUBSTITUTE(#REF!," ","")</f>
        <v>#REF!</v>
      </c>
      <c r="B5" t="e">
        <f>#REF!*1000</f>
        <v>#REF!</v>
      </c>
      <c r="C5" t="e">
        <f>#REF!</f>
        <v>#REF!</v>
      </c>
      <c r="D5" t="e">
        <f>#REF!</f>
        <v>#REF!</v>
      </c>
      <c r="E5" t="e">
        <f>#REF!</f>
        <v>#REF!</v>
      </c>
      <c r="F5" t="e">
        <f>#REF!</f>
        <v>#REF!</v>
      </c>
      <c r="G5" t="e">
        <f>#REF!</f>
        <v>#REF!</v>
      </c>
      <c r="H5" t="e">
        <f>#REF!</f>
        <v>#REF!</v>
      </c>
      <c r="I5" t="e">
        <f>#REF!</f>
        <v>#REF!</v>
      </c>
      <c r="J5" t="e">
        <f>#REF!</f>
        <v>#REF!</v>
      </c>
      <c r="K5" t="e">
        <f>#REF!</f>
        <v>#REF!</v>
      </c>
      <c r="L5" t="e">
        <f>#REF!</f>
        <v>#REF!</v>
      </c>
      <c r="M5" t="e">
        <f>#REF!</f>
        <v>#REF!</v>
      </c>
      <c r="N5" t="e">
        <f>#REF!</f>
        <v>#REF!</v>
      </c>
      <c r="O5" t="e">
        <f>#REF!</f>
        <v>#REF!</v>
      </c>
      <c r="P5" t="e">
        <f>#REF!</f>
        <v>#REF!</v>
      </c>
      <c r="Q5" t="e">
        <f>#REF!</f>
        <v>#REF!</v>
      </c>
    </row>
    <row r="6" spans="1:18">
      <c r="A6" t="e">
        <f>SUBSTITUTE(#REF!," ","")</f>
        <v>#REF!</v>
      </c>
      <c r="B6" t="e">
        <f>#REF!*1000</f>
        <v>#REF!</v>
      </c>
      <c r="C6" t="e">
        <f>#REF!</f>
        <v>#REF!</v>
      </c>
      <c r="D6" t="e">
        <f>#REF!</f>
        <v>#REF!</v>
      </c>
      <c r="E6" t="e">
        <f>#REF!</f>
        <v>#REF!</v>
      </c>
      <c r="F6" t="e">
        <f>#REF!</f>
        <v>#REF!</v>
      </c>
      <c r="G6" t="e">
        <f>#REF!</f>
        <v>#REF!</v>
      </c>
      <c r="H6" t="e">
        <f>#REF!</f>
        <v>#REF!</v>
      </c>
      <c r="I6" t="e">
        <f>#REF!</f>
        <v>#REF!</v>
      </c>
      <c r="J6" t="e">
        <f>#REF!</f>
        <v>#REF!</v>
      </c>
      <c r="K6" t="e">
        <f>#REF!</f>
        <v>#REF!</v>
      </c>
      <c r="L6" t="e">
        <f>#REF!</f>
        <v>#REF!</v>
      </c>
      <c r="M6" t="e">
        <f>#REF!</f>
        <v>#REF!</v>
      </c>
      <c r="N6" t="e">
        <f>#REF!</f>
        <v>#REF!</v>
      </c>
      <c r="O6" t="e">
        <f>#REF!</f>
        <v>#REF!</v>
      </c>
      <c r="P6" t="e">
        <f>#REF!</f>
        <v>#REF!</v>
      </c>
      <c r="Q6" t="e">
        <f>#REF!</f>
        <v>#REF!</v>
      </c>
    </row>
    <row r="7" spans="1:18">
      <c r="A7" t="e">
        <f>SUBSTITUTE(#REF!," ","")</f>
        <v>#REF!</v>
      </c>
      <c r="B7" t="e">
        <f>#REF!*1000</f>
        <v>#REF!</v>
      </c>
      <c r="C7" t="e">
        <f>#REF!</f>
        <v>#REF!</v>
      </c>
      <c r="D7" t="e">
        <f>#REF!</f>
        <v>#REF!</v>
      </c>
      <c r="E7" t="e">
        <f>#REF!</f>
        <v>#REF!</v>
      </c>
      <c r="F7" t="e">
        <f>#REF!</f>
        <v>#REF!</v>
      </c>
      <c r="G7" t="e">
        <f>#REF!</f>
        <v>#REF!</v>
      </c>
      <c r="H7" t="e">
        <f>#REF!</f>
        <v>#REF!</v>
      </c>
      <c r="I7" t="e">
        <f>#REF!</f>
        <v>#REF!</v>
      </c>
      <c r="J7" t="e">
        <f>#REF!</f>
        <v>#REF!</v>
      </c>
      <c r="K7" t="e">
        <f>#REF!</f>
        <v>#REF!</v>
      </c>
      <c r="L7" t="e">
        <f>#REF!</f>
        <v>#REF!</v>
      </c>
      <c r="M7" t="e">
        <f>#REF!</f>
        <v>#REF!</v>
      </c>
      <c r="N7" t="e">
        <f>#REF!</f>
        <v>#REF!</v>
      </c>
      <c r="O7" t="e">
        <f>#REF!</f>
        <v>#REF!</v>
      </c>
      <c r="P7" t="e">
        <f>#REF!</f>
        <v>#REF!</v>
      </c>
      <c r="Q7" t="e">
        <f>#REF!</f>
        <v>#REF!</v>
      </c>
    </row>
    <row r="8" spans="1:18">
      <c r="A8" t="e">
        <f>SUBSTITUTE(#REF!," ","")</f>
        <v>#REF!</v>
      </c>
      <c r="B8" t="e">
        <f>#REF!*1000</f>
        <v>#REF!</v>
      </c>
      <c r="C8" t="e">
        <f>#REF!</f>
        <v>#REF!</v>
      </c>
      <c r="D8" t="e">
        <f>#REF!</f>
        <v>#REF!</v>
      </c>
      <c r="E8" t="e">
        <f>#REF!</f>
        <v>#REF!</v>
      </c>
      <c r="F8" t="e">
        <f>#REF!</f>
        <v>#REF!</v>
      </c>
      <c r="G8" t="e">
        <f>#REF!</f>
        <v>#REF!</v>
      </c>
      <c r="H8" t="e">
        <f>#REF!</f>
        <v>#REF!</v>
      </c>
      <c r="I8" t="e">
        <f>#REF!</f>
        <v>#REF!</v>
      </c>
      <c r="J8" t="e">
        <f>#REF!</f>
        <v>#REF!</v>
      </c>
      <c r="K8" t="e">
        <f>#REF!</f>
        <v>#REF!</v>
      </c>
      <c r="L8" t="e">
        <f>#REF!</f>
        <v>#REF!</v>
      </c>
      <c r="M8" t="e">
        <f>#REF!</f>
        <v>#REF!</v>
      </c>
      <c r="N8" t="e">
        <f>#REF!</f>
        <v>#REF!</v>
      </c>
      <c r="O8" t="e">
        <f>#REF!</f>
        <v>#REF!</v>
      </c>
      <c r="P8" t="e">
        <f>#REF!</f>
        <v>#REF!</v>
      </c>
      <c r="Q8" t="e">
        <f>#REF!</f>
        <v>#REF!</v>
      </c>
    </row>
    <row r="9" spans="1:18">
      <c r="A9" t="e">
        <f>SUBSTITUTE(#REF!," ","")</f>
        <v>#REF!</v>
      </c>
      <c r="B9" t="e">
        <f>#REF!*1000</f>
        <v>#REF!</v>
      </c>
      <c r="C9" t="e">
        <f>#REF!</f>
        <v>#REF!</v>
      </c>
      <c r="D9" t="e">
        <f>#REF!</f>
        <v>#REF!</v>
      </c>
      <c r="E9" t="e">
        <f>#REF!</f>
        <v>#REF!</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row>
    <row r="10" spans="1:18">
      <c r="A10" t="e">
        <f>#REF!</f>
        <v>#REF!</v>
      </c>
      <c r="B10" t="e">
        <f>#REF!*1000</f>
        <v>#REF!</v>
      </c>
      <c r="C10" t="e">
        <f>#REF!</f>
        <v>#REF!</v>
      </c>
      <c r="D10" t="e">
        <f>#REF!</f>
        <v>#REF!</v>
      </c>
      <c r="E10" t="e">
        <f>#REF!</f>
        <v>#REF!</v>
      </c>
      <c r="F10" t="e">
        <f>#REF!</f>
        <v>#REF!</v>
      </c>
      <c r="G10" t="e">
        <f>#REF!</f>
        <v>#REF!</v>
      </c>
      <c r="H10" t="e">
        <f>#REF!</f>
        <v>#REF!</v>
      </c>
      <c r="I10" t="e">
        <f>#REF!</f>
        <v>#REF!</v>
      </c>
      <c r="J10" t="e">
        <f>#REF!</f>
        <v>#REF!</v>
      </c>
      <c r="K10" t="e">
        <f>#REF!</f>
        <v>#REF!</v>
      </c>
      <c r="L10" t="e">
        <f>#REF!</f>
        <v>#REF!</v>
      </c>
      <c r="M10" t="e">
        <f>#REF!</f>
        <v>#REF!</v>
      </c>
      <c r="N10" t="e">
        <f>#REF!</f>
        <v>#REF!</v>
      </c>
      <c r="O10" t="e">
        <f>#REF!</f>
        <v>#REF!</v>
      </c>
      <c r="P10" t="e">
        <f>#REF!</f>
        <v>#REF!</v>
      </c>
      <c r="Q10" t="e">
        <f>#REF!</f>
        <v>#REF!</v>
      </c>
    </row>
    <row r="11" spans="1:18">
      <c r="A11" t="e">
        <f>SUBSTITUTE(#REF!," ","")</f>
        <v>#REF!</v>
      </c>
      <c r="B11" t="e">
        <f>#REF!*1000</f>
        <v>#REF!</v>
      </c>
      <c r="C11" t="e">
        <f>#REF!</f>
        <v>#REF!</v>
      </c>
      <c r="D11" t="e">
        <f>#REF!</f>
        <v>#REF!</v>
      </c>
      <c r="E11" t="e">
        <f>#REF!</f>
        <v>#REF!</v>
      </c>
      <c r="F11" t="e">
        <f>#REF!</f>
        <v>#REF!</v>
      </c>
      <c r="G11" t="e">
        <f>#REF!</f>
        <v>#REF!</v>
      </c>
      <c r="H11" t="e">
        <f>#REF!</f>
        <v>#REF!</v>
      </c>
      <c r="I11" t="e">
        <f>#REF!</f>
        <v>#REF!</v>
      </c>
      <c r="J11" t="e">
        <f>#REF!</f>
        <v>#REF!</v>
      </c>
      <c r="K11" t="e">
        <f>#REF!</f>
        <v>#REF!</v>
      </c>
      <c r="L11" t="e">
        <f>#REF!</f>
        <v>#REF!</v>
      </c>
      <c r="M11" t="e">
        <f>#REF!</f>
        <v>#REF!</v>
      </c>
      <c r="N11" t="e">
        <f>#REF!</f>
        <v>#REF!</v>
      </c>
      <c r="O11" t="e">
        <f>#REF!</f>
        <v>#REF!</v>
      </c>
      <c r="P11" t="e">
        <f>#REF!</f>
        <v>#REF!</v>
      </c>
      <c r="Q11" t="e">
        <f>#REF!</f>
        <v>#REF!</v>
      </c>
    </row>
    <row r="12" spans="1:18">
      <c r="A12" t="e">
        <f>SUBSTITUTE(#REF!," ","")</f>
        <v>#REF!</v>
      </c>
      <c r="B12" t="e">
        <f>#REF!*1000</f>
        <v>#REF!</v>
      </c>
      <c r="C12" t="e">
        <f>#REF!</f>
        <v>#REF!</v>
      </c>
      <c r="D12" t="e">
        <f>#REF!</f>
        <v>#REF!</v>
      </c>
      <c r="E12" t="e">
        <f>#REF!</f>
        <v>#REF!</v>
      </c>
      <c r="F12" t="e">
        <f>#REF!</f>
        <v>#REF!</v>
      </c>
      <c r="G12" t="e">
        <f>#REF!</f>
        <v>#REF!</v>
      </c>
      <c r="H12" t="e">
        <f>#REF!</f>
        <v>#REF!</v>
      </c>
      <c r="I12" t="e">
        <f>#REF!</f>
        <v>#REF!</v>
      </c>
      <c r="J12" t="e">
        <f>#REF!</f>
        <v>#REF!</v>
      </c>
      <c r="K12" t="e">
        <f>#REF!</f>
        <v>#REF!</v>
      </c>
      <c r="L12" t="e">
        <f>#REF!</f>
        <v>#REF!</v>
      </c>
      <c r="M12" t="e">
        <f>#REF!</f>
        <v>#REF!</v>
      </c>
      <c r="N12" t="e">
        <f>#REF!</f>
        <v>#REF!</v>
      </c>
      <c r="O12" t="e">
        <f>#REF!</f>
        <v>#REF!</v>
      </c>
      <c r="P12" t="e">
        <f>#REF!</f>
        <v>#REF!</v>
      </c>
      <c r="Q12" t="e">
        <f>#REF!</f>
        <v>#REF!</v>
      </c>
    </row>
    <row r="13" spans="1:18">
      <c r="A13" t="e">
        <f>SUBSTITUTE(#REF!," ","")</f>
        <v>#REF!</v>
      </c>
      <c r="B13" t="e">
        <f>#REF!*1000</f>
        <v>#REF!</v>
      </c>
      <c r="C13" t="e">
        <f>#REF!</f>
        <v>#REF!</v>
      </c>
      <c r="D13" t="e">
        <f>#REF!</f>
        <v>#REF!</v>
      </c>
      <c r="E13" t="e">
        <f>#REF!</f>
        <v>#REF!</v>
      </c>
      <c r="F13" t="e">
        <f>#REF!</f>
        <v>#REF!</v>
      </c>
      <c r="G13" t="e">
        <f>#REF!</f>
        <v>#REF!</v>
      </c>
      <c r="H13" t="e">
        <f>#REF!</f>
        <v>#REF!</v>
      </c>
      <c r="I13" t="e">
        <f>#REF!</f>
        <v>#REF!</v>
      </c>
      <c r="J13" t="e">
        <f>#REF!</f>
        <v>#REF!</v>
      </c>
      <c r="K13" t="e">
        <f>#REF!</f>
        <v>#REF!</v>
      </c>
      <c r="L13" t="e">
        <f>#REF!</f>
        <v>#REF!</v>
      </c>
      <c r="M13" t="e">
        <f>#REF!</f>
        <v>#REF!</v>
      </c>
      <c r="N13" t="e">
        <f>#REF!</f>
        <v>#REF!</v>
      </c>
      <c r="O13" t="e">
        <f>#REF!</f>
        <v>#REF!</v>
      </c>
      <c r="P13" t="e">
        <f>#REF!</f>
        <v>#REF!</v>
      </c>
      <c r="Q13" t="e">
        <f>#REF!</f>
        <v>#REF!</v>
      </c>
    </row>
    <row r="14" spans="1:18">
      <c r="A14" t="e">
        <f>SUBSTITUTE(#REF!," ","")</f>
        <v>#REF!</v>
      </c>
      <c r="B14" t="e">
        <f>#REF!*1000</f>
        <v>#REF!</v>
      </c>
      <c r="C14" t="e">
        <f>#REF!</f>
        <v>#REF!</v>
      </c>
      <c r="D14" t="e">
        <f>#REF!</f>
        <v>#REF!</v>
      </c>
      <c r="E14" t="e">
        <f>#REF!</f>
        <v>#REF!</v>
      </c>
      <c r="F14" t="e">
        <f>#REF!</f>
        <v>#REF!</v>
      </c>
      <c r="G14" t="e">
        <f>#REF!</f>
        <v>#REF!</v>
      </c>
      <c r="H14" t="e">
        <f>#REF!</f>
        <v>#REF!</v>
      </c>
      <c r="I14" t="e">
        <f>#REF!</f>
        <v>#REF!</v>
      </c>
      <c r="J14" t="e">
        <f>#REF!</f>
        <v>#REF!</v>
      </c>
      <c r="K14" t="e">
        <f>#REF!</f>
        <v>#REF!</v>
      </c>
      <c r="L14" t="e">
        <f>#REF!</f>
        <v>#REF!</v>
      </c>
      <c r="M14" t="e">
        <f>#REF!</f>
        <v>#REF!</v>
      </c>
      <c r="N14" t="e">
        <f>#REF!</f>
        <v>#REF!</v>
      </c>
      <c r="O14" t="e">
        <f>#REF!</f>
        <v>#REF!</v>
      </c>
      <c r="P14" t="e">
        <f>#REF!</f>
        <v>#REF!</v>
      </c>
      <c r="Q14" t="e">
        <f>#REF!</f>
        <v>#REF!</v>
      </c>
    </row>
    <row r="15" spans="1:18">
      <c r="A15" t="e">
        <f>#REF!</f>
        <v>#REF!</v>
      </c>
      <c r="B15" t="e">
        <f>#REF!*1000</f>
        <v>#REF!</v>
      </c>
      <c r="C15" t="e">
        <f>#REF!</f>
        <v>#REF!</v>
      </c>
      <c r="D15" t="e">
        <f>#REF!</f>
        <v>#REF!</v>
      </c>
      <c r="E15" t="e">
        <f>#REF!</f>
        <v>#REF!</v>
      </c>
      <c r="F15" t="e">
        <f>#REF!</f>
        <v>#REF!</v>
      </c>
      <c r="G15" t="e">
        <f>#REF!</f>
        <v>#REF!</v>
      </c>
      <c r="H15" t="e">
        <f>#REF!</f>
        <v>#REF!</v>
      </c>
      <c r="I15" t="e">
        <f>#REF!</f>
        <v>#REF!</v>
      </c>
      <c r="J15" t="e">
        <f>#REF!</f>
        <v>#REF!</v>
      </c>
      <c r="K15" t="e">
        <f>#REF!</f>
        <v>#REF!</v>
      </c>
      <c r="L15" t="e">
        <f>#REF!</f>
        <v>#REF!</v>
      </c>
      <c r="M15" t="e">
        <f>#REF!</f>
        <v>#REF!</v>
      </c>
      <c r="N15" t="e">
        <f>#REF!</f>
        <v>#REF!</v>
      </c>
      <c r="O15" t="e">
        <f>#REF!</f>
        <v>#REF!</v>
      </c>
      <c r="P15" t="e">
        <f>#REF!</f>
        <v>#REF!</v>
      </c>
      <c r="Q15" t="e">
        <f>#REF!</f>
        <v>#REF!</v>
      </c>
    </row>
    <row r="16" spans="1:18">
      <c r="A16" t="e">
        <f>SUBSTITUTE(#REF!," ","")</f>
        <v>#REF!</v>
      </c>
      <c r="B16" t="e">
        <f>#REF!</f>
        <v>#REF!</v>
      </c>
      <c r="C16" t="e">
        <f>#REF!</f>
        <v>#REF!</v>
      </c>
      <c r="D16" t="e">
        <f>#REF!</f>
        <v>#REF!</v>
      </c>
      <c r="E16" t="e">
        <f>#REF!</f>
        <v>#REF!</v>
      </c>
      <c r="F16" t="e">
        <f>#REF!</f>
        <v>#REF!</v>
      </c>
      <c r="G16" t="e">
        <f>#REF!</f>
        <v>#REF!</v>
      </c>
      <c r="H16" t="e">
        <f>#REF!</f>
        <v>#REF!</v>
      </c>
      <c r="I16" t="e">
        <f>#REF!</f>
        <v>#REF!</v>
      </c>
      <c r="J16" t="e">
        <f>#REF!</f>
        <v>#REF!</v>
      </c>
      <c r="K16" t="e">
        <f>#REF!</f>
        <v>#REF!</v>
      </c>
      <c r="L16" t="e">
        <f>#REF!</f>
        <v>#REF!</v>
      </c>
      <c r="M16" t="e">
        <f>#REF!</f>
        <v>#REF!</v>
      </c>
      <c r="N16" t="e">
        <f>#REF!</f>
        <v>#REF!</v>
      </c>
      <c r="O16" t="e">
        <f>#REF!</f>
        <v>#REF!</v>
      </c>
      <c r="P16" t="e">
        <f>#REF!</f>
        <v>#REF!</v>
      </c>
      <c r="Q16" t="e">
        <f>#REF!</f>
        <v>#REF!</v>
      </c>
      <c r="R16" t="e">
        <f>#REF!</f>
        <v>#REF!</v>
      </c>
    </row>
    <row r="17" spans="1:17">
      <c r="A17" t="e">
        <f>SUBSTITUTE(#REF!," ","")</f>
        <v>#REF!</v>
      </c>
      <c r="B17" t="e">
        <f>#REF!</f>
        <v>#REF!</v>
      </c>
      <c r="C17" t="e">
        <f>#REF!</f>
        <v>#REF!</v>
      </c>
      <c r="D17" t="e">
        <f>#REF!</f>
        <v>#REF!</v>
      </c>
      <c r="E17" t="e">
        <f>#REF!</f>
        <v>#REF!</v>
      </c>
      <c r="F17" t="e">
        <f>#REF!</f>
        <v>#REF!</v>
      </c>
      <c r="G17" t="e">
        <f>#REF!</f>
        <v>#REF!</v>
      </c>
      <c r="H17" t="e">
        <f>#REF!</f>
        <v>#REF!</v>
      </c>
      <c r="I17" t="e">
        <f>#REF!</f>
        <v>#REF!</v>
      </c>
      <c r="J17" t="e">
        <f>#REF!</f>
        <v>#REF!</v>
      </c>
      <c r="K17" t="e">
        <f>#REF!</f>
        <v>#REF!</v>
      </c>
      <c r="L17" t="e">
        <f>#REF!</f>
        <v>#REF!</v>
      </c>
      <c r="M17" t="e">
        <f>#REF!</f>
        <v>#REF!</v>
      </c>
      <c r="N17" t="e">
        <f>#REF!</f>
        <v>#REF!</v>
      </c>
      <c r="O17" t="e">
        <f>#REF!</f>
        <v>#REF!</v>
      </c>
      <c r="P17" t="e">
        <f>#REF!</f>
        <v>#REF!</v>
      </c>
      <c r="Q17" t="e">
        <f>#REF!</f>
        <v>#REF!</v>
      </c>
    </row>
    <row r="18" spans="1:17">
      <c r="A18" t="e">
        <f>SUBSTITUTE(#REF!," ","")</f>
        <v>#REF!</v>
      </c>
      <c r="B18" t="e">
        <f>#REF!</f>
        <v>#REF!</v>
      </c>
      <c r="C18" t="e">
        <f>#REF!</f>
        <v>#REF!</v>
      </c>
      <c r="D18" t="e">
        <f>#REF!</f>
        <v>#REF!</v>
      </c>
      <c r="E18" t="e">
        <f>#REF!</f>
        <v>#REF!</v>
      </c>
      <c r="F18" t="e">
        <f>#REF!</f>
        <v>#REF!</v>
      </c>
      <c r="G18" t="e">
        <f>#REF!</f>
        <v>#REF!</v>
      </c>
      <c r="H18" t="e">
        <f>#REF!</f>
        <v>#REF!</v>
      </c>
      <c r="I18" t="e">
        <f>#REF!</f>
        <v>#REF!</v>
      </c>
      <c r="J18" t="e">
        <f>#REF!</f>
        <v>#REF!</v>
      </c>
      <c r="K18" t="e">
        <f>#REF!</f>
        <v>#REF!</v>
      </c>
      <c r="L18" t="e">
        <f>#REF!</f>
        <v>#REF!</v>
      </c>
      <c r="M18" t="e">
        <f>#REF!</f>
        <v>#REF!</v>
      </c>
      <c r="N18" t="e">
        <f>#REF!</f>
        <v>#REF!</v>
      </c>
      <c r="O18" t="e">
        <f>#REF!</f>
        <v>#REF!</v>
      </c>
      <c r="P18" t="e">
        <f>#REF!</f>
        <v>#REF!</v>
      </c>
      <c r="Q18" t="e">
        <f>#REF!</f>
        <v>#REF!</v>
      </c>
    </row>
    <row r="19" spans="1:17">
      <c r="A19" t="e">
        <f>SUBSTITUTE(#REF!," ","")</f>
        <v>#REF!</v>
      </c>
      <c r="B19" t="e">
        <f>#REF!</f>
        <v>#REF!</v>
      </c>
      <c r="C19" t="e">
        <f>#REF!</f>
        <v>#REF!</v>
      </c>
      <c r="D19" t="e">
        <f>#REF!</f>
        <v>#REF!</v>
      </c>
      <c r="E19" t="e">
        <f>#REF!</f>
        <v>#REF!</v>
      </c>
      <c r="F19" t="e">
        <f>#REF!</f>
        <v>#REF!</v>
      </c>
      <c r="G19" t="e">
        <f>#REF!</f>
        <v>#REF!</v>
      </c>
      <c r="H19" t="e">
        <f>#REF!</f>
        <v>#REF!</v>
      </c>
      <c r="I19" t="e">
        <f>#REF!</f>
        <v>#REF!</v>
      </c>
      <c r="J19" t="e">
        <f>#REF!</f>
        <v>#REF!</v>
      </c>
      <c r="K19" t="e">
        <f>#REF!</f>
        <v>#REF!</v>
      </c>
      <c r="L19" t="e">
        <f>#REF!</f>
        <v>#REF!</v>
      </c>
      <c r="M19" t="e">
        <f>#REF!</f>
        <v>#REF!</v>
      </c>
      <c r="N19" t="e">
        <f>#REF!</f>
        <v>#REF!</v>
      </c>
      <c r="O19" t="e">
        <f>#REF!</f>
        <v>#REF!</v>
      </c>
      <c r="P19" t="e">
        <f>#REF!</f>
        <v>#REF!</v>
      </c>
      <c r="Q19" t="e">
        <f>#REF!</f>
        <v>#REF!</v>
      </c>
    </row>
    <row r="20" spans="1:17">
      <c r="A20" t="e">
        <f>SUBSTITUTE(#REF!," ","")</f>
        <v>#REF!</v>
      </c>
      <c r="B20" t="e">
        <f>#REF!</f>
        <v>#REF!</v>
      </c>
      <c r="C20" t="e">
        <f>#REF!</f>
        <v>#REF!</v>
      </c>
      <c r="D20" t="e">
        <f>#REF!</f>
        <v>#REF!</v>
      </c>
      <c r="E20" t="e">
        <f>#REF!</f>
        <v>#REF!</v>
      </c>
      <c r="F20" t="e">
        <f>#REF!</f>
        <v>#REF!</v>
      </c>
      <c r="G20" t="e">
        <f>#REF!</f>
        <v>#REF!</v>
      </c>
      <c r="H20" t="e">
        <f>#REF!</f>
        <v>#REF!</v>
      </c>
      <c r="I20" t="e">
        <f>#REF!</f>
        <v>#REF!</v>
      </c>
      <c r="J20" t="e">
        <f>#REF!</f>
        <v>#REF!</v>
      </c>
      <c r="K20" t="e">
        <f>#REF!</f>
        <v>#REF!</v>
      </c>
      <c r="L20" t="e">
        <f>#REF!</f>
        <v>#REF!</v>
      </c>
      <c r="M20" t="e">
        <f>#REF!</f>
        <v>#REF!</v>
      </c>
      <c r="N20" t="e">
        <f>#REF!</f>
        <v>#REF!</v>
      </c>
      <c r="O20" t="e">
        <f>#REF!</f>
        <v>#REF!</v>
      </c>
      <c r="P20" t="e">
        <f>#REF!</f>
        <v>#REF!</v>
      </c>
      <c r="Q20" t="e">
        <f>#REF!</f>
        <v>#REF!</v>
      </c>
    </row>
    <row r="21" spans="1:17">
      <c r="A21" t="e">
        <f>SUBSTITUTE(#REF!," ","")</f>
        <v>#REF!</v>
      </c>
      <c r="B21" t="e">
        <f>#REF!</f>
        <v>#REF!</v>
      </c>
      <c r="C21" t="e">
        <f>#REF!</f>
        <v>#REF!</v>
      </c>
      <c r="D21" t="e">
        <f>#REF!</f>
        <v>#REF!</v>
      </c>
      <c r="E21" t="e">
        <f>#REF!</f>
        <v>#REF!</v>
      </c>
      <c r="F21" t="e">
        <f>#REF!</f>
        <v>#REF!</v>
      </c>
      <c r="G21" t="e">
        <f>#REF!</f>
        <v>#REF!</v>
      </c>
      <c r="H21" t="e">
        <f>#REF!</f>
        <v>#REF!</v>
      </c>
      <c r="I21" t="e">
        <f>#REF!</f>
        <v>#REF!</v>
      </c>
      <c r="J21" t="e">
        <f>#REF!</f>
        <v>#REF!</v>
      </c>
      <c r="K21" t="e">
        <f>#REF!</f>
        <v>#REF!</v>
      </c>
      <c r="L21" t="e">
        <f>#REF!</f>
        <v>#REF!</v>
      </c>
      <c r="M21" t="e">
        <f>#REF!</f>
        <v>#REF!</v>
      </c>
      <c r="N21" t="e">
        <f>#REF!</f>
        <v>#REF!</v>
      </c>
      <c r="O21" t="e">
        <f>#REF!</f>
        <v>#REF!</v>
      </c>
      <c r="P21" t="e">
        <f>#REF!</f>
        <v>#REF!</v>
      </c>
      <c r="Q21" t="e">
        <f>#REF!</f>
        <v>#REF!</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6AAB-87DD-41B2-B299-18E5168B71BC}">
  <sheetPr>
    <pageSetUpPr autoPageBreaks="0"/>
  </sheetPr>
  <dimension ref="A1:A2"/>
  <sheetViews>
    <sheetView workbookViewId="0">
      <selection activeCell="A24" sqref="A24:XFD24"/>
    </sheetView>
  </sheetViews>
  <sheetFormatPr defaultRowHeight="13.2"/>
  <sheetData>
    <row r="1" spans="1:1">
      <c r="A1" s="24" t="e">
        <f>#REF!</f>
        <v>#REF!</v>
      </c>
    </row>
    <row r="2" spans="1:1">
      <c r="A2" s="24" t="e">
        <f>#REF!</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85692-035C-487E-BC5C-CC7759732F7D}">
  <sheetPr transitionEntry="1">
    <pageSetUpPr autoPageBreaks="0" fitToPage="1"/>
  </sheetPr>
  <dimension ref="A1:BI1112"/>
  <sheetViews>
    <sheetView showGridLines="0" showOutlineSymbols="0" topLeftCell="B1" zoomScale="50" zoomScaleNormal="40" workbookViewId="0">
      <selection activeCell="F11" sqref="F11"/>
    </sheetView>
  </sheetViews>
  <sheetFormatPr defaultColWidth="12.5546875" defaultRowHeight="20.399999999999999"/>
  <cols>
    <col min="1" max="1" width="10.5546875" style="54" customWidth="1"/>
    <col min="2" max="2" width="5.44140625" style="54" customWidth="1"/>
    <col min="3" max="3" width="60.5546875" style="54" customWidth="1"/>
    <col min="4" max="4" width="24" style="54" customWidth="1"/>
    <col min="5" max="5" width="21.33203125" style="54" customWidth="1"/>
    <col min="6" max="6" width="23" style="54" customWidth="1"/>
    <col min="7" max="7" width="23.109375" style="54" customWidth="1"/>
    <col min="8" max="8" width="19.109375" style="54" customWidth="1"/>
    <col min="9" max="9" width="20" style="54" customWidth="1"/>
    <col min="10" max="10" width="21" style="54" customWidth="1"/>
    <col min="11" max="13" width="19.109375" style="54" customWidth="1"/>
    <col min="14" max="14" width="21.5546875" style="54" bestFit="1" customWidth="1"/>
    <col min="15" max="16" width="19.109375" style="54" customWidth="1"/>
    <col min="17" max="17" width="21.33203125" style="54" bestFit="1" customWidth="1"/>
    <col min="18" max="19" width="21.33203125" style="54" customWidth="1"/>
    <col min="20" max="20" width="21.33203125" style="54" bestFit="1" customWidth="1"/>
    <col min="21" max="21" width="21.6640625" style="54" customWidth="1"/>
    <col min="22" max="22" width="22.6640625" style="54" customWidth="1"/>
    <col min="23" max="23" width="23.109375" style="54" customWidth="1"/>
    <col min="24" max="24" width="21.6640625" style="54" customWidth="1"/>
    <col min="25" max="25" width="21.33203125" style="54" customWidth="1"/>
    <col min="26" max="26" width="22.44140625" style="54" customWidth="1"/>
    <col min="27" max="27" width="21.6640625" style="54" customWidth="1"/>
    <col min="28" max="28" width="22.88671875" style="54" customWidth="1"/>
    <col min="29" max="16384" width="12.5546875" style="54"/>
  </cols>
  <sheetData>
    <row r="1" spans="1:51" ht="32.25" customHeight="1" thickTop="1" thickBot="1">
      <c r="G1" s="274"/>
      <c r="H1" s="273"/>
      <c r="J1" s="629" t="s">
        <v>68</v>
      </c>
      <c r="K1" s="630"/>
      <c r="L1" s="630"/>
      <c r="M1" s="631"/>
      <c r="N1" s="59"/>
      <c r="P1" s="272" t="s">
        <v>69</v>
      </c>
      <c r="Q1" s="271"/>
      <c r="R1" s="270"/>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row>
    <row r="2" spans="1:51" ht="21.75" customHeight="1" thickTop="1">
      <c r="F2" s="54" t="s">
        <v>70</v>
      </c>
      <c r="J2" s="58"/>
      <c r="K2" s="58"/>
      <c r="L2" s="58"/>
      <c r="M2" s="58"/>
      <c r="P2" s="85"/>
      <c r="Q2" s="8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row>
    <row r="3" spans="1:51" ht="21.75" customHeight="1">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row>
    <row r="4" spans="1:51" ht="21.75" customHeight="1">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row>
    <row r="5" spans="1:51" ht="33.75" customHeight="1">
      <c r="A5" s="57" t="s">
        <v>71</v>
      </c>
      <c r="B5" s="54" t="s">
        <v>72</v>
      </c>
      <c r="D5" s="57"/>
      <c r="E5" s="57"/>
      <c r="F5" s="57"/>
      <c r="G5" s="57"/>
      <c r="H5" s="57"/>
      <c r="I5" s="57"/>
      <c r="J5" s="57"/>
      <c r="K5" s="57"/>
      <c r="L5" s="57"/>
      <c r="M5" s="57"/>
      <c r="N5" s="57"/>
      <c r="O5" s="57"/>
      <c r="P5" s="57"/>
      <c r="Q5" s="57"/>
      <c r="R5" s="57"/>
      <c r="S5" s="57"/>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row>
    <row r="6" spans="1:51" ht="33.75" customHeight="1">
      <c r="A6" s="57"/>
      <c r="B6" s="54" t="s">
        <v>73</v>
      </c>
      <c r="C6" s="57"/>
      <c r="D6" s="57"/>
      <c r="E6" s="57"/>
      <c r="F6" s="57"/>
      <c r="G6" s="57"/>
      <c r="H6" s="57"/>
      <c r="I6" s="57"/>
      <c r="J6" s="57"/>
      <c r="K6" s="57"/>
      <c r="L6" s="57"/>
      <c r="M6" s="57"/>
      <c r="N6" s="57"/>
      <c r="O6" s="57"/>
      <c r="P6" s="57"/>
      <c r="Q6" s="57"/>
      <c r="R6" s="57"/>
      <c r="S6" s="57"/>
      <c r="U6" s="55"/>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row>
    <row r="7" spans="1:51" ht="33.75" customHeight="1" thickBot="1">
      <c r="A7" s="57"/>
      <c r="B7" s="57"/>
      <c r="C7" s="57"/>
      <c r="D7" s="57"/>
      <c r="E7" s="57"/>
      <c r="F7" s="57"/>
      <c r="G7" s="57"/>
      <c r="H7" s="57"/>
      <c r="I7" s="57"/>
      <c r="J7" s="57"/>
      <c r="K7" s="57"/>
      <c r="L7" s="57"/>
      <c r="M7" s="57"/>
      <c r="N7" s="57"/>
      <c r="O7" s="57"/>
      <c r="P7" s="57"/>
      <c r="Q7" s="57"/>
      <c r="R7" s="57"/>
      <c r="S7" s="57"/>
      <c r="T7" s="54" t="s">
        <v>70</v>
      </c>
      <c r="U7" s="55"/>
      <c r="V7" s="55"/>
      <c r="W7" s="55"/>
      <c r="X7" s="55"/>
      <c r="Y7" s="55"/>
      <c r="Z7" s="55"/>
      <c r="AA7" s="55"/>
      <c r="AB7" s="55"/>
      <c r="AC7" s="55"/>
      <c r="AD7" s="55"/>
      <c r="AE7" s="55"/>
      <c r="AF7" s="55"/>
      <c r="AG7" s="55"/>
      <c r="AH7" s="55"/>
      <c r="AI7" s="55"/>
      <c r="AJ7" s="55"/>
      <c r="AK7" s="55"/>
      <c r="AL7" s="55"/>
      <c r="AM7" s="55"/>
      <c r="AN7" s="55"/>
      <c r="AO7" s="55"/>
      <c r="AP7" s="55"/>
      <c r="AQ7" s="55"/>
      <c r="AR7" s="55"/>
      <c r="AS7" s="55"/>
      <c r="AT7" s="55"/>
      <c r="AU7" s="55"/>
      <c r="AV7" s="55"/>
      <c r="AW7" s="55"/>
      <c r="AX7" s="55"/>
      <c r="AY7" s="55"/>
    </row>
    <row r="8" spans="1:51" ht="33.75" customHeight="1" thickTop="1">
      <c r="A8" s="57"/>
      <c r="B8" s="173"/>
      <c r="C8" s="245" t="s">
        <v>74</v>
      </c>
      <c r="D8" s="196" t="s">
        <v>75</v>
      </c>
      <c r="E8" s="235" t="s">
        <v>76</v>
      </c>
      <c r="F8" s="269"/>
      <c r="G8" s="235" t="s">
        <v>77</v>
      </c>
      <c r="H8" s="268" t="str">
        <f>'Financial Stat.'!C318</f>
        <v xml:space="preserve">  2026</v>
      </c>
      <c r="I8" s="235" t="str">
        <f>""&amp;'Financial Stat.'!D318</f>
        <v xml:space="preserve">  2027</v>
      </c>
      <c r="J8" s="235" t="str">
        <f>""&amp;'Financial Stat.'!E318</f>
        <v xml:space="preserve">  2028</v>
      </c>
      <c r="K8" s="235" t="str">
        <f>""&amp;'Financial Stat.'!F318</f>
        <v xml:space="preserve">  2029</v>
      </c>
      <c r="L8" s="235" t="str">
        <f>""&amp;'Financial Stat.'!G318</f>
        <v xml:space="preserve">  2030</v>
      </c>
      <c r="M8" s="235" t="str">
        <f>""&amp;'Financial Stat.'!H318</f>
        <v xml:space="preserve">  2031</v>
      </c>
      <c r="N8" s="235" t="str">
        <f>""&amp;'Financial Stat.'!I318</f>
        <v xml:space="preserve">  2032</v>
      </c>
      <c r="O8" s="235" t="str">
        <f>""&amp;'Financial Stat.'!J318</f>
        <v xml:space="preserve">  2033</v>
      </c>
      <c r="P8" s="235" t="str">
        <f>""&amp;'Financial Stat.'!K318</f>
        <v xml:space="preserve">  2034</v>
      </c>
      <c r="Q8" s="235" t="str">
        <f>""&amp;'Financial Stat.'!L318</f>
        <v xml:space="preserve">  2035</v>
      </c>
      <c r="R8" s="235" t="str">
        <f>""&amp;'Financial Stat.'!M318</f>
        <v xml:space="preserve">  2036</v>
      </c>
      <c r="S8" s="235" t="str">
        <f>""&amp;'Financial Stat.'!N318</f>
        <v xml:space="preserve">  2037</v>
      </c>
      <c r="T8" s="267" t="str">
        <f>""&amp;'Financial Stat.'!O318</f>
        <v xml:space="preserve">  2038</v>
      </c>
      <c r="U8" s="235" t="str">
        <f>""&amp;'Financial Stat.'!P318</f>
        <v xml:space="preserve">  2039</v>
      </c>
      <c r="V8" s="234" t="str">
        <f>""&amp;'Financial Stat.'!Q318</f>
        <v xml:space="preserve">  2040</v>
      </c>
      <c r="W8" s="55"/>
      <c r="X8" s="55" t="str">
        <f>""&amp;'Financial Stat.'!S318</f>
        <v xml:space="preserve">  2042</v>
      </c>
      <c r="Y8" s="55" t="str">
        <f>""&amp;'Financial Stat.'!T318</f>
        <v xml:space="preserve">  2043</v>
      </c>
      <c r="Z8" s="55"/>
      <c r="AA8" s="55"/>
      <c r="AB8" s="55"/>
      <c r="AC8" s="55"/>
      <c r="AD8" s="55"/>
      <c r="AE8" s="55"/>
      <c r="AF8" s="55"/>
      <c r="AG8" s="55"/>
      <c r="AH8" s="55"/>
      <c r="AI8" s="55"/>
      <c r="AJ8" s="55"/>
      <c r="AK8" s="55"/>
      <c r="AL8" s="55"/>
      <c r="AM8" s="55"/>
      <c r="AN8" s="55"/>
      <c r="AO8" s="55"/>
      <c r="AP8" s="55"/>
      <c r="AQ8" s="55"/>
      <c r="AR8" s="55"/>
      <c r="AS8" s="55"/>
      <c r="AT8" s="55"/>
      <c r="AU8" s="55"/>
      <c r="AV8" s="55"/>
      <c r="AW8" s="55"/>
      <c r="AX8" s="55"/>
      <c r="AY8" s="55"/>
    </row>
    <row r="9" spans="1:51" ht="33.75" customHeight="1" thickBot="1">
      <c r="A9" s="57"/>
      <c r="B9" s="266"/>
      <c r="C9" s="265"/>
      <c r="D9" s="264" t="s">
        <v>78</v>
      </c>
      <c r="E9" s="497" t="s">
        <v>79</v>
      </c>
      <c r="F9" s="498" t="s">
        <v>80</v>
      </c>
      <c r="G9" s="499" t="s">
        <v>81</v>
      </c>
      <c r="H9" s="500" t="s">
        <v>82</v>
      </c>
      <c r="I9" s="497" t="s">
        <v>82</v>
      </c>
      <c r="J9" s="497" t="s">
        <v>82</v>
      </c>
      <c r="K9" s="497" t="s">
        <v>82</v>
      </c>
      <c r="L9" s="497" t="s">
        <v>82</v>
      </c>
      <c r="M9" s="497" t="s">
        <v>82</v>
      </c>
      <c r="N9" s="497" t="s">
        <v>82</v>
      </c>
      <c r="O9" s="497" t="s">
        <v>82</v>
      </c>
      <c r="P9" s="497" t="s">
        <v>82</v>
      </c>
      <c r="Q9" s="497" t="s">
        <v>82</v>
      </c>
      <c r="R9" s="497" t="s">
        <v>82</v>
      </c>
      <c r="S9" s="497" t="s">
        <v>82</v>
      </c>
      <c r="T9" s="497" t="s">
        <v>82</v>
      </c>
      <c r="U9" s="498" t="s">
        <v>82</v>
      </c>
      <c r="V9" s="501" t="s">
        <v>82</v>
      </c>
      <c r="W9" s="55"/>
      <c r="X9" s="55" t="s">
        <v>82</v>
      </c>
      <c r="Y9" s="55" t="s">
        <v>82</v>
      </c>
      <c r="Z9" s="55"/>
      <c r="AA9" s="55"/>
      <c r="AB9" s="55"/>
      <c r="AC9" s="55"/>
      <c r="AD9" s="55"/>
      <c r="AE9" s="55"/>
      <c r="AF9" s="55"/>
      <c r="AG9" s="55"/>
      <c r="AH9" s="55"/>
      <c r="AI9" s="55"/>
      <c r="AJ9" s="55"/>
      <c r="AK9" s="55"/>
      <c r="AL9" s="55"/>
      <c r="AM9" s="55"/>
      <c r="AN9" s="55"/>
      <c r="AO9" s="55"/>
      <c r="AP9" s="55"/>
      <c r="AQ9" s="55"/>
      <c r="AR9" s="55"/>
      <c r="AS9" s="55"/>
      <c r="AT9" s="55"/>
      <c r="AU9" s="55"/>
      <c r="AV9" s="55"/>
      <c r="AW9" s="55"/>
      <c r="AX9" s="55"/>
      <c r="AY9" s="55"/>
    </row>
    <row r="10" spans="1:51" ht="21.6" thickTop="1">
      <c r="A10" s="57"/>
      <c r="B10" s="255"/>
      <c r="C10" s="254"/>
      <c r="D10" s="257"/>
      <c r="E10" s="256"/>
      <c r="F10" s="256"/>
      <c r="G10" s="251" t="str">
        <f t="shared" ref="G10:G41" si="0">IF(E10=0," ",1-(F10/E10))</f>
        <v xml:space="preserve"> </v>
      </c>
      <c r="H10" s="102"/>
      <c r="I10" s="101"/>
      <c r="J10" s="101"/>
      <c r="K10" s="101"/>
      <c r="L10" s="101"/>
      <c r="M10" s="101"/>
      <c r="N10" s="101"/>
      <c r="O10" s="101"/>
      <c r="P10" s="101"/>
      <c r="Q10" s="101"/>
      <c r="R10" s="263" t="s">
        <v>70</v>
      </c>
      <c r="S10" s="263" t="s">
        <v>70</v>
      </c>
      <c r="T10" s="263" t="s">
        <v>70</v>
      </c>
      <c r="U10" s="263" t="s">
        <v>70</v>
      </c>
      <c r="V10" s="212" t="s">
        <v>70</v>
      </c>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row>
    <row r="11" spans="1:51" ht="33.75" customHeight="1">
      <c r="B11" s="255"/>
      <c r="C11" s="254" t="s">
        <v>537</v>
      </c>
      <c r="D11" s="257"/>
      <c r="E11" s="256">
        <f>8190*0.8</f>
        <v>6552</v>
      </c>
      <c r="F11" s="256">
        <f>3648</f>
        <v>3648</v>
      </c>
      <c r="G11" s="259">
        <f t="shared" si="0"/>
        <v>0.4432234432234432</v>
      </c>
      <c r="H11" s="102">
        <v>625</v>
      </c>
      <c r="I11" s="101">
        <v>800</v>
      </c>
      <c r="J11" s="101">
        <v>1050</v>
      </c>
      <c r="K11" s="101">
        <v>1400</v>
      </c>
      <c r="L11" s="101">
        <v>1800</v>
      </c>
      <c r="M11" s="101">
        <v>1800</v>
      </c>
      <c r="N11" s="101">
        <v>1800</v>
      </c>
      <c r="O11" s="101">
        <v>1800</v>
      </c>
      <c r="P11" s="101">
        <v>1800</v>
      </c>
      <c r="Q11" s="101">
        <v>1800</v>
      </c>
      <c r="R11" s="101">
        <v>1800</v>
      </c>
      <c r="S11" s="101">
        <v>1800</v>
      </c>
      <c r="T11" s="101">
        <v>1800</v>
      </c>
      <c r="U11" s="101">
        <v>1800</v>
      </c>
      <c r="V11" s="180">
        <v>1800</v>
      </c>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5"/>
    </row>
    <row r="12" spans="1:51" ht="33.75" customHeight="1">
      <c r="B12" s="255"/>
      <c r="C12" s="254" t="s">
        <v>527</v>
      </c>
      <c r="D12" s="257"/>
      <c r="E12" s="256">
        <f>8190*0.8</f>
        <v>6552</v>
      </c>
      <c r="F12" s="256">
        <f>3648</f>
        <v>3648</v>
      </c>
      <c r="G12" s="259">
        <f t="shared" si="0"/>
        <v>0.4432234432234432</v>
      </c>
      <c r="H12" s="262">
        <v>75</v>
      </c>
      <c r="I12" s="261">
        <v>100</v>
      </c>
      <c r="J12" s="261">
        <v>150</v>
      </c>
      <c r="K12" s="261">
        <v>200</v>
      </c>
      <c r="L12" s="261">
        <v>300</v>
      </c>
      <c r="M12" s="261">
        <v>300</v>
      </c>
      <c r="N12" s="261">
        <v>300</v>
      </c>
      <c r="O12" s="261">
        <v>300</v>
      </c>
      <c r="P12" s="261">
        <v>300</v>
      </c>
      <c r="Q12" s="261">
        <v>300</v>
      </c>
      <c r="R12" s="261">
        <v>300</v>
      </c>
      <c r="S12" s="261">
        <v>300</v>
      </c>
      <c r="T12" s="261">
        <v>300</v>
      </c>
      <c r="U12" s="261">
        <v>300</v>
      </c>
      <c r="V12" s="260">
        <v>300</v>
      </c>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row>
    <row r="13" spans="1:51" ht="33.75" customHeight="1">
      <c r="B13" s="255"/>
      <c r="C13" s="254" t="s">
        <v>538</v>
      </c>
      <c r="D13" s="257"/>
      <c r="E13" s="101">
        <f>9178*0.8</f>
        <v>7342.4000000000005</v>
      </c>
      <c r="F13" s="101">
        <f>3497</f>
        <v>3497</v>
      </c>
      <c r="G13" s="259">
        <f t="shared" si="0"/>
        <v>0.52372521246458925</v>
      </c>
      <c r="H13" s="262">
        <v>1440</v>
      </c>
      <c r="I13" s="261">
        <v>1530</v>
      </c>
      <c r="J13" s="261">
        <v>1575</v>
      </c>
      <c r="K13" s="261">
        <v>1600</v>
      </c>
      <c r="L13" s="261">
        <v>1650</v>
      </c>
      <c r="M13" s="261">
        <v>1650</v>
      </c>
      <c r="N13" s="261">
        <v>1650</v>
      </c>
      <c r="O13" s="261">
        <v>1650</v>
      </c>
      <c r="P13" s="261">
        <v>1650</v>
      </c>
      <c r="Q13" s="261">
        <v>1650</v>
      </c>
      <c r="R13" s="261">
        <v>1650</v>
      </c>
      <c r="S13" s="261">
        <v>1650</v>
      </c>
      <c r="T13" s="261">
        <v>1650</v>
      </c>
      <c r="U13" s="261">
        <v>1650</v>
      </c>
      <c r="V13" s="260">
        <v>1650</v>
      </c>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row>
    <row r="14" spans="1:51" ht="33.75" customHeight="1">
      <c r="B14" s="255"/>
      <c r="C14" s="254" t="s">
        <v>526</v>
      </c>
      <c r="D14" s="257"/>
      <c r="E14" s="101">
        <f>8911*0.8</f>
        <v>7128.8</v>
      </c>
      <c r="F14" s="101">
        <f>3497</f>
        <v>3497</v>
      </c>
      <c r="G14" s="259">
        <f t="shared" si="0"/>
        <v>0.50945460666591846</v>
      </c>
      <c r="H14" s="262">
        <v>195</v>
      </c>
      <c r="I14" s="261">
        <v>205</v>
      </c>
      <c r="J14" s="261">
        <v>215</v>
      </c>
      <c r="K14" s="261">
        <v>225</v>
      </c>
      <c r="L14" s="261">
        <v>230</v>
      </c>
      <c r="M14" s="261">
        <v>230</v>
      </c>
      <c r="N14" s="261">
        <v>230</v>
      </c>
      <c r="O14" s="261">
        <v>230</v>
      </c>
      <c r="P14" s="261">
        <v>230</v>
      </c>
      <c r="Q14" s="261">
        <v>230</v>
      </c>
      <c r="R14" s="261">
        <v>230</v>
      </c>
      <c r="S14" s="261">
        <v>230</v>
      </c>
      <c r="T14" s="261">
        <v>230</v>
      </c>
      <c r="U14" s="261">
        <v>230</v>
      </c>
      <c r="V14" s="260">
        <v>230</v>
      </c>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row>
    <row r="15" spans="1:51" ht="33.75" customHeight="1">
      <c r="B15" s="255"/>
      <c r="C15" s="254" t="s">
        <v>539</v>
      </c>
      <c r="D15" s="257"/>
      <c r="E15" s="101">
        <f>6256*0.8</f>
        <v>5004.8</v>
      </c>
      <c r="F15" s="101">
        <f>3648</f>
        <v>3648</v>
      </c>
      <c r="G15" s="259">
        <f t="shared" si="0"/>
        <v>0.2710997442455243</v>
      </c>
      <c r="H15" s="262">
        <v>285</v>
      </c>
      <c r="I15" s="261">
        <v>300</v>
      </c>
      <c r="J15" s="261">
        <v>330</v>
      </c>
      <c r="K15" s="261">
        <v>350</v>
      </c>
      <c r="L15" s="261">
        <v>365</v>
      </c>
      <c r="M15" s="261">
        <v>365</v>
      </c>
      <c r="N15" s="261">
        <v>365</v>
      </c>
      <c r="O15" s="261">
        <v>365</v>
      </c>
      <c r="P15" s="261">
        <v>365</v>
      </c>
      <c r="Q15" s="261">
        <v>365</v>
      </c>
      <c r="R15" s="261">
        <v>365</v>
      </c>
      <c r="S15" s="261">
        <v>365</v>
      </c>
      <c r="T15" s="261">
        <v>365</v>
      </c>
      <c r="U15" s="261">
        <v>365</v>
      </c>
      <c r="V15" s="260">
        <v>365</v>
      </c>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row>
    <row r="16" spans="1:51" ht="33.75" customHeight="1">
      <c r="B16" s="255"/>
      <c r="C16" s="254" t="s">
        <v>528</v>
      </c>
      <c r="D16" s="257"/>
      <c r="E16" s="101">
        <f>6764*0.8</f>
        <v>5411.2000000000007</v>
      </c>
      <c r="F16" s="101">
        <f>3648</f>
        <v>3648</v>
      </c>
      <c r="G16" s="259">
        <f t="shared" si="0"/>
        <v>0.32584269662921361</v>
      </c>
      <c r="H16" s="239">
        <v>45</v>
      </c>
      <c r="I16" s="101">
        <v>50</v>
      </c>
      <c r="J16" s="101">
        <v>55</v>
      </c>
      <c r="K16" s="101">
        <v>60</v>
      </c>
      <c r="L16" s="101">
        <v>70</v>
      </c>
      <c r="M16" s="101">
        <v>70</v>
      </c>
      <c r="N16" s="101">
        <v>70</v>
      </c>
      <c r="O16" s="101">
        <v>70</v>
      </c>
      <c r="P16" s="101">
        <v>70</v>
      </c>
      <c r="Q16" s="101">
        <v>70</v>
      </c>
      <c r="R16" s="101">
        <v>70</v>
      </c>
      <c r="S16" s="101">
        <v>70</v>
      </c>
      <c r="T16" s="101">
        <v>70</v>
      </c>
      <c r="U16" s="101">
        <v>70</v>
      </c>
      <c r="V16" s="180">
        <v>70</v>
      </c>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row>
    <row r="17" spans="2:51" ht="21">
      <c r="B17" s="255"/>
      <c r="C17" s="254"/>
      <c r="D17" s="258"/>
      <c r="E17" s="101"/>
      <c r="F17" s="101"/>
      <c r="G17" s="251" t="str">
        <f t="shared" si="0"/>
        <v xml:space="preserve"> </v>
      </c>
      <c r="H17" s="102"/>
      <c r="I17" s="101"/>
      <c r="J17" s="101"/>
      <c r="K17" s="101"/>
      <c r="L17" s="101"/>
      <c r="M17" s="101"/>
      <c r="N17" s="101"/>
      <c r="O17" s="101"/>
      <c r="P17" s="101"/>
      <c r="Q17" s="101"/>
      <c r="R17" s="101"/>
      <c r="S17" s="101"/>
      <c r="T17" s="101"/>
      <c r="U17" s="101"/>
      <c r="V17" s="180"/>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row>
    <row r="18" spans="2:51" ht="33.75" customHeight="1">
      <c r="B18" s="255"/>
      <c r="C18" s="254"/>
      <c r="D18" s="257"/>
      <c r="E18" s="101"/>
      <c r="F18" s="101"/>
      <c r="G18" s="251" t="str">
        <f t="shared" si="0"/>
        <v xml:space="preserve"> </v>
      </c>
      <c r="H18" s="102"/>
      <c r="I18" s="101"/>
      <c r="J18" s="101"/>
      <c r="K18" s="101"/>
      <c r="L18" s="101"/>
      <c r="M18" s="101"/>
      <c r="N18" s="101"/>
      <c r="O18" s="101"/>
      <c r="P18" s="101"/>
      <c r="Q18" s="101"/>
      <c r="R18" s="101"/>
      <c r="S18" s="101"/>
      <c r="T18" s="101"/>
      <c r="U18" s="101"/>
      <c r="V18" s="180"/>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row>
    <row r="19" spans="2:51" ht="33.75" customHeight="1">
      <c r="B19" s="255"/>
      <c r="C19" s="254"/>
      <c r="D19" s="257"/>
      <c r="E19" s="101"/>
      <c r="F19" s="101"/>
      <c r="G19" s="251" t="str">
        <f t="shared" si="0"/>
        <v xml:space="preserve"> </v>
      </c>
      <c r="H19" s="102"/>
      <c r="I19" s="101"/>
      <c r="J19" s="101"/>
      <c r="K19" s="101"/>
      <c r="L19" s="101"/>
      <c r="M19" s="101"/>
      <c r="N19" s="101"/>
      <c r="O19" s="101"/>
      <c r="P19" s="101"/>
      <c r="Q19" s="101"/>
      <c r="R19" s="101"/>
      <c r="S19" s="101"/>
      <c r="T19" s="101"/>
      <c r="U19" s="101"/>
      <c r="V19" s="180"/>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row>
    <row r="20" spans="2:51" ht="33.75" customHeight="1">
      <c r="B20" s="255"/>
      <c r="C20" s="254"/>
      <c r="D20" s="257"/>
      <c r="E20" s="101"/>
      <c r="F20" s="101"/>
      <c r="G20" s="251" t="str">
        <f t="shared" si="0"/>
        <v xml:space="preserve"> </v>
      </c>
      <c r="H20" s="102"/>
      <c r="I20" s="101"/>
      <c r="J20" s="101"/>
      <c r="K20" s="101"/>
      <c r="L20" s="101"/>
      <c r="M20" s="101"/>
      <c r="N20" s="101"/>
      <c r="O20" s="101"/>
      <c r="P20" s="101"/>
      <c r="Q20" s="101"/>
      <c r="R20" s="101"/>
      <c r="S20" s="101"/>
      <c r="T20" s="101"/>
      <c r="U20" s="101"/>
      <c r="V20" s="180"/>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row>
    <row r="21" spans="2:51" ht="33.75" customHeight="1">
      <c r="B21" s="255"/>
      <c r="C21" s="254"/>
      <c r="D21" s="257"/>
      <c r="E21" s="101"/>
      <c r="F21" s="101"/>
      <c r="G21" s="251" t="str">
        <f t="shared" si="0"/>
        <v xml:space="preserve"> </v>
      </c>
      <c r="H21" s="102"/>
      <c r="I21" s="101"/>
      <c r="J21" s="101"/>
      <c r="K21" s="101"/>
      <c r="L21" s="101"/>
      <c r="M21" s="101"/>
      <c r="N21" s="101"/>
      <c r="O21" s="101"/>
      <c r="P21" s="101"/>
      <c r="Q21" s="101"/>
      <c r="R21" s="101"/>
      <c r="S21" s="101"/>
      <c r="T21" s="101"/>
      <c r="U21" s="101"/>
      <c r="V21" s="180"/>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row>
    <row r="22" spans="2:51" ht="33.75" customHeight="1">
      <c r="B22" s="255"/>
      <c r="C22" s="254"/>
      <c r="D22" s="257"/>
      <c r="E22" s="101"/>
      <c r="F22" s="101"/>
      <c r="G22" s="251" t="str">
        <f t="shared" si="0"/>
        <v xml:space="preserve"> </v>
      </c>
      <c r="H22" s="102"/>
      <c r="I22" s="101"/>
      <c r="J22" s="101"/>
      <c r="K22" s="101"/>
      <c r="L22" s="101"/>
      <c r="M22" s="101"/>
      <c r="N22" s="101"/>
      <c r="O22" s="101"/>
      <c r="P22" s="101"/>
      <c r="Q22" s="101"/>
      <c r="R22" s="101"/>
      <c r="S22" s="101"/>
      <c r="T22" s="101"/>
      <c r="U22" s="101"/>
      <c r="V22" s="180"/>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row>
    <row r="23" spans="2:51" ht="33.75" customHeight="1">
      <c r="B23" s="255"/>
      <c r="C23" s="254"/>
      <c r="D23" s="257"/>
      <c r="E23" s="256"/>
      <c r="F23" s="256"/>
      <c r="G23" s="251" t="str">
        <f t="shared" si="0"/>
        <v xml:space="preserve"> </v>
      </c>
      <c r="H23" s="102"/>
      <c r="I23" s="101"/>
      <c r="J23" s="101"/>
      <c r="K23" s="101"/>
      <c r="L23" s="101"/>
      <c r="M23" s="101"/>
      <c r="N23" s="101"/>
      <c r="O23" s="101"/>
      <c r="P23" s="101"/>
      <c r="Q23" s="101"/>
      <c r="R23" s="101"/>
      <c r="S23" s="101"/>
      <c r="T23" s="101"/>
      <c r="U23" s="101"/>
      <c r="V23" s="180"/>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row>
    <row r="24" spans="2:51" ht="33.75" customHeight="1">
      <c r="B24" s="255"/>
      <c r="C24" s="254"/>
      <c r="D24" s="257"/>
      <c r="E24" s="256"/>
      <c r="F24" s="256"/>
      <c r="G24" s="251" t="str">
        <f t="shared" si="0"/>
        <v xml:space="preserve"> </v>
      </c>
      <c r="H24" s="102"/>
      <c r="I24" s="101"/>
      <c r="J24" s="101"/>
      <c r="K24" s="101"/>
      <c r="L24" s="101"/>
      <c r="M24" s="101"/>
      <c r="N24" s="101"/>
      <c r="O24" s="101"/>
      <c r="P24" s="101"/>
      <c r="Q24" s="101"/>
      <c r="R24" s="101"/>
      <c r="S24" s="101"/>
      <c r="T24" s="101"/>
      <c r="U24" s="101"/>
      <c r="V24" s="180"/>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row>
    <row r="25" spans="2:51" ht="33.75" customHeight="1">
      <c r="B25" s="255"/>
      <c r="C25" s="254"/>
      <c r="D25" s="257"/>
      <c r="E25" s="256"/>
      <c r="F25" s="256"/>
      <c r="G25" s="251" t="str">
        <f t="shared" si="0"/>
        <v xml:space="preserve"> </v>
      </c>
      <c r="H25" s="102"/>
      <c r="I25" s="101"/>
      <c r="J25" s="101"/>
      <c r="K25" s="101"/>
      <c r="L25" s="101"/>
      <c r="M25" s="101"/>
      <c r="N25" s="101"/>
      <c r="O25" s="101"/>
      <c r="P25" s="101"/>
      <c r="Q25" s="101"/>
      <c r="R25" s="101"/>
      <c r="S25" s="101"/>
      <c r="T25" s="101"/>
      <c r="U25" s="101"/>
      <c r="V25" s="180"/>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row>
    <row r="26" spans="2:51" ht="33.75" customHeight="1">
      <c r="B26" s="255"/>
      <c r="C26" s="254"/>
      <c r="D26" s="257"/>
      <c r="E26" s="256"/>
      <c r="F26" s="256"/>
      <c r="G26" s="251" t="str">
        <f t="shared" si="0"/>
        <v xml:space="preserve"> </v>
      </c>
      <c r="H26" s="102"/>
      <c r="I26" s="101"/>
      <c r="J26" s="101"/>
      <c r="K26" s="101"/>
      <c r="L26" s="101"/>
      <c r="M26" s="101"/>
      <c r="N26" s="101"/>
      <c r="O26" s="101"/>
      <c r="P26" s="101"/>
      <c r="Q26" s="101"/>
      <c r="R26" s="101"/>
      <c r="S26" s="101"/>
      <c r="T26" s="101"/>
      <c r="U26" s="101"/>
      <c r="V26" s="180"/>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row>
    <row r="27" spans="2:51" ht="33.75" customHeight="1">
      <c r="B27" s="255"/>
      <c r="C27" s="254"/>
      <c r="D27" s="257"/>
      <c r="E27" s="256"/>
      <c r="F27" s="256"/>
      <c r="G27" s="251" t="str">
        <f t="shared" si="0"/>
        <v xml:space="preserve"> </v>
      </c>
      <c r="H27" s="102"/>
      <c r="I27" s="101"/>
      <c r="J27" s="101"/>
      <c r="K27" s="101"/>
      <c r="L27" s="101"/>
      <c r="M27" s="101"/>
      <c r="N27" s="101"/>
      <c r="O27" s="101"/>
      <c r="P27" s="101"/>
      <c r="Q27" s="101"/>
      <c r="R27" s="101"/>
      <c r="S27" s="101"/>
      <c r="T27" s="101"/>
      <c r="U27" s="101"/>
      <c r="V27" s="180"/>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row>
    <row r="28" spans="2:51" ht="33.75" customHeight="1">
      <c r="B28" s="255"/>
      <c r="C28" s="254"/>
      <c r="D28" s="257"/>
      <c r="E28" s="256"/>
      <c r="F28" s="256"/>
      <c r="G28" s="251" t="str">
        <f t="shared" si="0"/>
        <v xml:space="preserve"> </v>
      </c>
      <c r="H28" s="102"/>
      <c r="I28" s="101"/>
      <c r="J28" s="101"/>
      <c r="K28" s="101"/>
      <c r="L28" s="101"/>
      <c r="M28" s="101"/>
      <c r="N28" s="101"/>
      <c r="O28" s="101"/>
      <c r="P28" s="101"/>
      <c r="Q28" s="101"/>
      <c r="R28" s="101"/>
      <c r="S28" s="101"/>
      <c r="T28" s="101"/>
      <c r="U28" s="101"/>
      <c r="V28" s="180"/>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row>
    <row r="29" spans="2:51" ht="33.75" customHeight="1">
      <c r="B29" s="255"/>
      <c r="C29" s="254"/>
      <c r="D29" s="257"/>
      <c r="E29" s="256"/>
      <c r="F29" s="256"/>
      <c r="G29" s="251" t="str">
        <f t="shared" si="0"/>
        <v xml:space="preserve"> </v>
      </c>
      <c r="H29" s="102"/>
      <c r="I29" s="101"/>
      <c r="J29" s="101"/>
      <c r="K29" s="101"/>
      <c r="L29" s="101"/>
      <c r="M29" s="101"/>
      <c r="N29" s="101"/>
      <c r="O29" s="101"/>
      <c r="P29" s="101"/>
      <c r="Q29" s="101"/>
      <c r="R29" s="101"/>
      <c r="S29" s="101"/>
      <c r="T29" s="101"/>
      <c r="U29" s="101"/>
      <c r="V29" s="180"/>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row>
    <row r="30" spans="2:51" ht="33.75" customHeight="1">
      <c r="B30" s="255"/>
      <c r="C30" s="254"/>
      <c r="D30" s="257"/>
      <c r="E30" s="256"/>
      <c r="F30" s="256"/>
      <c r="G30" s="251" t="str">
        <f t="shared" si="0"/>
        <v xml:space="preserve"> </v>
      </c>
      <c r="H30" s="102"/>
      <c r="I30" s="101"/>
      <c r="J30" s="101"/>
      <c r="K30" s="101"/>
      <c r="L30" s="101"/>
      <c r="M30" s="101"/>
      <c r="N30" s="101"/>
      <c r="O30" s="101"/>
      <c r="P30" s="101"/>
      <c r="Q30" s="101"/>
      <c r="R30" s="101"/>
      <c r="S30" s="101"/>
      <c r="T30" s="101"/>
      <c r="U30" s="101"/>
      <c r="V30" s="180"/>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row>
    <row r="31" spans="2:51" ht="33.75" customHeight="1">
      <c r="B31" s="255"/>
      <c r="C31" s="254"/>
      <c r="D31" s="257"/>
      <c r="E31" s="256"/>
      <c r="F31" s="256"/>
      <c r="G31" s="251" t="str">
        <f t="shared" si="0"/>
        <v xml:space="preserve"> </v>
      </c>
      <c r="H31" s="102"/>
      <c r="I31" s="101"/>
      <c r="J31" s="101"/>
      <c r="K31" s="101"/>
      <c r="L31" s="101"/>
      <c r="M31" s="101"/>
      <c r="N31" s="101"/>
      <c r="O31" s="101"/>
      <c r="P31" s="101"/>
      <c r="Q31" s="101"/>
      <c r="R31" s="101"/>
      <c r="S31" s="101"/>
      <c r="T31" s="101"/>
      <c r="U31" s="101"/>
      <c r="V31" s="180"/>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row>
    <row r="32" spans="2:51" ht="33.75" customHeight="1">
      <c r="B32" s="255"/>
      <c r="C32" s="254"/>
      <c r="D32" s="257"/>
      <c r="E32" s="256"/>
      <c r="F32" s="256"/>
      <c r="G32" s="251" t="str">
        <f t="shared" si="0"/>
        <v xml:space="preserve"> </v>
      </c>
      <c r="H32" s="102"/>
      <c r="I32" s="101"/>
      <c r="J32" s="101"/>
      <c r="K32" s="101"/>
      <c r="L32" s="101"/>
      <c r="M32" s="101"/>
      <c r="N32" s="101"/>
      <c r="O32" s="101"/>
      <c r="P32" s="101"/>
      <c r="Q32" s="101"/>
      <c r="R32" s="101"/>
      <c r="S32" s="101"/>
      <c r="T32" s="101"/>
      <c r="U32" s="101"/>
      <c r="V32" s="180"/>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row>
    <row r="33" spans="1:51" ht="33.75" customHeight="1">
      <c r="B33" s="255"/>
      <c r="C33" s="254"/>
      <c r="D33" s="257"/>
      <c r="E33" s="256"/>
      <c r="F33" s="256"/>
      <c r="G33" s="251" t="str">
        <f t="shared" si="0"/>
        <v xml:space="preserve"> </v>
      </c>
      <c r="H33" s="102"/>
      <c r="I33" s="101"/>
      <c r="J33" s="101"/>
      <c r="K33" s="101"/>
      <c r="L33" s="101"/>
      <c r="M33" s="101"/>
      <c r="N33" s="101"/>
      <c r="O33" s="101"/>
      <c r="P33" s="101"/>
      <c r="Q33" s="101"/>
      <c r="R33" s="101"/>
      <c r="S33" s="101"/>
      <c r="T33" s="101"/>
      <c r="U33" s="101"/>
      <c r="V33" s="180"/>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row>
    <row r="34" spans="1:51" ht="33.75" customHeight="1">
      <c r="B34" s="255"/>
      <c r="C34" s="254"/>
      <c r="D34" s="257"/>
      <c r="E34" s="256"/>
      <c r="F34" s="256"/>
      <c r="G34" s="251" t="str">
        <f t="shared" si="0"/>
        <v xml:space="preserve"> </v>
      </c>
      <c r="H34" s="102"/>
      <c r="I34" s="101"/>
      <c r="J34" s="101"/>
      <c r="K34" s="101"/>
      <c r="L34" s="101"/>
      <c r="M34" s="101"/>
      <c r="N34" s="101"/>
      <c r="O34" s="101"/>
      <c r="P34" s="101"/>
      <c r="Q34" s="101"/>
      <c r="R34" s="101"/>
      <c r="S34" s="101"/>
      <c r="T34" s="101"/>
      <c r="U34" s="101"/>
      <c r="V34" s="180"/>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row>
    <row r="35" spans="1:51" ht="33.75" customHeight="1">
      <c r="B35" s="255"/>
      <c r="C35" s="254"/>
      <c r="D35" s="257"/>
      <c r="E35" s="256"/>
      <c r="F35" s="256"/>
      <c r="G35" s="251" t="str">
        <f t="shared" si="0"/>
        <v xml:space="preserve"> </v>
      </c>
      <c r="H35" s="102"/>
      <c r="I35" s="101"/>
      <c r="J35" s="101"/>
      <c r="K35" s="101"/>
      <c r="L35" s="101"/>
      <c r="M35" s="101"/>
      <c r="N35" s="101"/>
      <c r="O35" s="101"/>
      <c r="P35" s="101"/>
      <c r="Q35" s="101"/>
      <c r="R35" s="101"/>
      <c r="S35" s="101"/>
      <c r="T35" s="101"/>
      <c r="U35" s="101"/>
      <c r="V35" s="180"/>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row>
    <row r="36" spans="1:51" ht="33.75" customHeight="1">
      <c r="B36" s="255"/>
      <c r="C36" s="254"/>
      <c r="D36" s="257"/>
      <c r="E36" s="256"/>
      <c r="F36" s="256"/>
      <c r="G36" s="251" t="str">
        <f t="shared" si="0"/>
        <v xml:space="preserve"> </v>
      </c>
      <c r="H36" s="102"/>
      <c r="I36" s="101"/>
      <c r="J36" s="101"/>
      <c r="K36" s="101"/>
      <c r="L36" s="101"/>
      <c r="M36" s="101"/>
      <c r="N36" s="101"/>
      <c r="O36" s="101"/>
      <c r="P36" s="101"/>
      <c r="Q36" s="101"/>
      <c r="R36" s="101"/>
      <c r="S36" s="101"/>
      <c r="T36" s="101"/>
      <c r="U36" s="101"/>
      <c r="V36" s="180"/>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row>
    <row r="37" spans="1:51" ht="33.75" customHeight="1">
      <c r="B37" s="255"/>
      <c r="C37" s="254"/>
      <c r="D37" s="257"/>
      <c r="E37" s="256"/>
      <c r="F37" s="256"/>
      <c r="G37" s="251" t="str">
        <f t="shared" si="0"/>
        <v xml:space="preserve"> </v>
      </c>
      <c r="H37" s="102"/>
      <c r="I37" s="101"/>
      <c r="J37" s="101"/>
      <c r="K37" s="101"/>
      <c r="L37" s="101"/>
      <c r="M37" s="101"/>
      <c r="N37" s="101"/>
      <c r="O37" s="101"/>
      <c r="P37" s="101"/>
      <c r="Q37" s="101"/>
      <c r="R37" s="101"/>
      <c r="S37" s="101"/>
      <c r="T37" s="101"/>
      <c r="U37" s="101"/>
      <c r="V37" s="180"/>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c r="AW37" s="55"/>
      <c r="AX37" s="55"/>
      <c r="AY37" s="55"/>
    </row>
    <row r="38" spans="1:51" ht="33.75" customHeight="1">
      <c r="B38" s="255"/>
      <c r="C38" s="254"/>
      <c r="D38" s="257"/>
      <c r="E38" s="256"/>
      <c r="F38" s="256"/>
      <c r="G38" s="251" t="str">
        <f t="shared" si="0"/>
        <v xml:space="preserve"> </v>
      </c>
      <c r="H38" s="102"/>
      <c r="I38" s="101"/>
      <c r="J38" s="101"/>
      <c r="K38" s="101"/>
      <c r="L38" s="101"/>
      <c r="M38" s="101"/>
      <c r="N38" s="101"/>
      <c r="O38" s="101"/>
      <c r="P38" s="101"/>
      <c r="Q38" s="101"/>
      <c r="R38" s="101"/>
      <c r="S38" s="101"/>
      <c r="T38" s="101"/>
      <c r="U38" s="101"/>
      <c r="V38" s="180"/>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5"/>
    </row>
    <row r="39" spans="1:51" ht="33.75" customHeight="1">
      <c r="B39" s="255"/>
      <c r="C39" s="254"/>
      <c r="D39" s="257"/>
      <c r="E39" s="256"/>
      <c r="F39" s="256"/>
      <c r="G39" s="251" t="str">
        <f t="shared" si="0"/>
        <v xml:space="preserve"> </v>
      </c>
      <c r="H39" s="102"/>
      <c r="I39" s="101"/>
      <c r="J39" s="101"/>
      <c r="K39" s="101"/>
      <c r="L39" s="101"/>
      <c r="M39" s="101"/>
      <c r="N39" s="101"/>
      <c r="O39" s="101"/>
      <c r="P39" s="101"/>
      <c r="Q39" s="101"/>
      <c r="R39" s="101"/>
      <c r="S39" s="101"/>
      <c r="T39" s="101"/>
      <c r="U39" s="101"/>
      <c r="V39" s="180"/>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row>
    <row r="40" spans="1:51" ht="33.75" customHeight="1">
      <c r="B40" s="255"/>
      <c r="C40" s="254"/>
      <c r="D40" s="257"/>
      <c r="E40" s="256"/>
      <c r="F40" s="256"/>
      <c r="G40" s="251" t="str">
        <f t="shared" si="0"/>
        <v xml:space="preserve"> </v>
      </c>
      <c r="H40" s="102"/>
      <c r="I40" s="101"/>
      <c r="J40" s="101"/>
      <c r="K40" s="101"/>
      <c r="L40" s="101"/>
      <c r="M40" s="101"/>
      <c r="N40" s="101"/>
      <c r="O40" s="101"/>
      <c r="P40" s="101"/>
      <c r="Q40" s="101"/>
      <c r="R40" s="101"/>
      <c r="S40" s="101"/>
      <c r="T40" s="101"/>
      <c r="U40" s="101"/>
      <c r="V40" s="180"/>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row>
    <row r="41" spans="1:51" ht="33.75" customHeight="1" thickBot="1">
      <c r="B41" s="255"/>
      <c r="C41" s="254"/>
      <c r="D41" s="253"/>
      <c r="E41" s="252"/>
      <c r="F41" s="252"/>
      <c r="G41" s="251" t="str">
        <f t="shared" si="0"/>
        <v xml:space="preserve"> </v>
      </c>
      <c r="H41" s="59"/>
      <c r="I41" s="203"/>
      <c r="J41" s="203"/>
      <c r="K41" s="203"/>
      <c r="L41" s="203"/>
      <c r="M41" s="203"/>
      <c r="N41" s="203"/>
      <c r="O41" s="203"/>
      <c r="P41" s="203"/>
      <c r="Q41" s="203"/>
      <c r="R41" s="250"/>
      <c r="S41" s="250"/>
      <c r="T41" s="250"/>
      <c r="U41" s="250"/>
      <c r="V41" s="249"/>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row>
    <row r="42" spans="1:51" ht="33.75" customHeight="1" thickTop="1" thickBot="1">
      <c r="B42" s="98"/>
      <c r="C42" s="91"/>
      <c r="D42" s="248" t="s">
        <v>83</v>
      </c>
      <c r="E42" s="90"/>
      <c r="F42" s="90"/>
      <c r="G42" s="90"/>
      <c r="H42" s="96">
        <f t="shared" ref="H42:V42" si="1">SUM(H11:H40)</f>
        <v>2665</v>
      </c>
      <c r="I42" s="97">
        <f t="shared" si="1"/>
        <v>2985</v>
      </c>
      <c r="J42" s="247">
        <f t="shared" si="1"/>
        <v>3375</v>
      </c>
      <c r="K42" s="97">
        <f t="shared" si="1"/>
        <v>3835</v>
      </c>
      <c r="L42" s="97">
        <f t="shared" si="1"/>
        <v>4415</v>
      </c>
      <c r="M42" s="97">
        <f t="shared" si="1"/>
        <v>4415</v>
      </c>
      <c r="N42" s="97">
        <f t="shared" si="1"/>
        <v>4415</v>
      </c>
      <c r="O42" s="154">
        <f t="shared" si="1"/>
        <v>4415</v>
      </c>
      <c r="P42" s="154">
        <f t="shared" si="1"/>
        <v>4415</v>
      </c>
      <c r="Q42" s="154">
        <f t="shared" si="1"/>
        <v>4415</v>
      </c>
      <c r="R42" s="154">
        <f t="shared" si="1"/>
        <v>4415</v>
      </c>
      <c r="S42" s="154">
        <f t="shared" si="1"/>
        <v>4415</v>
      </c>
      <c r="T42" s="154">
        <f t="shared" si="1"/>
        <v>4415</v>
      </c>
      <c r="U42" s="154">
        <f t="shared" si="1"/>
        <v>4415</v>
      </c>
      <c r="V42" s="153">
        <f t="shared" si="1"/>
        <v>4415</v>
      </c>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row>
    <row r="43" spans="1:51" ht="47.25" customHeight="1" thickTop="1">
      <c r="B43" s="58"/>
      <c r="C43" s="58"/>
      <c r="D43" s="58"/>
      <c r="E43" s="58"/>
      <c r="F43" s="58"/>
      <c r="G43" s="246"/>
      <c r="H43" s="58"/>
      <c r="I43" s="58"/>
      <c r="J43" s="58"/>
      <c r="K43" s="58"/>
      <c r="L43" s="58"/>
      <c r="M43" s="58"/>
      <c r="N43" s="58"/>
      <c r="O43" s="58"/>
      <c r="P43" s="58"/>
      <c r="Q43" s="58"/>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5"/>
    </row>
    <row r="44" spans="1:51">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row>
    <row r="45" spans="1:51">
      <c r="A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row>
    <row r="46" spans="1:51">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5"/>
    </row>
    <row r="47" spans="1:51" ht="13.5" customHeight="1">
      <c r="U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5"/>
    </row>
    <row r="48" spans="1:51" ht="19.5" customHeight="1" thickBot="1">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row>
    <row r="49" spans="1:51" ht="33.75" customHeight="1" thickTop="1" thickBot="1">
      <c r="A49" s="57">
        <v>2</v>
      </c>
      <c r="B49" s="54" t="s">
        <v>84</v>
      </c>
      <c r="D49" s="57"/>
      <c r="E49" s="57"/>
      <c r="F49" s="57"/>
      <c r="G49" s="57"/>
      <c r="L49" s="152" t="s">
        <v>85</v>
      </c>
      <c r="M49" s="151"/>
      <c r="U49" s="55"/>
      <c r="V49" s="55"/>
      <c r="W49" s="55"/>
      <c r="X49" s="55"/>
      <c r="Y49" s="55"/>
      <c r="Z49" s="55"/>
      <c r="AA49" s="55"/>
      <c r="AB49" s="55"/>
      <c r="AC49" s="55"/>
      <c r="AD49" s="55"/>
      <c r="AE49" s="55"/>
      <c r="AF49" s="55"/>
      <c r="AG49" s="55"/>
      <c r="AH49" s="55"/>
      <c r="AI49" s="55"/>
      <c r="AJ49" s="55"/>
      <c r="AK49" s="55"/>
      <c r="AL49" s="55"/>
      <c r="AM49" s="55"/>
      <c r="AN49" s="55"/>
      <c r="AO49" s="55"/>
      <c r="AP49" s="55"/>
      <c r="AQ49" s="55"/>
      <c r="AR49" s="55"/>
      <c r="AS49" s="55"/>
      <c r="AT49" s="55"/>
      <c r="AU49" s="55"/>
      <c r="AV49" s="55"/>
      <c r="AW49" s="55"/>
      <c r="AX49" s="55"/>
      <c r="AY49" s="55"/>
    </row>
    <row r="50" spans="1:51" ht="21.75" customHeight="1" thickTop="1">
      <c r="D50" s="57"/>
      <c r="E50" s="57"/>
      <c r="F50" s="57"/>
      <c r="G50" s="57"/>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row>
    <row r="51" spans="1:51" ht="21.75" customHeight="1" thickBot="1">
      <c r="A51" s="57"/>
      <c r="B51" s="57"/>
      <c r="C51" s="57"/>
      <c r="D51" s="57"/>
      <c r="E51" s="57"/>
      <c r="F51" s="57"/>
      <c r="G51" s="57"/>
      <c r="H51" s="57"/>
      <c r="I51" s="57"/>
      <c r="J51" s="57"/>
      <c r="K51" s="57"/>
      <c r="L51" s="57"/>
      <c r="M51" s="57"/>
      <c r="N51" s="57"/>
      <c r="O51" s="57"/>
      <c r="P51" s="57"/>
      <c r="Q51" s="57"/>
      <c r="R51" s="57"/>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row>
    <row r="52" spans="1:51" ht="36" customHeight="1" thickTop="1">
      <c r="A52" s="57"/>
      <c r="B52" s="173"/>
      <c r="C52" s="245" t="s">
        <v>74</v>
      </c>
      <c r="D52" s="236" t="str">
        <f>"    "&amp;'Financial Stat.'!C318</f>
        <v xml:space="preserve">      2026</v>
      </c>
      <c r="E52" s="235" t="str">
        <f>"    "&amp;'Financial Stat.'!D318</f>
        <v xml:space="preserve">      2027</v>
      </c>
      <c r="F52" s="235" t="str">
        <f>"    "&amp;'Financial Stat.'!E318</f>
        <v xml:space="preserve">      2028</v>
      </c>
      <c r="G52" s="235" t="str">
        <f>"    "&amp;'Financial Stat.'!F318</f>
        <v xml:space="preserve">      2029</v>
      </c>
      <c r="H52" s="235" t="str">
        <f>"    "&amp;'Financial Stat.'!G318</f>
        <v xml:space="preserve">      2030</v>
      </c>
      <c r="I52" s="235" t="str">
        <f>"    "&amp;'Financial Stat.'!H318</f>
        <v xml:space="preserve">      2031</v>
      </c>
      <c r="J52" s="235" t="str">
        <f>"    "&amp;'Financial Stat.'!I318</f>
        <v xml:space="preserve">      2032</v>
      </c>
      <c r="K52" s="235" t="str">
        <f>"    "&amp;'Financial Stat.'!J318</f>
        <v xml:space="preserve">      2033</v>
      </c>
      <c r="L52" s="235" t="str">
        <f>"    "&amp;'Financial Stat.'!K318</f>
        <v xml:space="preserve">      2034</v>
      </c>
      <c r="M52" s="235" t="str">
        <f>"    "&amp;'Financial Stat.'!L318</f>
        <v xml:space="preserve">      2035</v>
      </c>
      <c r="N52" s="235" t="str">
        <f>"    "&amp;'Financial Stat.'!M318</f>
        <v xml:space="preserve">      2036</v>
      </c>
      <c r="O52" s="235" t="str">
        <f>"    "&amp;'Financial Stat.'!N318</f>
        <v xml:space="preserve">      2037</v>
      </c>
      <c r="P52" s="235" t="str">
        <f>"    "&amp;'Financial Stat.'!O318</f>
        <v xml:space="preserve">      2038</v>
      </c>
      <c r="Q52" s="235" t="str">
        <f>"    "&amp;'Financial Stat.'!P318</f>
        <v xml:space="preserve">      2039</v>
      </c>
      <c r="R52" s="234" t="str">
        <f>"    "&amp;'Financial Stat.'!Q318</f>
        <v xml:space="preserve">      2040</v>
      </c>
      <c r="S52" s="55"/>
      <c r="T52" s="55"/>
      <c r="U52" s="55"/>
      <c r="V52" s="55"/>
      <c r="W52" s="55"/>
      <c r="X52" s="55"/>
      <c r="Y52" s="55"/>
      <c r="Z52" s="55"/>
      <c r="AA52" s="55"/>
      <c r="AB52" s="55"/>
      <c r="AC52" s="55"/>
      <c r="AD52" s="55"/>
      <c r="AE52" s="55"/>
      <c r="AF52" s="55"/>
      <c r="AG52" s="55"/>
      <c r="AH52" s="55"/>
      <c r="AI52" s="55"/>
      <c r="AJ52" s="55"/>
      <c r="AK52" s="55"/>
      <c r="AL52" s="55"/>
      <c r="AM52" s="55"/>
      <c r="AN52" s="55"/>
      <c r="AO52" s="55"/>
      <c r="AP52" s="55"/>
      <c r="AQ52" s="55"/>
      <c r="AR52" s="55"/>
      <c r="AS52" s="55"/>
      <c r="AT52" s="55"/>
      <c r="AU52" s="55"/>
      <c r="AV52" s="55"/>
      <c r="AW52" s="55"/>
      <c r="AX52" s="55"/>
      <c r="AY52" s="55"/>
    </row>
    <row r="53" spans="1:51" ht="36" customHeight="1" thickBot="1">
      <c r="A53" s="57"/>
      <c r="B53" s="171"/>
      <c r="C53" s="243"/>
      <c r="D53" s="502" t="s">
        <v>86</v>
      </c>
      <c r="E53" s="503" t="s">
        <v>86</v>
      </c>
      <c r="F53" s="503" t="s">
        <v>86</v>
      </c>
      <c r="G53" s="503" t="s">
        <v>86</v>
      </c>
      <c r="H53" s="503" t="s">
        <v>86</v>
      </c>
      <c r="I53" s="503" t="s">
        <v>86</v>
      </c>
      <c r="J53" s="503" t="s">
        <v>86</v>
      </c>
      <c r="K53" s="503" t="s">
        <v>86</v>
      </c>
      <c r="L53" s="503" t="s">
        <v>86</v>
      </c>
      <c r="M53" s="503" t="s">
        <v>86</v>
      </c>
      <c r="N53" s="503" t="s">
        <v>86</v>
      </c>
      <c r="O53" s="503" t="s">
        <v>86</v>
      </c>
      <c r="P53" s="503" t="s">
        <v>86</v>
      </c>
      <c r="Q53" s="503" t="s">
        <v>86</v>
      </c>
      <c r="R53" s="501" t="s">
        <v>86</v>
      </c>
      <c r="S53" s="55"/>
      <c r="T53" s="55"/>
      <c r="U53" s="55"/>
      <c r="V53" s="55"/>
      <c r="W53" s="55"/>
      <c r="X53" s="55"/>
      <c r="Y53" s="55"/>
      <c r="Z53" s="55"/>
      <c r="AA53" s="55"/>
      <c r="AB53" s="55"/>
      <c r="AC53" s="55"/>
      <c r="AD53" s="55"/>
      <c r="AE53" s="55"/>
      <c r="AF53" s="55"/>
      <c r="AG53" s="55"/>
      <c r="AH53" s="55"/>
      <c r="AI53" s="55"/>
      <c r="AJ53" s="55"/>
      <c r="AK53" s="55"/>
      <c r="AL53" s="55"/>
      <c r="AM53" s="55"/>
      <c r="AN53" s="55"/>
      <c r="AO53" s="55"/>
      <c r="AP53" s="55"/>
      <c r="AQ53" s="55"/>
      <c r="AR53" s="55"/>
      <c r="AS53" s="55"/>
      <c r="AT53" s="55"/>
      <c r="AU53" s="55"/>
      <c r="AV53" s="55"/>
      <c r="AW53" s="55"/>
      <c r="AX53" s="55"/>
      <c r="AY53" s="55"/>
    </row>
    <row r="54" spans="1:51" ht="36" customHeight="1" thickTop="1">
      <c r="A54" s="57"/>
      <c r="B54" s="113"/>
      <c r="C54" s="114" t="s">
        <v>70</v>
      </c>
      <c r="D54" s="214" t="s">
        <v>70</v>
      </c>
      <c r="E54" s="213" t="s">
        <v>70</v>
      </c>
      <c r="F54" s="213" t="s">
        <v>70</v>
      </c>
      <c r="G54" s="213" t="s">
        <v>70</v>
      </c>
      <c r="H54" s="213" t="s">
        <v>70</v>
      </c>
      <c r="I54" s="213" t="s">
        <v>70</v>
      </c>
      <c r="J54" s="213" t="s">
        <v>70</v>
      </c>
      <c r="K54" s="213" t="s">
        <v>70</v>
      </c>
      <c r="L54" s="213" t="s">
        <v>70</v>
      </c>
      <c r="M54" s="213" t="s">
        <v>70</v>
      </c>
      <c r="N54" s="213" t="s">
        <v>70</v>
      </c>
      <c r="O54" s="213" t="s">
        <v>70</v>
      </c>
      <c r="P54" s="213" t="s">
        <v>70</v>
      </c>
      <c r="Q54" s="213" t="s">
        <v>70</v>
      </c>
      <c r="R54" s="212" t="s">
        <v>70</v>
      </c>
      <c r="S54" s="55"/>
      <c r="T54" s="55"/>
      <c r="U54" s="55"/>
      <c r="V54" s="55"/>
      <c r="W54" s="55"/>
      <c r="X54" s="55"/>
      <c r="Y54" s="55"/>
      <c r="Z54" s="55"/>
      <c r="AA54" s="55"/>
      <c r="AB54" s="55"/>
      <c r="AC54" s="55"/>
      <c r="AD54" s="55"/>
      <c r="AE54" s="55"/>
      <c r="AF54" s="55"/>
      <c r="AG54" s="55"/>
      <c r="AH54" s="55"/>
      <c r="AI54" s="55"/>
      <c r="AJ54" s="55"/>
      <c r="AK54" s="55"/>
      <c r="AL54" s="55"/>
      <c r="AM54" s="55"/>
      <c r="AN54" s="55"/>
      <c r="AO54" s="55"/>
      <c r="AP54" s="55"/>
      <c r="AQ54" s="55"/>
      <c r="AR54" s="55"/>
      <c r="AS54" s="55"/>
      <c r="AT54" s="55"/>
      <c r="AU54" s="55"/>
      <c r="AV54" s="55"/>
      <c r="AW54" s="55"/>
      <c r="AX54" s="55"/>
      <c r="AY54" s="55"/>
    </row>
    <row r="55" spans="1:51" ht="36" customHeight="1">
      <c r="B55" s="241">
        <f t="shared" ref="B55:B84" si="2">B11</f>
        <v>0</v>
      </c>
      <c r="C55" s="242" t="str">
        <f t="shared" ref="C55:C84" si="3">IF(ISERR(TRIM(C11)),"",TRIM(C11))</f>
        <v>PET Cups Local</v>
      </c>
      <c r="D55" s="100">
        <f t="shared" ref="D55:D84" si="4">ROUND((+H11*$E11)/1000,0)</f>
        <v>4095</v>
      </c>
      <c r="E55" s="105">
        <f t="shared" ref="E55:E84" si="5">ROUND((+I11*$E11)/1000,0)</f>
        <v>5242</v>
      </c>
      <c r="F55" s="105">
        <f t="shared" ref="F55:F84" si="6">ROUND((+J11*$E11)/1000,0)</f>
        <v>6880</v>
      </c>
      <c r="G55" s="105">
        <f t="shared" ref="G55:G84" si="7">ROUND((+K11*$E11)/1000,0)</f>
        <v>9173</v>
      </c>
      <c r="H55" s="105">
        <f t="shared" ref="H55:H84" si="8">ROUND((+L11*$E11)/1000,0)</f>
        <v>11794</v>
      </c>
      <c r="I55" s="105">
        <f t="shared" ref="I55:I84" si="9">ROUND((+M11*$E11)/1000,0)</f>
        <v>11794</v>
      </c>
      <c r="J55" s="105">
        <f t="shared" ref="J55:J84" si="10">ROUND((+N11*$E11)/1000,0)</f>
        <v>11794</v>
      </c>
      <c r="K55" s="105">
        <f t="shared" ref="K55:K84" si="11">ROUND((+O11*$E11)/1000,0)</f>
        <v>11794</v>
      </c>
      <c r="L55" s="105">
        <f t="shared" ref="L55:L84" si="12">ROUND((+P11*$E11)/1000,0)</f>
        <v>11794</v>
      </c>
      <c r="M55" s="105">
        <f t="shared" ref="M55:M84" si="13">ROUND((+Q11*$E11)/1000,0)</f>
        <v>11794</v>
      </c>
      <c r="N55" s="105">
        <f t="shared" ref="N55:N84" si="14">ROUND((+R11*$E11)/1000,0)</f>
        <v>11794</v>
      </c>
      <c r="O55" s="105">
        <f t="shared" ref="O55:O84" si="15">ROUND((+S11*$E11)/1000,0)</f>
        <v>11794</v>
      </c>
      <c r="P55" s="105">
        <f t="shared" ref="P55:P84" si="16">ROUND((+T11*$E11)/1000,0)</f>
        <v>11794</v>
      </c>
      <c r="Q55" s="105">
        <f t="shared" ref="Q55:Q84" si="17">ROUND((+U11*$E11)/1000,0)</f>
        <v>11794</v>
      </c>
      <c r="R55" s="160">
        <f t="shared" ref="R55:R84" si="18">ROUND((+V11*$E11)/1000,0)</f>
        <v>11794</v>
      </c>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row>
    <row r="56" spans="1:51" ht="36" customHeight="1">
      <c r="B56" s="241">
        <f t="shared" si="2"/>
        <v>0</v>
      </c>
      <c r="C56" s="242" t="str">
        <f t="shared" si="3"/>
        <v>PET Cups (Export)</v>
      </c>
      <c r="D56" s="100">
        <f t="shared" si="4"/>
        <v>491</v>
      </c>
      <c r="E56" s="105">
        <f t="shared" si="5"/>
        <v>655</v>
      </c>
      <c r="F56" s="105">
        <f t="shared" si="6"/>
        <v>983</v>
      </c>
      <c r="G56" s="105">
        <f t="shared" si="7"/>
        <v>1310</v>
      </c>
      <c r="H56" s="105">
        <f t="shared" si="8"/>
        <v>1966</v>
      </c>
      <c r="I56" s="105">
        <f t="shared" si="9"/>
        <v>1966</v>
      </c>
      <c r="J56" s="105">
        <f t="shared" si="10"/>
        <v>1966</v>
      </c>
      <c r="K56" s="105">
        <f t="shared" si="11"/>
        <v>1966</v>
      </c>
      <c r="L56" s="105">
        <f t="shared" si="12"/>
        <v>1966</v>
      </c>
      <c r="M56" s="105">
        <f t="shared" si="13"/>
        <v>1966</v>
      </c>
      <c r="N56" s="105">
        <f t="shared" si="14"/>
        <v>1966</v>
      </c>
      <c r="O56" s="105">
        <f t="shared" si="15"/>
        <v>1966</v>
      </c>
      <c r="P56" s="105">
        <f t="shared" si="16"/>
        <v>1966</v>
      </c>
      <c r="Q56" s="105">
        <f t="shared" si="17"/>
        <v>1966</v>
      </c>
      <c r="R56" s="160">
        <f t="shared" si="18"/>
        <v>1966</v>
      </c>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row>
    <row r="57" spans="1:51" ht="36" customHeight="1">
      <c r="B57" s="241">
        <f t="shared" si="2"/>
        <v>0</v>
      </c>
      <c r="C57" s="242" t="str">
        <f t="shared" si="3"/>
        <v>PP Containers Local</v>
      </c>
      <c r="D57" s="100">
        <f t="shared" si="4"/>
        <v>10573</v>
      </c>
      <c r="E57" s="105">
        <f t="shared" si="5"/>
        <v>11234</v>
      </c>
      <c r="F57" s="105">
        <f t="shared" si="6"/>
        <v>11564</v>
      </c>
      <c r="G57" s="105">
        <f t="shared" si="7"/>
        <v>11748</v>
      </c>
      <c r="H57" s="105">
        <f t="shared" si="8"/>
        <v>12115</v>
      </c>
      <c r="I57" s="105">
        <f t="shared" si="9"/>
        <v>12115</v>
      </c>
      <c r="J57" s="105">
        <f t="shared" si="10"/>
        <v>12115</v>
      </c>
      <c r="K57" s="105">
        <f t="shared" si="11"/>
        <v>12115</v>
      </c>
      <c r="L57" s="105">
        <f t="shared" si="12"/>
        <v>12115</v>
      </c>
      <c r="M57" s="105">
        <f t="shared" si="13"/>
        <v>12115</v>
      </c>
      <c r="N57" s="105">
        <f t="shared" si="14"/>
        <v>12115</v>
      </c>
      <c r="O57" s="105">
        <f t="shared" si="15"/>
        <v>12115</v>
      </c>
      <c r="P57" s="105">
        <f t="shared" si="16"/>
        <v>12115</v>
      </c>
      <c r="Q57" s="105">
        <f t="shared" si="17"/>
        <v>12115</v>
      </c>
      <c r="R57" s="160">
        <f t="shared" si="18"/>
        <v>12115</v>
      </c>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row>
    <row r="58" spans="1:51" ht="36" customHeight="1">
      <c r="B58" s="241">
        <f t="shared" si="2"/>
        <v>0</v>
      </c>
      <c r="C58" s="242" t="str">
        <f t="shared" si="3"/>
        <v>PP Containers (Export)</v>
      </c>
      <c r="D58" s="100">
        <f t="shared" si="4"/>
        <v>1390</v>
      </c>
      <c r="E58" s="105">
        <f t="shared" si="5"/>
        <v>1461</v>
      </c>
      <c r="F58" s="105">
        <f t="shared" si="6"/>
        <v>1533</v>
      </c>
      <c r="G58" s="105">
        <f t="shared" si="7"/>
        <v>1604</v>
      </c>
      <c r="H58" s="105">
        <f t="shared" si="8"/>
        <v>1640</v>
      </c>
      <c r="I58" s="105">
        <f t="shared" si="9"/>
        <v>1640</v>
      </c>
      <c r="J58" s="105">
        <f t="shared" si="10"/>
        <v>1640</v>
      </c>
      <c r="K58" s="105">
        <f t="shared" si="11"/>
        <v>1640</v>
      </c>
      <c r="L58" s="105">
        <f t="shared" si="12"/>
        <v>1640</v>
      </c>
      <c r="M58" s="105">
        <f t="shared" si="13"/>
        <v>1640</v>
      </c>
      <c r="N58" s="105">
        <f t="shared" si="14"/>
        <v>1640</v>
      </c>
      <c r="O58" s="105">
        <f t="shared" si="15"/>
        <v>1640</v>
      </c>
      <c r="P58" s="105">
        <f t="shared" si="16"/>
        <v>1640</v>
      </c>
      <c r="Q58" s="105">
        <f t="shared" si="17"/>
        <v>1640</v>
      </c>
      <c r="R58" s="160">
        <f t="shared" si="18"/>
        <v>1640</v>
      </c>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row>
    <row r="59" spans="1:51" ht="36" customHeight="1">
      <c r="B59" s="241">
        <f t="shared" si="2"/>
        <v>0</v>
      </c>
      <c r="C59" s="242" t="str">
        <f t="shared" si="3"/>
        <v>PET Containers Local</v>
      </c>
      <c r="D59" s="100">
        <f t="shared" si="4"/>
        <v>1426</v>
      </c>
      <c r="E59" s="105">
        <f t="shared" si="5"/>
        <v>1501</v>
      </c>
      <c r="F59" s="105">
        <f t="shared" si="6"/>
        <v>1652</v>
      </c>
      <c r="G59" s="105">
        <f t="shared" si="7"/>
        <v>1752</v>
      </c>
      <c r="H59" s="105">
        <f t="shared" si="8"/>
        <v>1827</v>
      </c>
      <c r="I59" s="105">
        <f t="shared" si="9"/>
        <v>1827</v>
      </c>
      <c r="J59" s="105">
        <f t="shared" si="10"/>
        <v>1827</v>
      </c>
      <c r="K59" s="105">
        <f t="shared" si="11"/>
        <v>1827</v>
      </c>
      <c r="L59" s="105">
        <f t="shared" si="12"/>
        <v>1827</v>
      </c>
      <c r="M59" s="105">
        <f t="shared" si="13"/>
        <v>1827</v>
      </c>
      <c r="N59" s="105">
        <f t="shared" si="14"/>
        <v>1827</v>
      </c>
      <c r="O59" s="105">
        <f t="shared" si="15"/>
        <v>1827</v>
      </c>
      <c r="P59" s="105">
        <f t="shared" si="16"/>
        <v>1827</v>
      </c>
      <c r="Q59" s="105">
        <f t="shared" si="17"/>
        <v>1827</v>
      </c>
      <c r="R59" s="160">
        <f t="shared" si="18"/>
        <v>1827</v>
      </c>
      <c r="S59" s="55"/>
      <c r="T59" s="55"/>
      <c r="U59" s="55"/>
      <c r="V59" s="55"/>
      <c r="W59" s="55"/>
      <c r="X59" s="55"/>
      <c r="Y59" s="55"/>
      <c r="Z59" s="55"/>
      <c r="AA59" s="55"/>
      <c r="AB59" s="55"/>
      <c r="AC59" s="55"/>
      <c r="AD59" s="55"/>
      <c r="AE59" s="55"/>
      <c r="AF59" s="55"/>
      <c r="AG59" s="55"/>
      <c r="AH59" s="55"/>
      <c r="AI59" s="55"/>
      <c r="AJ59" s="55"/>
      <c r="AK59" s="55"/>
      <c r="AL59" s="55"/>
      <c r="AM59" s="55"/>
      <c r="AN59" s="55"/>
      <c r="AO59" s="55"/>
      <c r="AP59" s="55"/>
      <c r="AQ59" s="55"/>
      <c r="AR59" s="55"/>
      <c r="AS59" s="55"/>
      <c r="AT59" s="55"/>
      <c r="AU59" s="55"/>
      <c r="AV59" s="55"/>
      <c r="AW59" s="55"/>
      <c r="AX59" s="55"/>
      <c r="AY59" s="55"/>
    </row>
    <row r="60" spans="1:51" ht="36" customHeight="1">
      <c r="B60" s="241">
        <f t="shared" si="2"/>
        <v>0</v>
      </c>
      <c r="C60" s="242" t="str">
        <f t="shared" si="3"/>
        <v>PET Containers (Export)</v>
      </c>
      <c r="D60" s="100">
        <f t="shared" si="4"/>
        <v>244</v>
      </c>
      <c r="E60" s="105">
        <f t="shared" si="5"/>
        <v>271</v>
      </c>
      <c r="F60" s="105">
        <f t="shared" si="6"/>
        <v>298</v>
      </c>
      <c r="G60" s="105">
        <f t="shared" si="7"/>
        <v>325</v>
      </c>
      <c r="H60" s="105">
        <f t="shared" si="8"/>
        <v>379</v>
      </c>
      <c r="I60" s="105">
        <f t="shared" si="9"/>
        <v>379</v>
      </c>
      <c r="J60" s="105">
        <f t="shared" si="10"/>
        <v>379</v>
      </c>
      <c r="K60" s="105">
        <f t="shared" si="11"/>
        <v>379</v>
      </c>
      <c r="L60" s="105">
        <f t="shared" si="12"/>
        <v>379</v>
      </c>
      <c r="M60" s="105">
        <f t="shared" si="13"/>
        <v>379</v>
      </c>
      <c r="N60" s="105">
        <f t="shared" si="14"/>
        <v>379</v>
      </c>
      <c r="O60" s="105">
        <f t="shared" si="15"/>
        <v>379</v>
      </c>
      <c r="P60" s="105">
        <f t="shared" si="16"/>
        <v>379</v>
      </c>
      <c r="Q60" s="105">
        <f t="shared" si="17"/>
        <v>379</v>
      </c>
      <c r="R60" s="160">
        <f t="shared" si="18"/>
        <v>379</v>
      </c>
      <c r="S60" s="55"/>
      <c r="T60" s="55"/>
      <c r="U60" s="55"/>
      <c r="V60" s="55"/>
      <c r="W60" s="55"/>
      <c r="X60" s="55"/>
      <c r="Y60" s="55"/>
      <c r="Z60" s="55"/>
      <c r="AA60" s="55"/>
      <c r="AB60" s="55"/>
      <c r="AC60" s="55"/>
      <c r="AD60" s="55"/>
      <c r="AE60" s="55"/>
      <c r="AF60" s="55"/>
      <c r="AG60" s="55"/>
      <c r="AH60" s="55"/>
      <c r="AI60" s="55"/>
      <c r="AJ60" s="55"/>
      <c r="AK60" s="55"/>
      <c r="AL60" s="55"/>
      <c r="AM60" s="55"/>
      <c r="AN60" s="55"/>
      <c r="AO60" s="55"/>
      <c r="AP60" s="55"/>
      <c r="AQ60" s="55"/>
      <c r="AR60" s="55"/>
      <c r="AS60" s="55"/>
      <c r="AT60" s="55"/>
      <c r="AU60" s="55"/>
      <c r="AV60" s="55"/>
      <c r="AW60" s="55"/>
      <c r="AX60" s="55"/>
      <c r="AY60" s="55"/>
    </row>
    <row r="61" spans="1:51" ht="36" customHeight="1">
      <c r="B61" s="241">
        <f t="shared" si="2"/>
        <v>0</v>
      </c>
      <c r="C61" s="242" t="str">
        <f t="shared" si="3"/>
        <v/>
      </c>
      <c r="D61" s="100">
        <f t="shared" si="4"/>
        <v>0</v>
      </c>
      <c r="E61" s="105">
        <f t="shared" si="5"/>
        <v>0</v>
      </c>
      <c r="F61" s="105">
        <f t="shared" si="6"/>
        <v>0</v>
      </c>
      <c r="G61" s="105">
        <f t="shared" si="7"/>
        <v>0</v>
      </c>
      <c r="H61" s="105">
        <f t="shared" si="8"/>
        <v>0</v>
      </c>
      <c r="I61" s="105">
        <f t="shared" si="9"/>
        <v>0</v>
      </c>
      <c r="J61" s="105">
        <f t="shared" si="10"/>
        <v>0</v>
      </c>
      <c r="K61" s="105">
        <f t="shared" si="11"/>
        <v>0</v>
      </c>
      <c r="L61" s="105">
        <f t="shared" si="12"/>
        <v>0</v>
      </c>
      <c r="M61" s="105">
        <f t="shared" si="13"/>
        <v>0</v>
      </c>
      <c r="N61" s="105">
        <f t="shared" si="14"/>
        <v>0</v>
      </c>
      <c r="O61" s="105">
        <f t="shared" si="15"/>
        <v>0</v>
      </c>
      <c r="P61" s="105">
        <f t="shared" si="16"/>
        <v>0</v>
      </c>
      <c r="Q61" s="105">
        <f t="shared" si="17"/>
        <v>0</v>
      </c>
      <c r="R61" s="160">
        <f t="shared" si="18"/>
        <v>0</v>
      </c>
      <c r="S61" s="55"/>
      <c r="T61" s="55"/>
      <c r="U61" s="55"/>
      <c r="V61" s="55"/>
      <c r="W61" s="55"/>
      <c r="X61" s="55"/>
      <c r="Y61" s="55"/>
      <c r="Z61" s="55"/>
      <c r="AA61" s="55"/>
      <c r="AB61" s="55"/>
      <c r="AC61" s="55"/>
      <c r="AD61" s="55"/>
      <c r="AE61" s="55"/>
      <c r="AF61" s="55"/>
      <c r="AG61" s="55"/>
      <c r="AH61" s="55"/>
      <c r="AI61" s="55"/>
      <c r="AJ61" s="55"/>
      <c r="AK61" s="55"/>
      <c r="AL61" s="55"/>
      <c r="AM61" s="55"/>
      <c r="AN61" s="55"/>
      <c r="AO61" s="55"/>
      <c r="AP61" s="55"/>
      <c r="AQ61" s="55"/>
      <c r="AR61" s="55"/>
      <c r="AS61" s="55"/>
      <c r="AT61" s="55"/>
      <c r="AU61" s="55"/>
      <c r="AV61" s="55"/>
      <c r="AW61" s="55"/>
      <c r="AX61" s="55"/>
      <c r="AY61" s="55"/>
    </row>
    <row r="62" spans="1:51" ht="36" customHeight="1">
      <c r="B62" s="241">
        <f t="shared" si="2"/>
        <v>0</v>
      </c>
      <c r="C62" s="242" t="str">
        <f t="shared" si="3"/>
        <v/>
      </c>
      <c r="D62" s="100">
        <f t="shared" si="4"/>
        <v>0</v>
      </c>
      <c r="E62" s="105">
        <f t="shared" si="5"/>
        <v>0</v>
      </c>
      <c r="F62" s="105">
        <f t="shared" si="6"/>
        <v>0</v>
      </c>
      <c r="G62" s="105">
        <f t="shared" si="7"/>
        <v>0</v>
      </c>
      <c r="H62" s="105">
        <f t="shared" si="8"/>
        <v>0</v>
      </c>
      <c r="I62" s="105">
        <f t="shared" si="9"/>
        <v>0</v>
      </c>
      <c r="J62" s="105">
        <f t="shared" si="10"/>
        <v>0</v>
      </c>
      <c r="K62" s="105">
        <f t="shared" si="11"/>
        <v>0</v>
      </c>
      <c r="L62" s="105">
        <f t="shared" si="12"/>
        <v>0</v>
      </c>
      <c r="M62" s="105">
        <f t="shared" si="13"/>
        <v>0</v>
      </c>
      <c r="N62" s="105">
        <f t="shared" si="14"/>
        <v>0</v>
      </c>
      <c r="O62" s="105">
        <f t="shared" si="15"/>
        <v>0</v>
      </c>
      <c r="P62" s="105">
        <f t="shared" si="16"/>
        <v>0</v>
      </c>
      <c r="Q62" s="105">
        <f t="shared" si="17"/>
        <v>0</v>
      </c>
      <c r="R62" s="160">
        <f t="shared" si="18"/>
        <v>0</v>
      </c>
      <c r="S62" s="55"/>
      <c r="T62" s="55"/>
      <c r="U62" s="55"/>
      <c r="V62" s="55"/>
      <c r="W62" s="55"/>
      <c r="X62" s="55"/>
      <c r="Y62" s="55"/>
      <c r="Z62" s="55"/>
      <c r="AA62" s="55"/>
      <c r="AB62" s="55"/>
      <c r="AC62" s="55"/>
      <c r="AD62" s="55"/>
      <c r="AE62" s="55"/>
      <c r="AF62" s="55"/>
      <c r="AG62" s="55"/>
      <c r="AH62" s="55"/>
      <c r="AI62" s="55"/>
      <c r="AJ62" s="55"/>
      <c r="AK62" s="55"/>
      <c r="AL62" s="55"/>
      <c r="AM62" s="55"/>
      <c r="AN62" s="55"/>
      <c r="AO62" s="55"/>
      <c r="AP62" s="55"/>
      <c r="AQ62" s="55"/>
      <c r="AR62" s="55"/>
      <c r="AS62" s="55"/>
      <c r="AT62" s="55"/>
      <c r="AU62" s="55"/>
      <c r="AV62" s="55"/>
      <c r="AW62" s="55"/>
      <c r="AX62" s="55"/>
      <c r="AY62" s="55"/>
    </row>
    <row r="63" spans="1:51" ht="36" customHeight="1">
      <c r="B63" s="241">
        <f t="shared" si="2"/>
        <v>0</v>
      </c>
      <c r="C63" s="242" t="str">
        <f t="shared" si="3"/>
        <v/>
      </c>
      <c r="D63" s="100">
        <f t="shared" si="4"/>
        <v>0</v>
      </c>
      <c r="E63" s="105">
        <f t="shared" si="5"/>
        <v>0</v>
      </c>
      <c r="F63" s="105">
        <f t="shared" si="6"/>
        <v>0</v>
      </c>
      <c r="G63" s="105">
        <f t="shared" si="7"/>
        <v>0</v>
      </c>
      <c r="H63" s="105">
        <f t="shared" si="8"/>
        <v>0</v>
      </c>
      <c r="I63" s="105">
        <f t="shared" si="9"/>
        <v>0</v>
      </c>
      <c r="J63" s="105">
        <f t="shared" si="10"/>
        <v>0</v>
      </c>
      <c r="K63" s="105">
        <f t="shared" si="11"/>
        <v>0</v>
      </c>
      <c r="L63" s="105">
        <f t="shared" si="12"/>
        <v>0</v>
      </c>
      <c r="M63" s="105">
        <f t="shared" si="13"/>
        <v>0</v>
      </c>
      <c r="N63" s="105">
        <f t="shared" si="14"/>
        <v>0</v>
      </c>
      <c r="O63" s="105">
        <f t="shared" si="15"/>
        <v>0</v>
      </c>
      <c r="P63" s="105">
        <f t="shared" si="16"/>
        <v>0</v>
      </c>
      <c r="Q63" s="105">
        <f t="shared" si="17"/>
        <v>0</v>
      </c>
      <c r="R63" s="160">
        <f t="shared" si="18"/>
        <v>0</v>
      </c>
      <c r="S63" s="55"/>
      <c r="T63" s="55"/>
      <c r="U63" s="55"/>
      <c r="V63" s="55"/>
      <c r="W63" s="55"/>
      <c r="X63" s="55"/>
      <c r="Y63" s="55"/>
      <c r="Z63" s="55"/>
      <c r="AA63" s="55"/>
      <c r="AB63" s="55"/>
      <c r="AC63" s="55"/>
      <c r="AD63" s="55"/>
      <c r="AE63" s="55"/>
      <c r="AF63" s="55"/>
      <c r="AG63" s="55"/>
      <c r="AH63" s="55"/>
      <c r="AI63" s="55"/>
      <c r="AJ63" s="55"/>
      <c r="AK63" s="55"/>
      <c r="AL63" s="55"/>
      <c r="AM63" s="55"/>
      <c r="AN63" s="55"/>
      <c r="AO63" s="55"/>
      <c r="AP63" s="55"/>
      <c r="AQ63" s="55"/>
      <c r="AR63" s="55"/>
      <c r="AS63" s="55"/>
      <c r="AT63" s="55"/>
      <c r="AU63" s="55"/>
      <c r="AV63" s="55"/>
      <c r="AW63" s="55"/>
      <c r="AX63" s="55"/>
      <c r="AY63" s="55"/>
    </row>
    <row r="64" spans="1:51" ht="36" customHeight="1">
      <c r="B64" s="241">
        <f t="shared" si="2"/>
        <v>0</v>
      </c>
      <c r="C64" s="242" t="str">
        <f t="shared" si="3"/>
        <v/>
      </c>
      <c r="D64" s="100">
        <f t="shared" si="4"/>
        <v>0</v>
      </c>
      <c r="E64" s="105">
        <f t="shared" si="5"/>
        <v>0</v>
      </c>
      <c r="F64" s="105">
        <f t="shared" si="6"/>
        <v>0</v>
      </c>
      <c r="G64" s="105">
        <f t="shared" si="7"/>
        <v>0</v>
      </c>
      <c r="H64" s="105">
        <f t="shared" si="8"/>
        <v>0</v>
      </c>
      <c r="I64" s="105">
        <f t="shared" si="9"/>
        <v>0</v>
      </c>
      <c r="J64" s="105">
        <f t="shared" si="10"/>
        <v>0</v>
      </c>
      <c r="K64" s="105">
        <f t="shared" si="11"/>
        <v>0</v>
      </c>
      <c r="L64" s="105">
        <f t="shared" si="12"/>
        <v>0</v>
      </c>
      <c r="M64" s="105">
        <f t="shared" si="13"/>
        <v>0</v>
      </c>
      <c r="N64" s="105">
        <f t="shared" si="14"/>
        <v>0</v>
      </c>
      <c r="O64" s="105">
        <f t="shared" si="15"/>
        <v>0</v>
      </c>
      <c r="P64" s="105">
        <f t="shared" si="16"/>
        <v>0</v>
      </c>
      <c r="Q64" s="105">
        <f t="shared" si="17"/>
        <v>0</v>
      </c>
      <c r="R64" s="160">
        <f t="shared" si="18"/>
        <v>0</v>
      </c>
      <c r="S64" s="55"/>
      <c r="T64" s="55"/>
      <c r="U64" s="55"/>
      <c r="V64" s="55"/>
      <c r="W64" s="55"/>
      <c r="X64" s="55"/>
      <c r="Y64" s="55"/>
      <c r="Z64" s="55"/>
      <c r="AA64" s="55"/>
      <c r="AB64" s="55"/>
      <c r="AC64" s="55"/>
      <c r="AD64" s="55"/>
      <c r="AE64" s="55"/>
      <c r="AF64" s="55"/>
      <c r="AG64" s="55"/>
      <c r="AH64" s="55"/>
      <c r="AI64" s="55"/>
      <c r="AJ64" s="55"/>
      <c r="AK64" s="55"/>
      <c r="AL64" s="55"/>
      <c r="AM64" s="55"/>
      <c r="AN64" s="55"/>
      <c r="AO64" s="55"/>
      <c r="AP64" s="55"/>
      <c r="AQ64" s="55"/>
      <c r="AR64" s="55"/>
      <c r="AS64" s="55"/>
      <c r="AT64" s="55"/>
      <c r="AU64" s="55"/>
      <c r="AV64" s="55"/>
      <c r="AW64" s="55"/>
      <c r="AX64" s="55"/>
      <c r="AY64" s="55"/>
    </row>
    <row r="65" spans="2:51" ht="36" customHeight="1">
      <c r="B65" s="241">
        <f t="shared" si="2"/>
        <v>0</v>
      </c>
      <c r="C65" s="242" t="str">
        <f t="shared" si="3"/>
        <v/>
      </c>
      <c r="D65" s="100">
        <f t="shared" si="4"/>
        <v>0</v>
      </c>
      <c r="E65" s="105">
        <f t="shared" si="5"/>
        <v>0</v>
      </c>
      <c r="F65" s="105">
        <f t="shared" si="6"/>
        <v>0</v>
      </c>
      <c r="G65" s="105">
        <f t="shared" si="7"/>
        <v>0</v>
      </c>
      <c r="H65" s="105">
        <f t="shared" si="8"/>
        <v>0</v>
      </c>
      <c r="I65" s="105">
        <f t="shared" si="9"/>
        <v>0</v>
      </c>
      <c r="J65" s="105">
        <f t="shared" si="10"/>
        <v>0</v>
      </c>
      <c r="K65" s="105">
        <f t="shared" si="11"/>
        <v>0</v>
      </c>
      <c r="L65" s="105">
        <f t="shared" si="12"/>
        <v>0</v>
      </c>
      <c r="M65" s="105">
        <f t="shared" si="13"/>
        <v>0</v>
      </c>
      <c r="N65" s="105">
        <f t="shared" si="14"/>
        <v>0</v>
      </c>
      <c r="O65" s="105">
        <f t="shared" si="15"/>
        <v>0</v>
      </c>
      <c r="P65" s="105">
        <f t="shared" si="16"/>
        <v>0</v>
      </c>
      <c r="Q65" s="105">
        <f t="shared" si="17"/>
        <v>0</v>
      </c>
      <c r="R65" s="160">
        <f t="shared" si="18"/>
        <v>0</v>
      </c>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row>
    <row r="66" spans="2:51" ht="36" customHeight="1">
      <c r="B66" s="241">
        <f t="shared" si="2"/>
        <v>0</v>
      </c>
      <c r="C66" s="242" t="str">
        <f t="shared" si="3"/>
        <v/>
      </c>
      <c r="D66" s="100">
        <f t="shared" si="4"/>
        <v>0</v>
      </c>
      <c r="E66" s="105">
        <f t="shared" si="5"/>
        <v>0</v>
      </c>
      <c r="F66" s="105">
        <f t="shared" si="6"/>
        <v>0</v>
      </c>
      <c r="G66" s="105">
        <f t="shared" si="7"/>
        <v>0</v>
      </c>
      <c r="H66" s="105">
        <f t="shared" si="8"/>
        <v>0</v>
      </c>
      <c r="I66" s="105">
        <f t="shared" si="9"/>
        <v>0</v>
      </c>
      <c r="J66" s="105">
        <f t="shared" si="10"/>
        <v>0</v>
      </c>
      <c r="K66" s="105">
        <f t="shared" si="11"/>
        <v>0</v>
      </c>
      <c r="L66" s="105">
        <f t="shared" si="12"/>
        <v>0</v>
      </c>
      <c r="M66" s="105">
        <f t="shared" si="13"/>
        <v>0</v>
      </c>
      <c r="N66" s="105">
        <f t="shared" si="14"/>
        <v>0</v>
      </c>
      <c r="O66" s="105">
        <f t="shared" si="15"/>
        <v>0</v>
      </c>
      <c r="P66" s="105">
        <f t="shared" si="16"/>
        <v>0</v>
      </c>
      <c r="Q66" s="105">
        <f t="shared" si="17"/>
        <v>0</v>
      </c>
      <c r="R66" s="160">
        <f t="shared" si="18"/>
        <v>0</v>
      </c>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row>
    <row r="67" spans="2:51" ht="36" customHeight="1">
      <c r="B67" s="241">
        <f t="shared" si="2"/>
        <v>0</v>
      </c>
      <c r="C67" s="242" t="str">
        <f t="shared" si="3"/>
        <v/>
      </c>
      <c r="D67" s="100">
        <f t="shared" si="4"/>
        <v>0</v>
      </c>
      <c r="E67" s="105">
        <f t="shared" si="5"/>
        <v>0</v>
      </c>
      <c r="F67" s="105">
        <f t="shared" si="6"/>
        <v>0</v>
      </c>
      <c r="G67" s="105">
        <f t="shared" si="7"/>
        <v>0</v>
      </c>
      <c r="H67" s="105">
        <f t="shared" si="8"/>
        <v>0</v>
      </c>
      <c r="I67" s="105">
        <f t="shared" si="9"/>
        <v>0</v>
      </c>
      <c r="J67" s="105">
        <f t="shared" si="10"/>
        <v>0</v>
      </c>
      <c r="K67" s="105">
        <f t="shared" si="11"/>
        <v>0</v>
      </c>
      <c r="L67" s="105">
        <f t="shared" si="12"/>
        <v>0</v>
      </c>
      <c r="M67" s="105">
        <f t="shared" si="13"/>
        <v>0</v>
      </c>
      <c r="N67" s="105">
        <f t="shared" si="14"/>
        <v>0</v>
      </c>
      <c r="O67" s="105">
        <f t="shared" si="15"/>
        <v>0</v>
      </c>
      <c r="P67" s="105">
        <f t="shared" si="16"/>
        <v>0</v>
      </c>
      <c r="Q67" s="105">
        <f t="shared" si="17"/>
        <v>0</v>
      </c>
      <c r="R67" s="160">
        <f t="shared" si="18"/>
        <v>0</v>
      </c>
      <c r="S67" s="55"/>
      <c r="T67" s="55"/>
      <c r="U67" s="55"/>
      <c r="V67" s="55"/>
      <c r="W67" s="55"/>
      <c r="X67" s="55"/>
      <c r="Y67" s="55"/>
      <c r="Z67" s="55"/>
      <c r="AA67" s="55"/>
      <c r="AB67" s="55"/>
      <c r="AC67" s="55"/>
      <c r="AD67" s="55"/>
      <c r="AE67" s="55"/>
      <c r="AF67" s="55"/>
      <c r="AG67" s="55"/>
      <c r="AH67" s="55"/>
      <c r="AI67" s="55"/>
      <c r="AJ67" s="55"/>
      <c r="AK67" s="55"/>
      <c r="AL67" s="55"/>
      <c r="AM67" s="55"/>
      <c r="AN67" s="55"/>
      <c r="AO67" s="55"/>
      <c r="AP67" s="55"/>
      <c r="AQ67" s="55"/>
      <c r="AR67" s="55"/>
      <c r="AS67" s="55"/>
      <c r="AT67" s="55"/>
      <c r="AU67" s="55"/>
      <c r="AV67" s="55"/>
      <c r="AW67" s="55"/>
      <c r="AX67" s="55"/>
      <c r="AY67" s="55"/>
    </row>
    <row r="68" spans="2:51" ht="36" customHeight="1">
      <c r="B68" s="241">
        <f t="shared" si="2"/>
        <v>0</v>
      </c>
      <c r="C68" s="242" t="str">
        <f t="shared" si="3"/>
        <v/>
      </c>
      <c r="D68" s="100">
        <f t="shared" si="4"/>
        <v>0</v>
      </c>
      <c r="E68" s="105">
        <f t="shared" si="5"/>
        <v>0</v>
      </c>
      <c r="F68" s="105">
        <f t="shared" si="6"/>
        <v>0</v>
      </c>
      <c r="G68" s="105">
        <f t="shared" si="7"/>
        <v>0</v>
      </c>
      <c r="H68" s="105">
        <f t="shared" si="8"/>
        <v>0</v>
      </c>
      <c r="I68" s="105">
        <f t="shared" si="9"/>
        <v>0</v>
      </c>
      <c r="J68" s="105">
        <f t="shared" si="10"/>
        <v>0</v>
      </c>
      <c r="K68" s="105">
        <f t="shared" si="11"/>
        <v>0</v>
      </c>
      <c r="L68" s="105">
        <f t="shared" si="12"/>
        <v>0</v>
      </c>
      <c r="M68" s="105">
        <f t="shared" si="13"/>
        <v>0</v>
      </c>
      <c r="N68" s="105">
        <f t="shared" si="14"/>
        <v>0</v>
      </c>
      <c r="O68" s="105">
        <f t="shared" si="15"/>
        <v>0</v>
      </c>
      <c r="P68" s="105">
        <f t="shared" si="16"/>
        <v>0</v>
      </c>
      <c r="Q68" s="105">
        <f t="shared" si="17"/>
        <v>0</v>
      </c>
      <c r="R68" s="160">
        <f t="shared" si="18"/>
        <v>0</v>
      </c>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row>
    <row r="69" spans="2:51" ht="36" customHeight="1">
      <c r="B69" s="241">
        <f t="shared" si="2"/>
        <v>0</v>
      </c>
      <c r="C69" s="242" t="str">
        <f t="shared" si="3"/>
        <v/>
      </c>
      <c r="D69" s="100">
        <f t="shared" si="4"/>
        <v>0</v>
      </c>
      <c r="E69" s="105">
        <f t="shared" si="5"/>
        <v>0</v>
      </c>
      <c r="F69" s="105">
        <f t="shared" si="6"/>
        <v>0</v>
      </c>
      <c r="G69" s="105">
        <f t="shared" si="7"/>
        <v>0</v>
      </c>
      <c r="H69" s="105">
        <f t="shared" si="8"/>
        <v>0</v>
      </c>
      <c r="I69" s="105">
        <f t="shared" si="9"/>
        <v>0</v>
      </c>
      <c r="J69" s="105">
        <f t="shared" si="10"/>
        <v>0</v>
      </c>
      <c r="K69" s="105">
        <f t="shared" si="11"/>
        <v>0</v>
      </c>
      <c r="L69" s="105">
        <f t="shared" si="12"/>
        <v>0</v>
      </c>
      <c r="M69" s="105">
        <f t="shared" si="13"/>
        <v>0</v>
      </c>
      <c r="N69" s="105">
        <f t="shared" si="14"/>
        <v>0</v>
      </c>
      <c r="O69" s="105">
        <f t="shared" si="15"/>
        <v>0</v>
      </c>
      <c r="P69" s="105">
        <f t="shared" si="16"/>
        <v>0</v>
      </c>
      <c r="Q69" s="105">
        <f t="shared" si="17"/>
        <v>0</v>
      </c>
      <c r="R69" s="160">
        <f t="shared" si="18"/>
        <v>0</v>
      </c>
      <c r="S69" s="55"/>
      <c r="T69" s="55"/>
      <c r="U69" s="55"/>
      <c r="V69" s="55"/>
      <c r="W69" s="55"/>
      <c r="X69" s="55"/>
      <c r="Y69" s="55"/>
      <c r="Z69" s="55"/>
      <c r="AA69" s="55"/>
      <c r="AB69" s="55"/>
      <c r="AC69" s="55"/>
      <c r="AD69" s="55"/>
      <c r="AE69" s="55"/>
      <c r="AF69" s="55"/>
      <c r="AG69" s="55"/>
      <c r="AH69" s="55"/>
      <c r="AI69" s="55"/>
      <c r="AJ69" s="55"/>
      <c r="AK69" s="55"/>
      <c r="AL69" s="55"/>
      <c r="AM69" s="55"/>
      <c r="AN69" s="55"/>
      <c r="AO69" s="55"/>
      <c r="AP69" s="55"/>
      <c r="AQ69" s="55"/>
      <c r="AR69" s="55"/>
      <c r="AS69" s="55"/>
      <c r="AT69" s="55"/>
      <c r="AU69" s="55"/>
      <c r="AV69" s="55"/>
      <c r="AW69" s="55"/>
      <c r="AX69" s="55"/>
      <c r="AY69" s="55"/>
    </row>
    <row r="70" spans="2:51" ht="36" customHeight="1">
      <c r="B70" s="241">
        <f t="shared" si="2"/>
        <v>0</v>
      </c>
      <c r="C70" s="242" t="str">
        <f t="shared" si="3"/>
        <v/>
      </c>
      <c r="D70" s="100">
        <f t="shared" si="4"/>
        <v>0</v>
      </c>
      <c r="E70" s="105">
        <f t="shared" si="5"/>
        <v>0</v>
      </c>
      <c r="F70" s="105">
        <f t="shared" si="6"/>
        <v>0</v>
      </c>
      <c r="G70" s="105">
        <f t="shared" si="7"/>
        <v>0</v>
      </c>
      <c r="H70" s="105">
        <f t="shared" si="8"/>
        <v>0</v>
      </c>
      <c r="I70" s="105">
        <f t="shared" si="9"/>
        <v>0</v>
      </c>
      <c r="J70" s="105">
        <f t="shared" si="10"/>
        <v>0</v>
      </c>
      <c r="K70" s="105">
        <f t="shared" si="11"/>
        <v>0</v>
      </c>
      <c r="L70" s="105">
        <f t="shared" si="12"/>
        <v>0</v>
      </c>
      <c r="M70" s="105">
        <f t="shared" si="13"/>
        <v>0</v>
      </c>
      <c r="N70" s="105">
        <f t="shared" si="14"/>
        <v>0</v>
      </c>
      <c r="O70" s="105">
        <f t="shared" si="15"/>
        <v>0</v>
      </c>
      <c r="P70" s="105">
        <f t="shared" si="16"/>
        <v>0</v>
      </c>
      <c r="Q70" s="105">
        <f t="shared" si="17"/>
        <v>0</v>
      </c>
      <c r="R70" s="160">
        <f t="shared" si="18"/>
        <v>0</v>
      </c>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row>
    <row r="71" spans="2:51" ht="36" customHeight="1">
      <c r="B71" s="241">
        <f t="shared" si="2"/>
        <v>0</v>
      </c>
      <c r="C71" s="242" t="str">
        <f t="shared" si="3"/>
        <v/>
      </c>
      <c r="D71" s="100">
        <f t="shared" si="4"/>
        <v>0</v>
      </c>
      <c r="E71" s="105">
        <f t="shared" si="5"/>
        <v>0</v>
      </c>
      <c r="F71" s="105">
        <f t="shared" si="6"/>
        <v>0</v>
      </c>
      <c r="G71" s="105">
        <f t="shared" si="7"/>
        <v>0</v>
      </c>
      <c r="H71" s="105">
        <f t="shared" si="8"/>
        <v>0</v>
      </c>
      <c r="I71" s="105">
        <f t="shared" si="9"/>
        <v>0</v>
      </c>
      <c r="J71" s="105">
        <f t="shared" si="10"/>
        <v>0</v>
      </c>
      <c r="K71" s="105">
        <f t="shared" si="11"/>
        <v>0</v>
      </c>
      <c r="L71" s="105">
        <f t="shared" si="12"/>
        <v>0</v>
      </c>
      <c r="M71" s="105">
        <f t="shared" si="13"/>
        <v>0</v>
      </c>
      <c r="N71" s="105">
        <f t="shared" si="14"/>
        <v>0</v>
      </c>
      <c r="O71" s="105">
        <f t="shared" si="15"/>
        <v>0</v>
      </c>
      <c r="P71" s="105">
        <f t="shared" si="16"/>
        <v>0</v>
      </c>
      <c r="Q71" s="105">
        <f t="shared" si="17"/>
        <v>0</v>
      </c>
      <c r="R71" s="160">
        <f t="shared" si="18"/>
        <v>0</v>
      </c>
      <c r="S71" s="55"/>
      <c r="T71" s="55"/>
      <c r="U71" s="55"/>
      <c r="V71" s="55"/>
      <c r="W71" s="55"/>
      <c r="X71" s="55"/>
      <c r="Y71" s="55"/>
      <c r="Z71" s="55"/>
      <c r="AA71" s="55"/>
      <c r="AB71" s="55"/>
      <c r="AC71" s="55"/>
      <c r="AD71" s="55"/>
      <c r="AE71" s="55"/>
      <c r="AF71" s="55"/>
      <c r="AG71" s="55"/>
      <c r="AH71" s="55"/>
      <c r="AI71" s="55"/>
      <c r="AJ71" s="55"/>
      <c r="AK71" s="55"/>
      <c r="AL71" s="55"/>
      <c r="AM71" s="55"/>
      <c r="AN71" s="55"/>
      <c r="AO71" s="55"/>
      <c r="AP71" s="55"/>
      <c r="AQ71" s="55"/>
      <c r="AR71" s="55"/>
      <c r="AS71" s="55"/>
      <c r="AT71" s="55"/>
      <c r="AU71" s="55"/>
      <c r="AV71" s="55"/>
      <c r="AW71" s="55"/>
      <c r="AX71" s="55"/>
      <c r="AY71" s="55"/>
    </row>
    <row r="72" spans="2:51" ht="36" customHeight="1">
      <c r="B72" s="241">
        <f t="shared" si="2"/>
        <v>0</v>
      </c>
      <c r="C72" s="242" t="str">
        <f t="shared" si="3"/>
        <v/>
      </c>
      <c r="D72" s="100">
        <f t="shared" si="4"/>
        <v>0</v>
      </c>
      <c r="E72" s="105">
        <f t="shared" si="5"/>
        <v>0</v>
      </c>
      <c r="F72" s="105">
        <f t="shared" si="6"/>
        <v>0</v>
      </c>
      <c r="G72" s="105">
        <f t="shared" si="7"/>
        <v>0</v>
      </c>
      <c r="H72" s="105">
        <f t="shared" si="8"/>
        <v>0</v>
      </c>
      <c r="I72" s="105">
        <f t="shared" si="9"/>
        <v>0</v>
      </c>
      <c r="J72" s="105">
        <f t="shared" si="10"/>
        <v>0</v>
      </c>
      <c r="K72" s="105">
        <f t="shared" si="11"/>
        <v>0</v>
      </c>
      <c r="L72" s="105">
        <f t="shared" si="12"/>
        <v>0</v>
      </c>
      <c r="M72" s="105">
        <f t="shared" si="13"/>
        <v>0</v>
      </c>
      <c r="N72" s="105">
        <f t="shared" si="14"/>
        <v>0</v>
      </c>
      <c r="O72" s="105">
        <f t="shared" si="15"/>
        <v>0</v>
      </c>
      <c r="P72" s="105">
        <f t="shared" si="16"/>
        <v>0</v>
      </c>
      <c r="Q72" s="105">
        <f t="shared" si="17"/>
        <v>0</v>
      </c>
      <c r="R72" s="160">
        <f t="shared" si="18"/>
        <v>0</v>
      </c>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row>
    <row r="73" spans="2:51" ht="36" customHeight="1">
      <c r="B73" s="241">
        <f t="shared" si="2"/>
        <v>0</v>
      </c>
      <c r="C73" s="242" t="str">
        <f t="shared" si="3"/>
        <v/>
      </c>
      <c r="D73" s="100">
        <f t="shared" si="4"/>
        <v>0</v>
      </c>
      <c r="E73" s="105">
        <f t="shared" si="5"/>
        <v>0</v>
      </c>
      <c r="F73" s="105">
        <f t="shared" si="6"/>
        <v>0</v>
      </c>
      <c r="G73" s="105">
        <f t="shared" si="7"/>
        <v>0</v>
      </c>
      <c r="H73" s="105">
        <f t="shared" si="8"/>
        <v>0</v>
      </c>
      <c r="I73" s="105">
        <f t="shared" si="9"/>
        <v>0</v>
      </c>
      <c r="J73" s="105">
        <f t="shared" si="10"/>
        <v>0</v>
      </c>
      <c r="K73" s="105">
        <f t="shared" si="11"/>
        <v>0</v>
      </c>
      <c r="L73" s="105">
        <f t="shared" si="12"/>
        <v>0</v>
      </c>
      <c r="M73" s="105">
        <f t="shared" si="13"/>
        <v>0</v>
      </c>
      <c r="N73" s="105">
        <f t="shared" si="14"/>
        <v>0</v>
      </c>
      <c r="O73" s="105">
        <f t="shared" si="15"/>
        <v>0</v>
      </c>
      <c r="P73" s="105">
        <f t="shared" si="16"/>
        <v>0</v>
      </c>
      <c r="Q73" s="105">
        <f t="shared" si="17"/>
        <v>0</v>
      </c>
      <c r="R73" s="160">
        <f t="shared" si="18"/>
        <v>0</v>
      </c>
      <c r="S73" s="55"/>
      <c r="T73" s="55"/>
      <c r="U73" s="55"/>
      <c r="V73" s="55"/>
      <c r="W73" s="55"/>
      <c r="X73" s="55"/>
      <c r="Y73" s="55"/>
      <c r="Z73" s="55"/>
      <c r="AA73" s="55"/>
      <c r="AB73" s="55"/>
      <c r="AC73" s="55"/>
      <c r="AD73" s="55"/>
      <c r="AE73" s="55"/>
      <c r="AF73" s="55"/>
      <c r="AG73" s="55"/>
      <c r="AH73" s="55"/>
      <c r="AI73" s="55"/>
      <c r="AJ73" s="55"/>
      <c r="AK73" s="55"/>
      <c r="AL73" s="55"/>
      <c r="AM73" s="55"/>
      <c r="AN73" s="55"/>
      <c r="AO73" s="55"/>
      <c r="AP73" s="55"/>
      <c r="AQ73" s="55"/>
      <c r="AR73" s="55"/>
      <c r="AS73" s="55"/>
      <c r="AT73" s="55"/>
      <c r="AU73" s="55"/>
      <c r="AV73" s="55"/>
      <c r="AW73" s="55"/>
      <c r="AX73" s="55"/>
      <c r="AY73" s="55"/>
    </row>
    <row r="74" spans="2:51" ht="36" customHeight="1">
      <c r="B74" s="241">
        <f t="shared" si="2"/>
        <v>0</v>
      </c>
      <c r="C74" s="242" t="str">
        <f t="shared" si="3"/>
        <v/>
      </c>
      <c r="D74" s="100">
        <f t="shared" si="4"/>
        <v>0</v>
      </c>
      <c r="E74" s="105">
        <f t="shared" si="5"/>
        <v>0</v>
      </c>
      <c r="F74" s="105">
        <f t="shared" si="6"/>
        <v>0</v>
      </c>
      <c r="G74" s="105">
        <f t="shared" si="7"/>
        <v>0</v>
      </c>
      <c r="H74" s="105">
        <f t="shared" si="8"/>
        <v>0</v>
      </c>
      <c r="I74" s="105">
        <f t="shared" si="9"/>
        <v>0</v>
      </c>
      <c r="J74" s="105">
        <f t="shared" si="10"/>
        <v>0</v>
      </c>
      <c r="K74" s="105">
        <f t="shared" si="11"/>
        <v>0</v>
      </c>
      <c r="L74" s="105">
        <f t="shared" si="12"/>
        <v>0</v>
      </c>
      <c r="M74" s="105">
        <f t="shared" si="13"/>
        <v>0</v>
      </c>
      <c r="N74" s="105">
        <f t="shared" si="14"/>
        <v>0</v>
      </c>
      <c r="O74" s="105">
        <f t="shared" si="15"/>
        <v>0</v>
      </c>
      <c r="P74" s="105">
        <f t="shared" si="16"/>
        <v>0</v>
      </c>
      <c r="Q74" s="105">
        <f t="shared" si="17"/>
        <v>0</v>
      </c>
      <c r="R74" s="160">
        <f t="shared" si="18"/>
        <v>0</v>
      </c>
      <c r="S74" s="55"/>
      <c r="T74" s="55"/>
      <c r="U74" s="55"/>
      <c r="V74" s="55"/>
      <c r="W74" s="55"/>
      <c r="X74" s="55"/>
      <c r="Y74" s="55"/>
      <c r="Z74" s="55"/>
      <c r="AA74" s="55"/>
      <c r="AB74" s="55"/>
      <c r="AC74" s="55"/>
      <c r="AD74" s="55"/>
      <c r="AE74" s="55"/>
      <c r="AF74" s="55"/>
      <c r="AG74" s="55"/>
      <c r="AH74" s="55"/>
      <c r="AI74" s="55"/>
      <c r="AJ74" s="55"/>
      <c r="AK74" s="55"/>
      <c r="AL74" s="55"/>
      <c r="AM74" s="55"/>
      <c r="AN74" s="55"/>
      <c r="AO74" s="55"/>
      <c r="AP74" s="55"/>
      <c r="AQ74" s="55"/>
      <c r="AR74" s="55"/>
      <c r="AS74" s="55"/>
      <c r="AT74" s="55"/>
      <c r="AU74" s="55"/>
      <c r="AV74" s="55"/>
      <c r="AW74" s="55"/>
      <c r="AX74" s="55"/>
      <c r="AY74" s="55"/>
    </row>
    <row r="75" spans="2:51" ht="36" customHeight="1">
      <c r="B75" s="241">
        <f t="shared" si="2"/>
        <v>0</v>
      </c>
      <c r="C75" s="242" t="str">
        <f t="shared" si="3"/>
        <v/>
      </c>
      <c r="D75" s="100">
        <f t="shared" si="4"/>
        <v>0</v>
      </c>
      <c r="E75" s="105">
        <f t="shared" si="5"/>
        <v>0</v>
      </c>
      <c r="F75" s="105">
        <f t="shared" si="6"/>
        <v>0</v>
      </c>
      <c r="G75" s="105">
        <f t="shared" si="7"/>
        <v>0</v>
      </c>
      <c r="H75" s="105">
        <f t="shared" si="8"/>
        <v>0</v>
      </c>
      <c r="I75" s="105">
        <f t="shared" si="9"/>
        <v>0</v>
      </c>
      <c r="J75" s="105">
        <f t="shared" si="10"/>
        <v>0</v>
      </c>
      <c r="K75" s="105">
        <f t="shared" si="11"/>
        <v>0</v>
      </c>
      <c r="L75" s="105">
        <f t="shared" si="12"/>
        <v>0</v>
      </c>
      <c r="M75" s="105">
        <f t="shared" si="13"/>
        <v>0</v>
      </c>
      <c r="N75" s="105">
        <f t="shared" si="14"/>
        <v>0</v>
      </c>
      <c r="O75" s="105">
        <f t="shared" si="15"/>
        <v>0</v>
      </c>
      <c r="P75" s="105">
        <f t="shared" si="16"/>
        <v>0</v>
      </c>
      <c r="Q75" s="105">
        <f t="shared" si="17"/>
        <v>0</v>
      </c>
      <c r="R75" s="160">
        <f t="shared" si="18"/>
        <v>0</v>
      </c>
      <c r="S75" s="55"/>
      <c r="T75" s="55"/>
      <c r="U75" s="55"/>
      <c r="V75" s="55"/>
      <c r="W75" s="55"/>
      <c r="X75" s="55"/>
      <c r="Y75" s="55"/>
      <c r="Z75" s="55"/>
      <c r="AA75" s="55"/>
      <c r="AB75" s="55"/>
      <c r="AC75" s="55"/>
      <c r="AD75" s="55"/>
      <c r="AE75" s="55"/>
      <c r="AF75" s="55"/>
      <c r="AG75" s="55"/>
      <c r="AH75" s="55"/>
      <c r="AI75" s="55"/>
      <c r="AJ75" s="55"/>
      <c r="AK75" s="55"/>
      <c r="AL75" s="55"/>
      <c r="AM75" s="55"/>
      <c r="AN75" s="55"/>
      <c r="AO75" s="55"/>
      <c r="AP75" s="55"/>
      <c r="AQ75" s="55"/>
      <c r="AR75" s="55"/>
      <c r="AS75" s="55"/>
      <c r="AT75" s="55"/>
      <c r="AU75" s="55"/>
      <c r="AV75" s="55"/>
      <c r="AW75" s="55"/>
      <c r="AX75" s="55"/>
      <c r="AY75" s="55"/>
    </row>
    <row r="76" spans="2:51" ht="36" customHeight="1">
      <c r="B76" s="241">
        <f t="shared" si="2"/>
        <v>0</v>
      </c>
      <c r="C76" s="242" t="str">
        <f t="shared" si="3"/>
        <v/>
      </c>
      <c r="D76" s="100">
        <f t="shared" si="4"/>
        <v>0</v>
      </c>
      <c r="E76" s="105">
        <f t="shared" si="5"/>
        <v>0</v>
      </c>
      <c r="F76" s="105">
        <f t="shared" si="6"/>
        <v>0</v>
      </c>
      <c r="G76" s="105">
        <f t="shared" si="7"/>
        <v>0</v>
      </c>
      <c r="H76" s="105">
        <f t="shared" si="8"/>
        <v>0</v>
      </c>
      <c r="I76" s="105">
        <f t="shared" si="9"/>
        <v>0</v>
      </c>
      <c r="J76" s="105">
        <f t="shared" si="10"/>
        <v>0</v>
      </c>
      <c r="K76" s="105">
        <f t="shared" si="11"/>
        <v>0</v>
      </c>
      <c r="L76" s="105">
        <f t="shared" si="12"/>
        <v>0</v>
      </c>
      <c r="M76" s="105">
        <f t="shared" si="13"/>
        <v>0</v>
      </c>
      <c r="N76" s="105">
        <f t="shared" si="14"/>
        <v>0</v>
      </c>
      <c r="O76" s="105">
        <f t="shared" si="15"/>
        <v>0</v>
      </c>
      <c r="P76" s="105">
        <f t="shared" si="16"/>
        <v>0</v>
      </c>
      <c r="Q76" s="105">
        <f t="shared" si="17"/>
        <v>0</v>
      </c>
      <c r="R76" s="160">
        <f t="shared" si="18"/>
        <v>0</v>
      </c>
      <c r="S76" s="55"/>
      <c r="T76" s="55"/>
      <c r="U76" s="55"/>
      <c r="V76" s="55"/>
      <c r="W76" s="55"/>
      <c r="X76" s="55"/>
      <c r="Y76" s="55"/>
      <c r="Z76" s="55"/>
      <c r="AA76" s="55"/>
      <c r="AB76" s="55"/>
      <c r="AC76" s="55"/>
      <c r="AD76" s="55"/>
      <c r="AE76" s="55"/>
      <c r="AF76" s="55"/>
      <c r="AG76" s="55"/>
      <c r="AH76" s="55"/>
      <c r="AI76" s="55"/>
      <c r="AJ76" s="55"/>
      <c r="AK76" s="55"/>
      <c r="AL76" s="55"/>
      <c r="AM76" s="55"/>
      <c r="AN76" s="55"/>
      <c r="AO76" s="55"/>
      <c r="AP76" s="55"/>
      <c r="AQ76" s="55"/>
      <c r="AR76" s="55"/>
      <c r="AS76" s="55"/>
      <c r="AT76" s="55"/>
      <c r="AU76" s="55"/>
      <c r="AV76" s="55"/>
      <c r="AW76" s="55"/>
      <c r="AX76" s="55"/>
      <c r="AY76" s="55"/>
    </row>
    <row r="77" spans="2:51" ht="36" customHeight="1">
      <c r="B77" s="241">
        <f t="shared" si="2"/>
        <v>0</v>
      </c>
      <c r="C77" s="242" t="str">
        <f t="shared" si="3"/>
        <v/>
      </c>
      <c r="D77" s="100">
        <f t="shared" si="4"/>
        <v>0</v>
      </c>
      <c r="E77" s="105">
        <f t="shared" si="5"/>
        <v>0</v>
      </c>
      <c r="F77" s="105">
        <f t="shared" si="6"/>
        <v>0</v>
      </c>
      <c r="G77" s="105">
        <f t="shared" si="7"/>
        <v>0</v>
      </c>
      <c r="H77" s="105">
        <f t="shared" si="8"/>
        <v>0</v>
      </c>
      <c r="I77" s="105">
        <f t="shared" si="9"/>
        <v>0</v>
      </c>
      <c r="J77" s="105">
        <f t="shared" si="10"/>
        <v>0</v>
      </c>
      <c r="K77" s="105">
        <f t="shared" si="11"/>
        <v>0</v>
      </c>
      <c r="L77" s="105">
        <f t="shared" si="12"/>
        <v>0</v>
      </c>
      <c r="M77" s="105">
        <f t="shared" si="13"/>
        <v>0</v>
      </c>
      <c r="N77" s="105">
        <f t="shared" si="14"/>
        <v>0</v>
      </c>
      <c r="O77" s="105">
        <f t="shared" si="15"/>
        <v>0</v>
      </c>
      <c r="P77" s="105">
        <f t="shared" si="16"/>
        <v>0</v>
      </c>
      <c r="Q77" s="105">
        <f t="shared" si="17"/>
        <v>0</v>
      </c>
      <c r="R77" s="160">
        <f t="shared" si="18"/>
        <v>0</v>
      </c>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row>
    <row r="78" spans="2:51" ht="36" customHeight="1">
      <c r="B78" s="241">
        <f t="shared" si="2"/>
        <v>0</v>
      </c>
      <c r="C78" s="242" t="str">
        <f t="shared" si="3"/>
        <v/>
      </c>
      <c r="D78" s="100">
        <f t="shared" si="4"/>
        <v>0</v>
      </c>
      <c r="E78" s="105">
        <f t="shared" si="5"/>
        <v>0</v>
      </c>
      <c r="F78" s="105">
        <f t="shared" si="6"/>
        <v>0</v>
      </c>
      <c r="G78" s="105">
        <f t="shared" si="7"/>
        <v>0</v>
      </c>
      <c r="H78" s="105">
        <f t="shared" si="8"/>
        <v>0</v>
      </c>
      <c r="I78" s="105">
        <f t="shared" si="9"/>
        <v>0</v>
      </c>
      <c r="J78" s="105">
        <f t="shared" si="10"/>
        <v>0</v>
      </c>
      <c r="K78" s="105">
        <f t="shared" si="11"/>
        <v>0</v>
      </c>
      <c r="L78" s="105">
        <f t="shared" si="12"/>
        <v>0</v>
      </c>
      <c r="M78" s="105">
        <f t="shared" si="13"/>
        <v>0</v>
      </c>
      <c r="N78" s="105">
        <f t="shared" si="14"/>
        <v>0</v>
      </c>
      <c r="O78" s="105">
        <f t="shared" si="15"/>
        <v>0</v>
      </c>
      <c r="P78" s="105">
        <f t="shared" si="16"/>
        <v>0</v>
      </c>
      <c r="Q78" s="105">
        <f t="shared" si="17"/>
        <v>0</v>
      </c>
      <c r="R78" s="160">
        <f t="shared" si="18"/>
        <v>0</v>
      </c>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row>
    <row r="79" spans="2:51" ht="36" customHeight="1">
      <c r="B79" s="241">
        <f t="shared" si="2"/>
        <v>0</v>
      </c>
      <c r="C79" s="242" t="str">
        <f t="shared" si="3"/>
        <v/>
      </c>
      <c r="D79" s="100">
        <f t="shared" si="4"/>
        <v>0</v>
      </c>
      <c r="E79" s="105">
        <f t="shared" si="5"/>
        <v>0</v>
      </c>
      <c r="F79" s="105">
        <f t="shared" si="6"/>
        <v>0</v>
      </c>
      <c r="G79" s="105">
        <f t="shared" si="7"/>
        <v>0</v>
      </c>
      <c r="H79" s="105">
        <f t="shared" si="8"/>
        <v>0</v>
      </c>
      <c r="I79" s="105">
        <f t="shared" si="9"/>
        <v>0</v>
      </c>
      <c r="J79" s="105">
        <f t="shared" si="10"/>
        <v>0</v>
      </c>
      <c r="K79" s="105">
        <f t="shared" si="11"/>
        <v>0</v>
      </c>
      <c r="L79" s="105">
        <f t="shared" si="12"/>
        <v>0</v>
      </c>
      <c r="M79" s="105">
        <f t="shared" si="13"/>
        <v>0</v>
      </c>
      <c r="N79" s="105">
        <f t="shared" si="14"/>
        <v>0</v>
      </c>
      <c r="O79" s="105">
        <f t="shared" si="15"/>
        <v>0</v>
      </c>
      <c r="P79" s="105">
        <f t="shared" si="16"/>
        <v>0</v>
      </c>
      <c r="Q79" s="105">
        <f t="shared" si="17"/>
        <v>0</v>
      </c>
      <c r="R79" s="160">
        <f t="shared" si="18"/>
        <v>0</v>
      </c>
      <c r="S79" s="55"/>
      <c r="T79" s="55"/>
      <c r="U79" s="55"/>
      <c r="V79" s="55"/>
      <c r="W79" s="55"/>
      <c r="X79" s="55"/>
      <c r="Y79" s="55"/>
      <c r="Z79" s="55"/>
      <c r="AA79" s="55"/>
      <c r="AB79" s="55"/>
      <c r="AC79" s="55"/>
      <c r="AD79" s="55"/>
      <c r="AE79" s="55"/>
      <c r="AF79" s="55"/>
      <c r="AG79" s="55"/>
      <c r="AH79" s="55"/>
      <c r="AI79" s="55"/>
      <c r="AJ79" s="55"/>
      <c r="AK79" s="55"/>
      <c r="AL79" s="55"/>
      <c r="AM79" s="55"/>
      <c r="AN79" s="55"/>
      <c r="AO79" s="55"/>
      <c r="AP79" s="55"/>
      <c r="AQ79" s="55"/>
      <c r="AR79" s="55"/>
      <c r="AS79" s="55"/>
      <c r="AT79" s="55"/>
      <c r="AU79" s="55"/>
      <c r="AV79" s="55"/>
      <c r="AW79" s="55"/>
      <c r="AX79" s="55"/>
      <c r="AY79" s="55"/>
    </row>
    <row r="80" spans="2:51" ht="36" customHeight="1">
      <c r="B80" s="241">
        <f t="shared" si="2"/>
        <v>0</v>
      </c>
      <c r="C80" s="242" t="str">
        <f t="shared" si="3"/>
        <v/>
      </c>
      <c r="D80" s="100">
        <f t="shared" si="4"/>
        <v>0</v>
      </c>
      <c r="E80" s="105">
        <f t="shared" si="5"/>
        <v>0</v>
      </c>
      <c r="F80" s="105">
        <f t="shared" si="6"/>
        <v>0</v>
      </c>
      <c r="G80" s="105">
        <f t="shared" si="7"/>
        <v>0</v>
      </c>
      <c r="H80" s="105">
        <f t="shared" si="8"/>
        <v>0</v>
      </c>
      <c r="I80" s="105">
        <f t="shared" si="9"/>
        <v>0</v>
      </c>
      <c r="J80" s="105">
        <f t="shared" si="10"/>
        <v>0</v>
      </c>
      <c r="K80" s="105">
        <f t="shared" si="11"/>
        <v>0</v>
      </c>
      <c r="L80" s="105">
        <f t="shared" si="12"/>
        <v>0</v>
      </c>
      <c r="M80" s="105">
        <f t="shared" si="13"/>
        <v>0</v>
      </c>
      <c r="N80" s="105">
        <f t="shared" si="14"/>
        <v>0</v>
      </c>
      <c r="O80" s="105">
        <f t="shared" si="15"/>
        <v>0</v>
      </c>
      <c r="P80" s="105">
        <f t="shared" si="16"/>
        <v>0</v>
      </c>
      <c r="Q80" s="105">
        <f t="shared" si="17"/>
        <v>0</v>
      </c>
      <c r="R80" s="160">
        <f t="shared" si="18"/>
        <v>0</v>
      </c>
      <c r="S80" s="55"/>
      <c r="T80" s="55"/>
      <c r="U80" s="55"/>
      <c r="V80" s="55"/>
      <c r="W80" s="55"/>
      <c r="X80" s="55"/>
      <c r="Y80" s="55"/>
      <c r="Z80" s="55"/>
      <c r="AA80" s="55"/>
      <c r="AB80" s="55"/>
      <c r="AC80" s="55"/>
      <c r="AD80" s="55"/>
      <c r="AE80" s="55"/>
      <c r="AF80" s="55"/>
      <c r="AG80" s="55"/>
      <c r="AH80" s="55"/>
      <c r="AI80" s="55"/>
      <c r="AJ80" s="55"/>
      <c r="AK80" s="55"/>
      <c r="AL80" s="55"/>
      <c r="AM80" s="55"/>
      <c r="AN80" s="55"/>
      <c r="AO80" s="55"/>
      <c r="AP80" s="55"/>
      <c r="AQ80" s="55"/>
      <c r="AR80" s="55"/>
      <c r="AS80" s="55"/>
      <c r="AT80" s="55"/>
      <c r="AU80" s="55"/>
      <c r="AV80" s="55"/>
      <c r="AW80" s="55"/>
      <c r="AX80" s="55"/>
      <c r="AY80" s="55"/>
    </row>
    <row r="81" spans="1:51" ht="36" customHeight="1">
      <c r="B81" s="241">
        <f t="shared" si="2"/>
        <v>0</v>
      </c>
      <c r="C81" s="242" t="str">
        <f t="shared" si="3"/>
        <v/>
      </c>
      <c r="D81" s="100">
        <f t="shared" si="4"/>
        <v>0</v>
      </c>
      <c r="E81" s="105">
        <f t="shared" si="5"/>
        <v>0</v>
      </c>
      <c r="F81" s="105">
        <f t="shared" si="6"/>
        <v>0</v>
      </c>
      <c r="G81" s="105">
        <f t="shared" si="7"/>
        <v>0</v>
      </c>
      <c r="H81" s="105">
        <f t="shared" si="8"/>
        <v>0</v>
      </c>
      <c r="I81" s="105">
        <f t="shared" si="9"/>
        <v>0</v>
      </c>
      <c r="J81" s="105">
        <f t="shared" si="10"/>
        <v>0</v>
      </c>
      <c r="K81" s="105">
        <f t="shared" si="11"/>
        <v>0</v>
      </c>
      <c r="L81" s="105">
        <f t="shared" si="12"/>
        <v>0</v>
      </c>
      <c r="M81" s="105">
        <f t="shared" si="13"/>
        <v>0</v>
      </c>
      <c r="N81" s="105">
        <f t="shared" si="14"/>
        <v>0</v>
      </c>
      <c r="O81" s="105">
        <f t="shared" si="15"/>
        <v>0</v>
      </c>
      <c r="P81" s="105">
        <f t="shared" si="16"/>
        <v>0</v>
      </c>
      <c r="Q81" s="105">
        <f t="shared" si="17"/>
        <v>0</v>
      </c>
      <c r="R81" s="160">
        <f t="shared" si="18"/>
        <v>0</v>
      </c>
      <c r="S81" s="55"/>
      <c r="T81" s="55"/>
      <c r="U81" s="55"/>
      <c r="V81" s="55"/>
      <c r="W81" s="55"/>
      <c r="X81" s="55"/>
      <c r="Y81" s="55"/>
      <c r="Z81" s="55"/>
      <c r="AA81" s="55"/>
      <c r="AB81" s="55"/>
      <c r="AC81" s="55"/>
      <c r="AD81" s="55"/>
      <c r="AE81" s="55"/>
      <c r="AF81" s="55"/>
      <c r="AG81" s="55"/>
      <c r="AH81" s="55"/>
      <c r="AI81" s="55"/>
      <c r="AJ81" s="55"/>
      <c r="AK81" s="55"/>
      <c r="AL81" s="55"/>
      <c r="AM81" s="55"/>
      <c r="AN81" s="55"/>
      <c r="AO81" s="55"/>
      <c r="AP81" s="55"/>
      <c r="AQ81" s="55"/>
      <c r="AR81" s="55"/>
      <c r="AS81" s="55"/>
      <c r="AT81" s="55"/>
      <c r="AU81" s="55"/>
      <c r="AV81" s="55"/>
      <c r="AW81" s="55"/>
      <c r="AX81" s="55"/>
      <c r="AY81" s="55"/>
    </row>
    <row r="82" spans="1:51" ht="36" customHeight="1">
      <c r="B82" s="241">
        <f t="shared" si="2"/>
        <v>0</v>
      </c>
      <c r="C82" s="242" t="str">
        <f t="shared" si="3"/>
        <v/>
      </c>
      <c r="D82" s="100">
        <f t="shared" si="4"/>
        <v>0</v>
      </c>
      <c r="E82" s="105">
        <f t="shared" si="5"/>
        <v>0</v>
      </c>
      <c r="F82" s="105">
        <f t="shared" si="6"/>
        <v>0</v>
      </c>
      <c r="G82" s="105">
        <f t="shared" si="7"/>
        <v>0</v>
      </c>
      <c r="H82" s="105">
        <f t="shared" si="8"/>
        <v>0</v>
      </c>
      <c r="I82" s="105">
        <f t="shared" si="9"/>
        <v>0</v>
      </c>
      <c r="J82" s="105">
        <f t="shared" si="10"/>
        <v>0</v>
      </c>
      <c r="K82" s="105">
        <f t="shared" si="11"/>
        <v>0</v>
      </c>
      <c r="L82" s="105">
        <f t="shared" si="12"/>
        <v>0</v>
      </c>
      <c r="M82" s="105">
        <f t="shared" si="13"/>
        <v>0</v>
      </c>
      <c r="N82" s="105">
        <f t="shared" si="14"/>
        <v>0</v>
      </c>
      <c r="O82" s="105">
        <f t="shared" si="15"/>
        <v>0</v>
      </c>
      <c r="P82" s="105">
        <f t="shared" si="16"/>
        <v>0</v>
      </c>
      <c r="Q82" s="105">
        <f t="shared" si="17"/>
        <v>0</v>
      </c>
      <c r="R82" s="160">
        <f t="shared" si="18"/>
        <v>0</v>
      </c>
      <c r="S82" s="55"/>
      <c r="T82" s="55"/>
      <c r="U82" s="55"/>
      <c r="V82" s="55"/>
      <c r="W82" s="55"/>
      <c r="X82" s="55"/>
      <c r="Y82" s="55"/>
      <c r="Z82" s="55"/>
      <c r="AA82" s="55"/>
      <c r="AB82" s="55"/>
      <c r="AC82" s="55"/>
      <c r="AD82" s="55"/>
      <c r="AE82" s="55"/>
      <c r="AF82" s="55"/>
      <c r="AG82" s="55"/>
      <c r="AH82" s="55"/>
      <c r="AI82" s="55"/>
      <c r="AJ82" s="55"/>
      <c r="AK82" s="55"/>
      <c r="AL82" s="55"/>
      <c r="AM82" s="55"/>
      <c r="AN82" s="55"/>
      <c r="AO82" s="55"/>
      <c r="AP82" s="55"/>
      <c r="AQ82" s="55"/>
      <c r="AR82" s="55"/>
      <c r="AS82" s="55"/>
      <c r="AT82" s="55"/>
      <c r="AU82" s="55"/>
      <c r="AV82" s="55"/>
      <c r="AW82" s="55"/>
      <c r="AX82" s="55"/>
      <c r="AY82" s="55"/>
    </row>
    <row r="83" spans="1:51" ht="36" customHeight="1">
      <c r="B83" s="241">
        <f t="shared" si="2"/>
        <v>0</v>
      </c>
      <c r="C83" s="242" t="str">
        <f t="shared" si="3"/>
        <v/>
      </c>
      <c r="D83" s="100">
        <f t="shared" si="4"/>
        <v>0</v>
      </c>
      <c r="E83" s="105">
        <f t="shared" si="5"/>
        <v>0</v>
      </c>
      <c r="F83" s="105">
        <f t="shared" si="6"/>
        <v>0</v>
      </c>
      <c r="G83" s="105">
        <f t="shared" si="7"/>
        <v>0</v>
      </c>
      <c r="H83" s="105">
        <f t="shared" si="8"/>
        <v>0</v>
      </c>
      <c r="I83" s="105">
        <f t="shared" si="9"/>
        <v>0</v>
      </c>
      <c r="J83" s="105">
        <f t="shared" si="10"/>
        <v>0</v>
      </c>
      <c r="K83" s="105">
        <f t="shared" si="11"/>
        <v>0</v>
      </c>
      <c r="L83" s="105">
        <f t="shared" si="12"/>
        <v>0</v>
      </c>
      <c r="M83" s="105">
        <f t="shared" si="13"/>
        <v>0</v>
      </c>
      <c r="N83" s="105">
        <f t="shared" si="14"/>
        <v>0</v>
      </c>
      <c r="O83" s="105">
        <f t="shared" si="15"/>
        <v>0</v>
      </c>
      <c r="P83" s="105">
        <f t="shared" si="16"/>
        <v>0</v>
      </c>
      <c r="Q83" s="105">
        <f t="shared" si="17"/>
        <v>0</v>
      </c>
      <c r="R83" s="160">
        <f t="shared" si="18"/>
        <v>0</v>
      </c>
      <c r="S83" s="55"/>
      <c r="T83" s="55"/>
      <c r="U83" s="55"/>
      <c r="V83" s="55"/>
      <c r="W83" s="55"/>
      <c r="X83" s="55"/>
      <c r="Y83" s="55"/>
      <c r="Z83" s="55"/>
      <c r="AA83" s="55"/>
      <c r="AB83" s="55"/>
      <c r="AC83" s="55"/>
      <c r="AD83" s="55"/>
      <c r="AE83" s="55"/>
      <c r="AF83" s="55"/>
      <c r="AG83" s="55"/>
      <c r="AH83" s="55"/>
      <c r="AI83" s="55"/>
      <c r="AJ83" s="55"/>
      <c r="AK83" s="55"/>
      <c r="AL83" s="55"/>
      <c r="AM83" s="55"/>
      <c r="AN83" s="55"/>
      <c r="AO83" s="55"/>
      <c r="AP83" s="55"/>
      <c r="AQ83" s="55"/>
      <c r="AR83" s="55"/>
      <c r="AS83" s="55"/>
      <c r="AT83" s="55"/>
      <c r="AU83" s="55"/>
      <c r="AV83" s="55"/>
      <c r="AW83" s="55"/>
      <c r="AX83" s="55"/>
      <c r="AY83" s="55"/>
    </row>
    <row r="84" spans="1:51" ht="36" customHeight="1">
      <c r="B84" s="241">
        <f t="shared" si="2"/>
        <v>0</v>
      </c>
      <c r="C84" s="242" t="str">
        <f t="shared" si="3"/>
        <v/>
      </c>
      <c r="D84" s="100">
        <f t="shared" si="4"/>
        <v>0</v>
      </c>
      <c r="E84" s="105">
        <f t="shared" si="5"/>
        <v>0</v>
      </c>
      <c r="F84" s="105">
        <f t="shared" si="6"/>
        <v>0</v>
      </c>
      <c r="G84" s="105">
        <f t="shared" si="7"/>
        <v>0</v>
      </c>
      <c r="H84" s="105">
        <f t="shared" si="8"/>
        <v>0</v>
      </c>
      <c r="I84" s="105">
        <f t="shared" si="9"/>
        <v>0</v>
      </c>
      <c r="J84" s="105">
        <f t="shared" si="10"/>
        <v>0</v>
      </c>
      <c r="K84" s="105">
        <f t="shared" si="11"/>
        <v>0</v>
      </c>
      <c r="L84" s="105">
        <f t="shared" si="12"/>
        <v>0</v>
      </c>
      <c r="M84" s="105">
        <f t="shared" si="13"/>
        <v>0</v>
      </c>
      <c r="N84" s="105">
        <f t="shared" si="14"/>
        <v>0</v>
      </c>
      <c r="O84" s="105">
        <f t="shared" si="15"/>
        <v>0</v>
      </c>
      <c r="P84" s="105">
        <f t="shared" si="16"/>
        <v>0</v>
      </c>
      <c r="Q84" s="105">
        <f t="shared" si="17"/>
        <v>0</v>
      </c>
      <c r="R84" s="160">
        <f t="shared" si="18"/>
        <v>0</v>
      </c>
      <c r="S84" s="55"/>
      <c r="T84" s="55"/>
      <c r="U84" s="55"/>
      <c r="V84" s="55"/>
      <c r="W84" s="55"/>
      <c r="X84" s="55"/>
      <c r="Y84" s="55"/>
      <c r="Z84" s="55"/>
      <c r="AA84" s="55"/>
      <c r="AB84" s="55"/>
      <c r="AC84" s="55"/>
      <c r="AD84" s="55"/>
      <c r="AE84" s="55"/>
      <c r="AF84" s="55"/>
      <c r="AG84" s="55"/>
      <c r="AH84" s="55"/>
      <c r="AI84" s="55"/>
      <c r="AJ84" s="55"/>
      <c r="AK84" s="55"/>
      <c r="AL84" s="55"/>
      <c r="AM84" s="55"/>
      <c r="AN84" s="55"/>
      <c r="AO84" s="55"/>
      <c r="AP84" s="55"/>
      <c r="AQ84" s="55"/>
      <c r="AR84" s="55"/>
      <c r="AS84" s="55"/>
      <c r="AT84" s="55"/>
      <c r="AU84" s="55"/>
      <c r="AV84" s="55"/>
      <c r="AW84" s="55"/>
      <c r="AX84" s="55"/>
      <c r="AY84" s="55"/>
    </row>
    <row r="85" spans="1:51" ht="36" customHeight="1" thickBot="1">
      <c r="B85" s="241"/>
      <c r="C85" s="240"/>
      <c r="D85" s="59"/>
      <c r="E85" s="203"/>
      <c r="F85" s="203"/>
      <c r="G85" s="203"/>
      <c r="H85" s="203"/>
      <c r="I85" s="203"/>
      <c r="J85" s="203"/>
      <c r="K85" s="203"/>
      <c r="L85" s="203"/>
      <c r="M85" s="203"/>
      <c r="N85" s="203"/>
      <c r="O85" s="203"/>
      <c r="P85" s="203"/>
      <c r="Q85" s="203"/>
      <c r="R85" s="202"/>
      <c r="S85" s="55"/>
      <c r="T85" s="55"/>
      <c r="U85" s="55"/>
      <c r="V85" s="55"/>
      <c r="W85" s="55"/>
      <c r="X85" s="55"/>
      <c r="Y85" s="55"/>
      <c r="Z85" s="55"/>
      <c r="AA85" s="55"/>
      <c r="AB85" s="55"/>
      <c r="AC85" s="55"/>
      <c r="AD85" s="55"/>
      <c r="AE85" s="55"/>
      <c r="AF85" s="55"/>
      <c r="AG85" s="55"/>
      <c r="AH85" s="55"/>
      <c r="AI85" s="55"/>
      <c r="AJ85" s="55"/>
      <c r="AK85" s="55"/>
      <c r="AL85" s="55"/>
      <c r="AM85" s="55"/>
      <c r="AN85" s="55"/>
      <c r="AO85" s="55"/>
      <c r="AP85" s="55"/>
      <c r="AQ85" s="55"/>
      <c r="AR85" s="55"/>
      <c r="AS85" s="55"/>
      <c r="AT85" s="55"/>
      <c r="AU85" s="55"/>
      <c r="AV85" s="55"/>
      <c r="AW85" s="55"/>
      <c r="AX85" s="55"/>
      <c r="AY85" s="55"/>
    </row>
    <row r="86" spans="1:51" ht="36" customHeight="1" thickTop="1" thickBot="1">
      <c r="B86" s="98"/>
      <c r="C86" s="91"/>
      <c r="D86" s="96">
        <f t="shared" ref="D86:R86" si="19">ROUND(SUM(D55:D84),0)</f>
        <v>18219</v>
      </c>
      <c r="E86" s="97">
        <f t="shared" si="19"/>
        <v>20364</v>
      </c>
      <c r="F86" s="97">
        <f t="shared" si="19"/>
        <v>22910</v>
      </c>
      <c r="G86" s="97">
        <f t="shared" si="19"/>
        <v>25912</v>
      </c>
      <c r="H86" s="97">
        <f t="shared" si="19"/>
        <v>29721</v>
      </c>
      <c r="I86" s="97">
        <f t="shared" si="19"/>
        <v>29721</v>
      </c>
      <c r="J86" s="97">
        <f t="shared" si="19"/>
        <v>29721</v>
      </c>
      <c r="K86" s="97">
        <f t="shared" si="19"/>
        <v>29721</v>
      </c>
      <c r="L86" s="97">
        <f t="shared" si="19"/>
        <v>29721</v>
      </c>
      <c r="M86" s="97">
        <f t="shared" si="19"/>
        <v>29721</v>
      </c>
      <c r="N86" s="154">
        <f t="shared" si="19"/>
        <v>29721</v>
      </c>
      <c r="O86" s="154">
        <f t="shared" si="19"/>
        <v>29721</v>
      </c>
      <c r="P86" s="154">
        <f t="shared" si="19"/>
        <v>29721</v>
      </c>
      <c r="Q86" s="154">
        <f t="shared" si="19"/>
        <v>29721</v>
      </c>
      <c r="R86" s="153">
        <f t="shared" si="19"/>
        <v>29721</v>
      </c>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row>
    <row r="87" spans="1:51" ht="33.75" customHeight="1" thickTop="1">
      <c r="B87" s="58"/>
      <c r="C87" s="58"/>
      <c r="D87" s="58"/>
      <c r="E87" s="58"/>
      <c r="F87" s="58"/>
      <c r="G87" s="58"/>
      <c r="H87" s="58"/>
      <c r="I87" s="58"/>
      <c r="J87" s="58"/>
      <c r="K87" s="58"/>
      <c r="L87" s="58"/>
      <c r="M87" s="58"/>
      <c r="S87" s="221"/>
      <c r="U87" s="55"/>
      <c r="V87" s="55"/>
      <c r="W87" s="55"/>
      <c r="X87" s="55"/>
      <c r="Y87" s="55"/>
      <c r="Z87" s="55"/>
      <c r="AA87" s="55"/>
      <c r="AB87" s="55"/>
      <c r="AC87" s="55"/>
      <c r="AD87" s="55"/>
      <c r="AE87" s="55"/>
      <c r="AF87" s="55"/>
      <c r="AG87" s="55"/>
      <c r="AH87" s="55"/>
      <c r="AI87" s="55"/>
      <c r="AJ87" s="55"/>
      <c r="AK87" s="55"/>
      <c r="AL87" s="55"/>
      <c r="AM87" s="55"/>
      <c r="AN87" s="55"/>
      <c r="AO87" s="55"/>
      <c r="AP87" s="55"/>
      <c r="AQ87" s="55"/>
      <c r="AR87" s="55"/>
      <c r="AS87" s="55"/>
      <c r="AT87" s="55"/>
      <c r="AU87" s="55"/>
      <c r="AV87" s="55"/>
      <c r="AW87" s="55"/>
      <c r="AX87" s="55"/>
      <c r="AY87" s="55"/>
    </row>
    <row r="88" spans="1:51">
      <c r="U88" s="55"/>
      <c r="V88" s="55"/>
      <c r="W88" s="55"/>
      <c r="X88" s="55"/>
      <c r="Y88" s="55"/>
      <c r="Z88" s="55"/>
      <c r="AA88" s="55"/>
      <c r="AB88" s="55"/>
      <c r="AC88" s="55"/>
      <c r="AD88" s="55"/>
      <c r="AE88" s="55"/>
      <c r="AF88" s="55" t="s">
        <v>87</v>
      </c>
      <c r="AG88" s="55" t="s">
        <v>88</v>
      </c>
      <c r="AH88" s="55"/>
      <c r="AI88" s="55"/>
      <c r="AJ88" s="55"/>
      <c r="AK88" s="55"/>
      <c r="AL88" s="55"/>
      <c r="AM88" s="55"/>
      <c r="AN88" s="55"/>
      <c r="AO88" s="55"/>
      <c r="AP88" s="55"/>
      <c r="AQ88" s="55"/>
      <c r="AR88" s="55"/>
      <c r="AS88" s="55"/>
      <c r="AT88" s="55"/>
      <c r="AU88" s="55"/>
      <c r="AV88" s="55"/>
      <c r="AW88" s="55"/>
      <c r="AX88" s="55"/>
      <c r="AY88" s="55"/>
    </row>
    <row r="89" spans="1:51">
      <c r="U89" s="55"/>
      <c r="V89" s="55"/>
      <c r="W89" s="55"/>
      <c r="X89" s="55"/>
      <c r="Y89" s="55"/>
      <c r="Z89" s="55"/>
      <c r="AA89" s="55"/>
      <c r="AB89" s="55"/>
      <c r="AC89" s="55"/>
      <c r="AD89" s="55"/>
      <c r="AE89" s="55">
        <v>0</v>
      </c>
      <c r="AF89" s="55"/>
      <c r="AG89" s="55" t="s">
        <v>89</v>
      </c>
      <c r="AH89" s="55"/>
      <c r="AI89" s="55"/>
      <c r="AJ89" s="55"/>
      <c r="AK89" s="55"/>
      <c r="AL89" s="55"/>
      <c r="AM89" s="55"/>
      <c r="AN89" s="55"/>
      <c r="AO89" s="55"/>
      <c r="AP89" s="55"/>
      <c r="AQ89" s="55"/>
      <c r="AR89" s="55"/>
      <c r="AS89" s="55"/>
      <c r="AT89" s="55"/>
      <c r="AU89" s="55"/>
      <c r="AV89" s="55"/>
      <c r="AW89" s="55"/>
      <c r="AX89" s="55"/>
      <c r="AY89" s="55"/>
    </row>
    <row r="90" spans="1:51" ht="21" thickBot="1">
      <c r="U90" s="55"/>
      <c r="V90" s="55"/>
      <c r="W90" s="55"/>
      <c r="X90" s="55"/>
      <c r="Y90" s="55"/>
      <c r="Z90" s="55"/>
      <c r="AA90" s="55"/>
      <c r="AB90" s="55"/>
      <c r="AC90" s="55"/>
      <c r="AD90" s="55"/>
      <c r="AE90" s="55"/>
      <c r="AF90" s="55"/>
      <c r="AG90" s="55" t="s">
        <v>90</v>
      </c>
      <c r="AH90" s="55"/>
      <c r="AI90" s="55"/>
      <c r="AJ90" s="55"/>
      <c r="AK90" s="55"/>
      <c r="AL90" s="55"/>
      <c r="AM90" s="55"/>
      <c r="AN90" s="55"/>
      <c r="AO90" s="55"/>
      <c r="AP90" s="55"/>
      <c r="AQ90" s="55"/>
      <c r="AR90" s="55"/>
      <c r="AS90" s="55"/>
      <c r="AT90" s="55"/>
      <c r="AU90" s="55"/>
      <c r="AV90" s="55"/>
      <c r="AW90" s="55"/>
      <c r="AX90" s="55"/>
      <c r="AY90" s="55"/>
    </row>
    <row r="91" spans="1:51" ht="33" customHeight="1" thickTop="1" thickBot="1">
      <c r="A91" s="57" t="s">
        <v>91</v>
      </c>
      <c r="B91" s="54" t="s">
        <v>92</v>
      </c>
      <c r="D91" s="57"/>
      <c r="E91" s="57"/>
      <c r="F91" s="57"/>
      <c r="G91" s="57"/>
      <c r="L91" s="152" t="s">
        <v>93</v>
      </c>
      <c r="M91" s="151"/>
      <c r="U91" s="55"/>
      <c r="V91" s="55"/>
      <c r="W91" s="55"/>
      <c r="X91" s="55"/>
      <c r="Y91" s="55"/>
      <c r="Z91" s="55"/>
      <c r="AA91" s="55"/>
      <c r="AB91" s="55"/>
      <c r="AC91" s="55"/>
      <c r="AD91" s="55"/>
      <c r="AE91" s="55"/>
      <c r="AF91" s="55"/>
      <c r="AG91" s="55" t="s">
        <v>94</v>
      </c>
      <c r="AH91" s="55"/>
      <c r="AI91" s="55"/>
      <c r="AJ91" s="55"/>
      <c r="AK91" s="55"/>
      <c r="AL91" s="55"/>
      <c r="AM91" s="55"/>
      <c r="AN91" s="55"/>
      <c r="AO91" s="55"/>
      <c r="AP91" s="55"/>
      <c r="AQ91" s="55"/>
      <c r="AR91" s="55"/>
      <c r="AS91" s="55"/>
      <c r="AT91" s="55"/>
      <c r="AU91" s="55"/>
      <c r="AV91" s="55"/>
      <c r="AW91" s="55"/>
      <c r="AX91" s="55"/>
      <c r="AY91" s="55"/>
    </row>
    <row r="92" spans="1:51" ht="10.5" customHeight="1" thickTop="1">
      <c r="A92" s="57"/>
      <c r="D92" s="57"/>
      <c r="E92" s="57"/>
      <c r="F92" s="57"/>
      <c r="G92" s="57"/>
      <c r="U92" s="55"/>
      <c r="V92" s="55"/>
      <c r="W92" s="55"/>
      <c r="X92" s="55"/>
      <c r="Y92" s="55"/>
      <c r="Z92" s="55"/>
      <c r="AA92" s="55"/>
      <c r="AB92" s="55"/>
      <c r="AC92" s="55"/>
      <c r="AD92" s="55"/>
      <c r="AE92" s="55"/>
      <c r="AF92" s="55"/>
      <c r="AG92" s="55" t="s">
        <v>95</v>
      </c>
      <c r="AH92" s="55"/>
      <c r="AI92" s="55"/>
      <c r="AJ92" s="55"/>
      <c r="AK92" s="55"/>
      <c r="AL92" s="55"/>
      <c r="AM92" s="55"/>
      <c r="AN92" s="55"/>
      <c r="AO92" s="55"/>
      <c r="AP92" s="55"/>
      <c r="AQ92" s="55"/>
      <c r="AR92" s="55"/>
      <c r="AS92" s="55"/>
      <c r="AT92" s="55"/>
      <c r="AU92" s="55"/>
      <c r="AV92" s="55"/>
      <c r="AW92" s="55"/>
      <c r="AX92" s="55"/>
      <c r="AY92" s="55"/>
    </row>
    <row r="93" spans="1:51" ht="10.5" customHeight="1">
      <c r="U93" s="55"/>
      <c r="V93" s="55"/>
      <c r="W93" s="55"/>
      <c r="X93" s="55"/>
      <c r="Y93" s="55"/>
      <c r="Z93" s="55"/>
      <c r="AA93" s="55"/>
      <c r="AB93" s="55"/>
      <c r="AC93" s="55"/>
      <c r="AD93" s="55"/>
      <c r="AE93" s="55"/>
      <c r="AF93" s="55"/>
      <c r="AG93" s="55"/>
      <c r="AH93" s="55"/>
      <c r="AI93" s="55"/>
      <c r="AJ93" s="55"/>
      <c r="AK93" s="55"/>
      <c r="AL93" s="55"/>
      <c r="AM93" s="55"/>
      <c r="AN93" s="55"/>
      <c r="AO93" s="55"/>
      <c r="AP93" s="55"/>
      <c r="AQ93" s="55"/>
      <c r="AR93" s="55"/>
      <c r="AS93" s="55"/>
      <c r="AT93" s="55"/>
      <c r="AU93" s="55"/>
      <c r="AV93" s="55"/>
      <c r="AW93" s="55"/>
      <c r="AX93" s="55"/>
      <c r="AY93" s="55"/>
    </row>
    <row r="94" spans="1:51" ht="10.5" customHeight="1" thickBot="1">
      <c r="A94" s="57"/>
      <c r="B94" s="57"/>
      <c r="C94" s="57"/>
      <c r="D94" s="57"/>
      <c r="E94" s="57"/>
      <c r="F94" s="57"/>
      <c r="G94" s="57"/>
      <c r="H94" s="57"/>
      <c r="I94" s="57"/>
      <c r="J94" s="57"/>
      <c r="K94" s="57"/>
      <c r="L94" s="57"/>
      <c r="M94" s="57"/>
      <c r="N94" s="57"/>
      <c r="U94" s="55"/>
      <c r="V94" s="55"/>
      <c r="W94" s="55"/>
      <c r="X94" s="55"/>
      <c r="Y94" s="55"/>
      <c r="Z94" s="55"/>
      <c r="AA94" s="55"/>
      <c r="AB94" s="55"/>
      <c r="AC94" s="55"/>
      <c r="AD94" s="55"/>
      <c r="AE94" s="55"/>
      <c r="AF94" s="55"/>
      <c r="AG94" s="55" t="s">
        <v>96</v>
      </c>
      <c r="AH94" s="55"/>
      <c r="AI94" s="55"/>
      <c r="AJ94" s="55"/>
      <c r="AK94" s="55"/>
      <c r="AL94" s="55"/>
      <c r="AM94" s="55"/>
      <c r="AN94" s="55"/>
      <c r="AO94" s="55"/>
      <c r="AP94" s="55"/>
      <c r="AQ94" s="55"/>
      <c r="AR94" s="55"/>
      <c r="AS94" s="55"/>
      <c r="AT94" s="55"/>
      <c r="AU94" s="55"/>
      <c r="AV94" s="55"/>
      <c r="AW94" s="55"/>
      <c r="AX94" s="55"/>
      <c r="AY94" s="55"/>
    </row>
    <row r="95" spans="1:51" ht="37.5" customHeight="1" thickTop="1">
      <c r="A95" s="57"/>
      <c r="B95" s="173"/>
      <c r="C95" s="245" t="s">
        <v>74</v>
      </c>
      <c r="D95" s="236" t="str">
        <f>"    "&amp;'Financial Stat.'!C318</f>
        <v xml:space="preserve">      2026</v>
      </c>
      <c r="E95" s="235" t="str">
        <f>"    "&amp;'Financial Stat.'!D318</f>
        <v xml:space="preserve">      2027</v>
      </c>
      <c r="F95" s="235" t="str">
        <f>"    "&amp;'Financial Stat.'!E318</f>
        <v xml:space="preserve">      2028</v>
      </c>
      <c r="G95" s="235" t="str">
        <f>"    "&amp;'Financial Stat.'!F318</f>
        <v xml:space="preserve">      2029</v>
      </c>
      <c r="H95" s="235" t="str">
        <f>"    "&amp;'Financial Stat.'!G318</f>
        <v xml:space="preserve">      2030</v>
      </c>
      <c r="I95" s="235" t="str">
        <f>"    "&amp;'Financial Stat.'!H318</f>
        <v xml:space="preserve">      2031</v>
      </c>
      <c r="J95" s="235" t="str">
        <f>"    "&amp;'Financial Stat.'!I318</f>
        <v xml:space="preserve">      2032</v>
      </c>
      <c r="K95" s="235" t="str">
        <f>"    "&amp;'Financial Stat.'!J318</f>
        <v xml:space="preserve">      2033</v>
      </c>
      <c r="L95" s="235" t="str">
        <f>"    "&amp;'Financial Stat.'!K318</f>
        <v xml:space="preserve">      2034</v>
      </c>
      <c r="M95" s="236" t="str">
        <f>"    "&amp;'Financial Stat.'!L318</f>
        <v xml:space="preserve">      2035</v>
      </c>
      <c r="N95" s="235" t="str">
        <f>"    "&amp;'Financial Stat.'!M318</f>
        <v xml:space="preserve">      2036</v>
      </c>
      <c r="O95" s="235" t="str">
        <f>"    "&amp;'Financial Stat.'!N318</f>
        <v xml:space="preserve">      2037</v>
      </c>
      <c r="P95" s="235" t="str">
        <f>"    "&amp;'Financial Stat.'!O318</f>
        <v xml:space="preserve">      2038</v>
      </c>
      <c r="Q95" s="235" t="str">
        <f>"    "&amp;'Financial Stat.'!P318</f>
        <v xml:space="preserve">      2039</v>
      </c>
      <c r="R95" s="244" t="str">
        <f>"    "&amp;'Financial Stat.'!Q318</f>
        <v xml:space="preserve">      2040</v>
      </c>
      <c r="S95" s="55"/>
      <c r="T95" s="55"/>
      <c r="U95" s="55"/>
      <c r="V95" s="55"/>
      <c r="W95" s="55"/>
      <c r="X95" s="55"/>
      <c r="Y95" s="55"/>
      <c r="Z95" s="55"/>
      <c r="AA95" s="55"/>
      <c r="AB95" s="55"/>
      <c r="AC95" s="55"/>
      <c r="AD95" s="55"/>
      <c r="AE95" s="55"/>
      <c r="AF95" s="55"/>
      <c r="AG95" s="55"/>
      <c r="AH95" s="55"/>
      <c r="AI95" s="55"/>
      <c r="AJ95" s="55"/>
      <c r="AK95" s="55"/>
      <c r="AL95" s="55"/>
      <c r="AM95" s="55"/>
      <c r="AN95" s="55"/>
      <c r="AO95" s="55"/>
      <c r="AP95" s="55"/>
      <c r="AQ95" s="55"/>
      <c r="AR95" s="55"/>
      <c r="AS95" s="55"/>
      <c r="AT95" s="55"/>
      <c r="AU95" s="55"/>
      <c r="AV95" s="55"/>
      <c r="AW95" s="55"/>
      <c r="AX95" s="55"/>
      <c r="AY95" s="55"/>
    </row>
    <row r="96" spans="1:51" ht="37.5" customHeight="1" thickBot="1">
      <c r="A96" s="57"/>
      <c r="B96" s="171"/>
      <c r="C96" s="243"/>
      <c r="D96" s="502" t="s">
        <v>80</v>
      </c>
      <c r="E96" s="503" t="s">
        <v>80</v>
      </c>
      <c r="F96" s="503" t="s">
        <v>80</v>
      </c>
      <c r="G96" s="503" t="s">
        <v>80</v>
      </c>
      <c r="H96" s="503" t="s">
        <v>80</v>
      </c>
      <c r="I96" s="503" t="s">
        <v>80</v>
      </c>
      <c r="J96" s="503" t="s">
        <v>80</v>
      </c>
      <c r="K96" s="503" t="s">
        <v>80</v>
      </c>
      <c r="L96" s="503" t="s">
        <v>80</v>
      </c>
      <c r="M96" s="502" t="s">
        <v>80</v>
      </c>
      <c r="N96" s="503" t="s">
        <v>80</v>
      </c>
      <c r="O96" s="503" t="s">
        <v>80</v>
      </c>
      <c r="P96" s="503" t="s">
        <v>80</v>
      </c>
      <c r="Q96" s="503" t="s">
        <v>80</v>
      </c>
      <c r="R96" s="504" t="s">
        <v>80</v>
      </c>
      <c r="S96" s="55"/>
      <c r="T96" s="55"/>
      <c r="U96" s="55"/>
      <c r="V96" s="55"/>
      <c r="W96" s="55"/>
      <c r="X96" s="55"/>
      <c r="Y96" s="55"/>
      <c r="Z96" s="55"/>
      <c r="AA96" s="55"/>
      <c r="AB96" s="55"/>
      <c r="AC96" s="55"/>
      <c r="AD96" s="55"/>
      <c r="AE96" s="55"/>
      <c r="AF96" s="55"/>
      <c r="AG96" s="55"/>
      <c r="AH96" s="55"/>
      <c r="AI96" s="55"/>
      <c r="AJ96" s="55"/>
      <c r="AK96" s="55"/>
      <c r="AL96" s="55"/>
      <c r="AM96" s="55"/>
      <c r="AN96" s="55"/>
      <c r="AO96" s="55"/>
      <c r="AP96" s="55"/>
      <c r="AQ96" s="55" t="s">
        <v>70</v>
      </c>
      <c r="AR96" s="55" t="s">
        <v>70</v>
      </c>
      <c r="AS96" s="55" t="s">
        <v>70</v>
      </c>
      <c r="AT96" s="55"/>
      <c r="AU96" s="55"/>
      <c r="AV96" s="55"/>
      <c r="AW96" s="55"/>
      <c r="AX96" s="55"/>
      <c r="AY96" s="55"/>
    </row>
    <row r="97" spans="1:51" ht="37.5" customHeight="1" thickTop="1">
      <c r="A97" s="57"/>
      <c r="B97" s="113"/>
      <c r="C97" s="114" t="s">
        <v>70</v>
      </c>
      <c r="D97" s="214" t="s">
        <v>70</v>
      </c>
      <c r="E97" s="213" t="s">
        <v>70</v>
      </c>
      <c r="F97" s="213" t="s">
        <v>70</v>
      </c>
      <c r="G97" s="213" t="s">
        <v>70</v>
      </c>
      <c r="H97" s="213" t="s">
        <v>70</v>
      </c>
      <c r="I97" s="213" t="s">
        <v>70</v>
      </c>
      <c r="J97" s="213" t="s">
        <v>70</v>
      </c>
      <c r="K97" s="213" t="s">
        <v>70</v>
      </c>
      <c r="L97" s="213" t="s">
        <v>70</v>
      </c>
      <c r="M97" s="213" t="s">
        <v>70</v>
      </c>
      <c r="N97" s="213" t="s">
        <v>70</v>
      </c>
      <c r="O97" s="213" t="s">
        <v>70</v>
      </c>
      <c r="P97" s="213" t="s">
        <v>70</v>
      </c>
      <c r="Q97" s="213" t="s">
        <v>70</v>
      </c>
      <c r="R97" s="212" t="s">
        <v>70</v>
      </c>
      <c r="S97" s="55"/>
      <c r="T97" s="55"/>
      <c r="U97" s="55"/>
      <c r="V97" s="55"/>
      <c r="W97" s="55"/>
      <c r="X97" s="55"/>
      <c r="Y97" s="55"/>
      <c r="Z97" s="55"/>
      <c r="AA97" s="55"/>
      <c r="AB97" s="55"/>
      <c r="AC97" s="55"/>
      <c r="AD97" s="55"/>
      <c r="AE97" s="55"/>
      <c r="AF97" s="55"/>
      <c r="AG97" s="55"/>
      <c r="AH97" s="55"/>
      <c r="AI97" s="55"/>
      <c r="AJ97" s="55"/>
      <c r="AK97" s="55"/>
      <c r="AL97" s="55"/>
      <c r="AM97" s="55"/>
      <c r="AN97" s="55"/>
      <c r="AO97" s="55"/>
      <c r="AP97" s="55"/>
      <c r="AQ97" s="55"/>
      <c r="AR97" s="55"/>
      <c r="AS97" s="55"/>
      <c r="AT97" s="55"/>
      <c r="AU97" s="55"/>
      <c r="AV97" s="55"/>
      <c r="AW97" s="55"/>
      <c r="AX97" s="55"/>
      <c r="AY97" s="55"/>
    </row>
    <row r="98" spans="1:51" ht="37.5" customHeight="1">
      <c r="B98" s="241">
        <f t="shared" ref="B98:B127" si="20">B55</f>
        <v>0</v>
      </c>
      <c r="C98" s="242" t="str">
        <f t="shared" ref="C98:C127" si="21">IF(ISERR(TRIM(C11)),"",TRIM(C11))</f>
        <v>PET Cups Local</v>
      </c>
      <c r="D98" s="100">
        <f t="shared" ref="D98:D127" si="22">ROUND((+H11*$F11)/1000,0)</f>
        <v>2280</v>
      </c>
      <c r="E98" s="105">
        <f t="shared" ref="E98:E127" si="23">ROUND((+I11*$F11)/1000,0)</f>
        <v>2918</v>
      </c>
      <c r="F98" s="105">
        <f t="shared" ref="F98:F127" si="24">ROUND((+J11*$F11)/1000,0)</f>
        <v>3830</v>
      </c>
      <c r="G98" s="105">
        <f t="shared" ref="G98:G127" si="25">ROUND((+K11*$F11)/1000,0)</f>
        <v>5107</v>
      </c>
      <c r="H98" s="105">
        <f t="shared" ref="H98:H127" si="26">ROUND((+L11*$F11)/1000,0)</f>
        <v>6566</v>
      </c>
      <c r="I98" s="105">
        <f t="shared" ref="I98:I127" si="27">ROUND((+M11*$F11)/1000,0)</f>
        <v>6566</v>
      </c>
      <c r="J98" s="105">
        <f t="shared" ref="J98:J127" si="28">ROUND((+N11*$F11)/1000,0)</f>
        <v>6566</v>
      </c>
      <c r="K98" s="105">
        <f t="shared" ref="K98:K127" si="29">ROUND((+O11*$F11)/1000,0)</f>
        <v>6566</v>
      </c>
      <c r="L98" s="105">
        <f t="shared" ref="L98:L127" si="30">ROUND((+P11*$F11)/1000,0)</f>
        <v>6566</v>
      </c>
      <c r="M98" s="105">
        <f t="shared" ref="M98:M127" si="31">ROUND((+Q11*$F11)/1000,0)</f>
        <v>6566</v>
      </c>
      <c r="N98" s="105">
        <f t="shared" ref="N98:N127" si="32">ROUND((+R11*$F11)/1000,0)</f>
        <v>6566</v>
      </c>
      <c r="O98" s="105">
        <f t="shared" ref="O98:O127" si="33">ROUND((+S11*$F11)/1000,0)</f>
        <v>6566</v>
      </c>
      <c r="P98" s="105">
        <f t="shared" ref="P98:P127" si="34">ROUND((+T11*$F11)/1000,0)</f>
        <v>6566</v>
      </c>
      <c r="Q98" s="105">
        <f t="shared" ref="Q98:Q127" si="35">ROUND((+U11*$F11)/1000,0)</f>
        <v>6566</v>
      </c>
      <c r="R98" s="160">
        <f t="shared" ref="R98:R127" si="36">ROUND((+V11*$F11)/1000,0)</f>
        <v>6566</v>
      </c>
      <c r="S98" s="55"/>
      <c r="T98" s="55"/>
      <c r="U98" s="55"/>
      <c r="V98" s="55"/>
      <c r="W98" s="55"/>
      <c r="X98" s="55"/>
      <c r="Y98" s="55"/>
      <c r="Z98" s="55"/>
      <c r="AA98" s="55"/>
      <c r="AB98" s="55"/>
      <c r="AC98" s="55"/>
      <c r="AD98" s="55"/>
      <c r="AE98" s="55"/>
      <c r="AF98" s="55"/>
      <c r="AG98" s="55"/>
      <c r="AH98" s="55"/>
      <c r="AI98" s="55"/>
      <c r="AJ98" s="55"/>
      <c r="AK98" s="55"/>
      <c r="AL98" s="55"/>
      <c r="AM98" s="55"/>
      <c r="AN98" s="55"/>
      <c r="AO98" s="55"/>
      <c r="AP98" s="55"/>
      <c r="AQ98" s="55"/>
      <c r="AR98" s="55"/>
      <c r="AS98" s="55"/>
      <c r="AT98" s="55"/>
      <c r="AU98" s="55"/>
      <c r="AV98" s="55"/>
      <c r="AW98" s="55"/>
      <c r="AX98" s="55"/>
      <c r="AY98" s="55"/>
    </row>
    <row r="99" spans="1:51" ht="37.5" customHeight="1">
      <c r="B99" s="241">
        <f t="shared" si="20"/>
        <v>0</v>
      </c>
      <c r="C99" s="242" t="str">
        <f t="shared" si="21"/>
        <v>PET Cups (Export)</v>
      </c>
      <c r="D99" s="100">
        <f t="shared" si="22"/>
        <v>274</v>
      </c>
      <c r="E99" s="105">
        <f t="shared" si="23"/>
        <v>365</v>
      </c>
      <c r="F99" s="105">
        <f t="shared" si="24"/>
        <v>547</v>
      </c>
      <c r="G99" s="105">
        <f t="shared" si="25"/>
        <v>730</v>
      </c>
      <c r="H99" s="105">
        <f t="shared" si="26"/>
        <v>1094</v>
      </c>
      <c r="I99" s="105">
        <f t="shared" si="27"/>
        <v>1094</v>
      </c>
      <c r="J99" s="105">
        <f t="shared" si="28"/>
        <v>1094</v>
      </c>
      <c r="K99" s="105">
        <f t="shared" si="29"/>
        <v>1094</v>
      </c>
      <c r="L99" s="105">
        <f t="shared" si="30"/>
        <v>1094</v>
      </c>
      <c r="M99" s="105">
        <f t="shared" si="31"/>
        <v>1094</v>
      </c>
      <c r="N99" s="105">
        <f t="shared" si="32"/>
        <v>1094</v>
      </c>
      <c r="O99" s="105">
        <f t="shared" si="33"/>
        <v>1094</v>
      </c>
      <c r="P99" s="105">
        <f t="shared" si="34"/>
        <v>1094</v>
      </c>
      <c r="Q99" s="105">
        <f t="shared" si="35"/>
        <v>1094</v>
      </c>
      <c r="R99" s="160">
        <f t="shared" si="36"/>
        <v>1094</v>
      </c>
      <c r="S99" s="55"/>
      <c r="T99" s="55"/>
      <c r="U99" s="55"/>
      <c r="V99" s="55"/>
      <c r="W99" s="55"/>
      <c r="X99" s="55"/>
      <c r="Y99" s="55"/>
      <c r="Z99" s="55"/>
      <c r="AA99" s="55"/>
      <c r="AB99" s="55"/>
      <c r="AC99" s="55"/>
      <c r="AD99" s="55"/>
      <c r="AE99" s="55"/>
      <c r="AF99" s="55"/>
      <c r="AG99" s="55"/>
      <c r="AH99" s="55"/>
      <c r="AI99" s="55"/>
      <c r="AJ99" s="55"/>
      <c r="AK99" s="55"/>
      <c r="AL99" s="55"/>
      <c r="AM99" s="55"/>
      <c r="AN99" s="55"/>
      <c r="AO99" s="55"/>
      <c r="AP99" s="55"/>
      <c r="AQ99" s="55"/>
      <c r="AR99" s="55"/>
      <c r="AS99" s="55"/>
      <c r="AT99" s="55"/>
      <c r="AU99" s="55"/>
      <c r="AV99" s="55"/>
      <c r="AW99" s="55"/>
      <c r="AX99" s="55"/>
      <c r="AY99" s="55"/>
    </row>
    <row r="100" spans="1:51" ht="37.5" customHeight="1">
      <c r="B100" s="241">
        <f t="shared" si="20"/>
        <v>0</v>
      </c>
      <c r="C100" s="242" t="str">
        <f t="shared" si="21"/>
        <v>PP Containers Local</v>
      </c>
      <c r="D100" s="100">
        <f t="shared" si="22"/>
        <v>5036</v>
      </c>
      <c r="E100" s="105">
        <f t="shared" si="23"/>
        <v>5350</v>
      </c>
      <c r="F100" s="105">
        <f t="shared" si="24"/>
        <v>5508</v>
      </c>
      <c r="G100" s="105">
        <f t="shared" si="25"/>
        <v>5595</v>
      </c>
      <c r="H100" s="105">
        <f t="shared" si="26"/>
        <v>5770</v>
      </c>
      <c r="I100" s="105">
        <f t="shared" si="27"/>
        <v>5770</v>
      </c>
      <c r="J100" s="105">
        <f t="shared" si="28"/>
        <v>5770</v>
      </c>
      <c r="K100" s="105">
        <f t="shared" si="29"/>
        <v>5770</v>
      </c>
      <c r="L100" s="105">
        <f t="shared" si="30"/>
        <v>5770</v>
      </c>
      <c r="M100" s="105">
        <f t="shared" si="31"/>
        <v>5770</v>
      </c>
      <c r="N100" s="105">
        <f t="shared" si="32"/>
        <v>5770</v>
      </c>
      <c r="O100" s="105">
        <f t="shared" si="33"/>
        <v>5770</v>
      </c>
      <c r="P100" s="105">
        <f t="shared" si="34"/>
        <v>5770</v>
      </c>
      <c r="Q100" s="105">
        <f t="shared" si="35"/>
        <v>5770</v>
      </c>
      <c r="R100" s="160">
        <f t="shared" si="36"/>
        <v>5770</v>
      </c>
      <c r="S100" s="55"/>
      <c r="T100" s="55"/>
      <c r="U100" s="55"/>
      <c r="V100" s="55"/>
      <c r="W100" s="55"/>
      <c r="X100" s="55"/>
      <c r="Y100" s="55"/>
      <c r="Z100" s="55"/>
      <c r="AA100" s="55"/>
      <c r="AB100" s="55"/>
      <c r="AC100" s="55"/>
      <c r="AD100" s="55"/>
      <c r="AE100" s="55"/>
      <c r="AF100" s="55"/>
      <c r="AG100" s="55"/>
      <c r="AH100" s="55"/>
      <c r="AI100" s="55"/>
      <c r="AJ100" s="55"/>
      <c r="AK100" s="55"/>
      <c r="AL100" s="55"/>
      <c r="AM100" s="55"/>
      <c r="AN100" s="55"/>
      <c r="AO100" s="55"/>
      <c r="AP100" s="55"/>
      <c r="AQ100" s="55"/>
      <c r="AR100" s="55"/>
      <c r="AS100" s="55"/>
      <c r="AT100" s="55"/>
      <c r="AU100" s="55"/>
      <c r="AV100" s="55"/>
      <c r="AW100" s="55"/>
      <c r="AX100" s="55"/>
      <c r="AY100" s="55"/>
    </row>
    <row r="101" spans="1:51" ht="37.5" customHeight="1">
      <c r="B101" s="241">
        <f t="shared" si="20"/>
        <v>0</v>
      </c>
      <c r="C101" s="242" t="str">
        <f t="shared" si="21"/>
        <v>PP Containers (Export)</v>
      </c>
      <c r="D101" s="100">
        <f t="shared" si="22"/>
        <v>682</v>
      </c>
      <c r="E101" s="105">
        <f t="shared" si="23"/>
        <v>717</v>
      </c>
      <c r="F101" s="105">
        <f t="shared" si="24"/>
        <v>752</v>
      </c>
      <c r="G101" s="105">
        <f t="shared" si="25"/>
        <v>787</v>
      </c>
      <c r="H101" s="105">
        <f t="shared" si="26"/>
        <v>804</v>
      </c>
      <c r="I101" s="105">
        <f t="shared" si="27"/>
        <v>804</v>
      </c>
      <c r="J101" s="105">
        <f t="shared" si="28"/>
        <v>804</v>
      </c>
      <c r="K101" s="105">
        <f t="shared" si="29"/>
        <v>804</v>
      </c>
      <c r="L101" s="105">
        <f t="shared" si="30"/>
        <v>804</v>
      </c>
      <c r="M101" s="105">
        <f t="shared" si="31"/>
        <v>804</v>
      </c>
      <c r="N101" s="105">
        <f t="shared" si="32"/>
        <v>804</v>
      </c>
      <c r="O101" s="105">
        <f t="shared" si="33"/>
        <v>804</v>
      </c>
      <c r="P101" s="105">
        <f t="shared" si="34"/>
        <v>804</v>
      </c>
      <c r="Q101" s="105">
        <f t="shared" si="35"/>
        <v>804</v>
      </c>
      <c r="R101" s="160">
        <f t="shared" si="36"/>
        <v>804</v>
      </c>
      <c r="S101" s="55"/>
      <c r="T101" s="55"/>
      <c r="U101" s="55"/>
      <c r="V101" s="55"/>
      <c r="W101" s="55"/>
      <c r="X101" s="55"/>
      <c r="Y101" s="55"/>
      <c r="Z101" s="55"/>
      <c r="AA101" s="55"/>
      <c r="AB101" s="55"/>
      <c r="AC101" s="55"/>
      <c r="AD101" s="55"/>
      <c r="AE101" s="55"/>
      <c r="AF101" s="55"/>
      <c r="AG101" s="55"/>
      <c r="AH101" s="55"/>
      <c r="AI101" s="55"/>
      <c r="AJ101" s="55"/>
      <c r="AK101" s="55"/>
      <c r="AL101" s="55"/>
      <c r="AM101" s="55"/>
      <c r="AN101" s="55"/>
      <c r="AO101" s="55"/>
      <c r="AP101" s="55"/>
      <c r="AQ101" s="55"/>
      <c r="AR101" s="55"/>
      <c r="AS101" s="55"/>
      <c r="AT101" s="55"/>
      <c r="AU101" s="55"/>
      <c r="AV101" s="55"/>
      <c r="AW101" s="55"/>
      <c r="AX101" s="55"/>
      <c r="AY101" s="55"/>
    </row>
    <row r="102" spans="1:51" ht="37.5" customHeight="1">
      <c r="B102" s="241">
        <f t="shared" si="20"/>
        <v>0</v>
      </c>
      <c r="C102" s="242" t="str">
        <f t="shared" si="21"/>
        <v>PET Containers Local</v>
      </c>
      <c r="D102" s="100">
        <f t="shared" si="22"/>
        <v>1040</v>
      </c>
      <c r="E102" s="105">
        <f t="shared" si="23"/>
        <v>1094</v>
      </c>
      <c r="F102" s="105">
        <f t="shared" si="24"/>
        <v>1204</v>
      </c>
      <c r="G102" s="105">
        <f t="shared" si="25"/>
        <v>1277</v>
      </c>
      <c r="H102" s="105">
        <f t="shared" si="26"/>
        <v>1332</v>
      </c>
      <c r="I102" s="105">
        <f t="shared" si="27"/>
        <v>1332</v>
      </c>
      <c r="J102" s="105">
        <f t="shared" si="28"/>
        <v>1332</v>
      </c>
      <c r="K102" s="105">
        <f t="shared" si="29"/>
        <v>1332</v>
      </c>
      <c r="L102" s="105">
        <f t="shared" si="30"/>
        <v>1332</v>
      </c>
      <c r="M102" s="105">
        <f t="shared" si="31"/>
        <v>1332</v>
      </c>
      <c r="N102" s="105">
        <f t="shared" si="32"/>
        <v>1332</v>
      </c>
      <c r="O102" s="105">
        <f t="shared" si="33"/>
        <v>1332</v>
      </c>
      <c r="P102" s="105">
        <f t="shared" si="34"/>
        <v>1332</v>
      </c>
      <c r="Q102" s="105">
        <f t="shared" si="35"/>
        <v>1332</v>
      </c>
      <c r="R102" s="160">
        <f t="shared" si="36"/>
        <v>1332</v>
      </c>
      <c r="S102" s="55"/>
      <c r="T102" s="55"/>
      <c r="U102" s="55"/>
      <c r="V102" s="55"/>
      <c r="W102" s="55"/>
      <c r="X102" s="55"/>
      <c r="Y102" s="55"/>
      <c r="Z102" s="55"/>
      <c r="AA102" s="55"/>
      <c r="AB102" s="55"/>
      <c r="AC102" s="55"/>
      <c r="AD102" s="55"/>
      <c r="AE102" s="55"/>
      <c r="AF102" s="55"/>
      <c r="AG102" s="55"/>
      <c r="AH102" s="55"/>
      <c r="AI102" s="55"/>
      <c r="AJ102" s="55"/>
      <c r="AK102" s="55"/>
      <c r="AL102" s="55"/>
      <c r="AM102" s="55"/>
      <c r="AN102" s="55"/>
      <c r="AO102" s="55"/>
      <c r="AP102" s="55"/>
      <c r="AQ102" s="55"/>
      <c r="AR102" s="55"/>
      <c r="AS102" s="55"/>
      <c r="AT102" s="55"/>
      <c r="AU102" s="55"/>
      <c r="AV102" s="55"/>
      <c r="AW102" s="55"/>
      <c r="AX102" s="55"/>
      <c r="AY102" s="55"/>
    </row>
    <row r="103" spans="1:51" ht="37.5" customHeight="1">
      <c r="B103" s="241">
        <f t="shared" si="20"/>
        <v>0</v>
      </c>
      <c r="C103" s="242" t="str">
        <f t="shared" si="21"/>
        <v>PET Containers (Export)</v>
      </c>
      <c r="D103" s="100">
        <f t="shared" si="22"/>
        <v>164</v>
      </c>
      <c r="E103" s="105">
        <f t="shared" si="23"/>
        <v>182</v>
      </c>
      <c r="F103" s="105">
        <f t="shared" si="24"/>
        <v>201</v>
      </c>
      <c r="G103" s="105">
        <f t="shared" si="25"/>
        <v>219</v>
      </c>
      <c r="H103" s="105">
        <f t="shared" si="26"/>
        <v>255</v>
      </c>
      <c r="I103" s="105">
        <f t="shared" si="27"/>
        <v>255</v>
      </c>
      <c r="J103" s="105">
        <f t="shared" si="28"/>
        <v>255</v>
      </c>
      <c r="K103" s="105">
        <f t="shared" si="29"/>
        <v>255</v>
      </c>
      <c r="L103" s="105">
        <f t="shared" si="30"/>
        <v>255</v>
      </c>
      <c r="M103" s="105">
        <f t="shared" si="31"/>
        <v>255</v>
      </c>
      <c r="N103" s="105">
        <f t="shared" si="32"/>
        <v>255</v>
      </c>
      <c r="O103" s="105">
        <f t="shared" si="33"/>
        <v>255</v>
      </c>
      <c r="P103" s="105">
        <f t="shared" si="34"/>
        <v>255</v>
      </c>
      <c r="Q103" s="105">
        <f t="shared" si="35"/>
        <v>255</v>
      </c>
      <c r="R103" s="160">
        <f t="shared" si="36"/>
        <v>255</v>
      </c>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row>
    <row r="104" spans="1:51" ht="37.5" customHeight="1">
      <c r="B104" s="241">
        <f t="shared" si="20"/>
        <v>0</v>
      </c>
      <c r="C104" s="242" t="str">
        <f t="shared" si="21"/>
        <v/>
      </c>
      <c r="D104" s="100">
        <f t="shared" si="22"/>
        <v>0</v>
      </c>
      <c r="E104" s="105">
        <f t="shared" si="23"/>
        <v>0</v>
      </c>
      <c r="F104" s="105">
        <f t="shared" si="24"/>
        <v>0</v>
      </c>
      <c r="G104" s="105">
        <f t="shared" si="25"/>
        <v>0</v>
      </c>
      <c r="H104" s="105">
        <f t="shared" si="26"/>
        <v>0</v>
      </c>
      <c r="I104" s="105">
        <f t="shared" si="27"/>
        <v>0</v>
      </c>
      <c r="J104" s="105">
        <f t="shared" si="28"/>
        <v>0</v>
      </c>
      <c r="K104" s="105">
        <f t="shared" si="29"/>
        <v>0</v>
      </c>
      <c r="L104" s="105">
        <f t="shared" si="30"/>
        <v>0</v>
      </c>
      <c r="M104" s="105">
        <f t="shared" si="31"/>
        <v>0</v>
      </c>
      <c r="N104" s="105">
        <f t="shared" si="32"/>
        <v>0</v>
      </c>
      <c r="O104" s="105">
        <f t="shared" si="33"/>
        <v>0</v>
      </c>
      <c r="P104" s="105">
        <f t="shared" si="34"/>
        <v>0</v>
      </c>
      <c r="Q104" s="105">
        <f t="shared" si="35"/>
        <v>0</v>
      </c>
      <c r="R104" s="160">
        <f t="shared" si="36"/>
        <v>0</v>
      </c>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row>
    <row r="105" spans="1:51" ht="37.5" customHeight="1">
      <c r="B105" s="241">
        <f t="shared" si="20"/>
        <v>0</v>
      </c>
      <c r="C105" s="242" t="str">
        <f t="shared" si="21"/>
        <v/>
      </c>
      <c r="D105" s="100">
        <f t="shared" si="22"/>
        <v>0</v>
      </c>
      <c r="E105" s="105">
        <f t="shared" si="23"/>
        <v>0</v>
      </c>
      <c r="F105" s="105">
        <f t="shared" si="24"/>
        <v>0</v>
      </c>
      <c r="G105" s="105">
        <f t="shared" si="25"/>
        <v>0</v>
      </c>
      <c r="H105" s="105">
        <f t="shared" si="26"/>
        <v>0</v>
      </c>
      <c r="I105" s="105">
        <f t="shared" si="27"/>
        <v>0</v>
      </c>
      <c r="J105" s="105">
        <f t="shared" si="28"/>
        <v>0</v>
      </c>
      <c r="K105" s="105">
        <f t="shared" si="29"/>
        <v>0</v>
      </c>
      <c r="L105" s="105">
        <f t="shared" si="30"/>
        <v>0</v>
      </c>
      <c r="M105" s="105">
        <f t="shared" si="31"/>
        <v>0</v>
      </c>
      <c r="N105" s="105">
        <f t="shared" si="32"/>
        <v>0</v>
      </c>
      <c r="O105" s="105">
        <f t="shared" si="33"/>
        <v>0</v>
      </c>
      <c r="P105" s="105">
        <f t="shared" si="34"/>
        <v>0</v>
      </c>
      <c r="Q105" s="105">
        <f t="shared" si="35"/>
        <v>0</v>
      </c>
      <c r="R105" s="160">
        <f t="shared" si="36"/>
        <v>0</v>
      </c>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row>
    <row r="106" spans="1:51" ht="37.5" customHeight="1">
      <c r="B106" s="241">
        <f t="shared" si="20"/>
        <v>0</v>
      </c>
      <c r="C106" s="242" t="str">
        <f t="shared" si="21"/>
        <v/>
      </c>
      <c r="D106" s="100">
        <f t="shared" si="22"/>
        <v>0</v>
      </c>
      <c r="E106" s="105">
        <f t="shared" si="23"/>
        <v>0</v>
      </c>
      <c r="F106" s="105">
        <f t="shared" si="24"/>
        <v>0</v>
      </c>
      <c r="G106" s="105">
        <f t="shared" si="25"/>
        <v>0</v>
      </c>
      <c r="H106" s="105">
        <f t="shared" si="26"/>
        <v>0</v>
      </c>
      <c r="I106" s="105">
        <f t="shared" si="27"/>
        <v>0</v>
      </c>
      <c r="J106" s="105">
        <f t="shared" si="28"/>
        <v>0</v>
      </c>
      <c r="K106" s="105">
        <f t="shared" si="29"/>
        <v>0</v>
      </c>
      <c r="L106" s="105">
        <f t="shared" si="30"/>
        <v>0</v>
      </c>
      <c r="M106" s="105">
        <f t="shared" si="31"/>
        <v>0</v>
      </c>
      <c r="N106" s="105">
        <f t="shared" si="32"/>
        <v>0</v>
      </c>
      <c r="O106" s="105">
        <f t="shared" si="33"/>
        <v>0</v>
      </c>
      <c r="P106" s="105">
        <f t="shared" si="34"/>
        <v>0</v>
      </c>
      <c r="Q106" s="105">
        <f t="shared" si="35"/>
        <v>0</v>
      </c>
      <c r="R106" s="160">
        <f t="shared" si="36"/>
        <v>0</v>
      </c>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row>
    <row r="107" spans="1:51" ht="37.5" customHeight="1">
      <c r="B107" s="241">
        <f t="shared" si="20"/>
        <v>0</v>
      </c>
      <c r="C107" s="242" t="str">
        <f t="shared" si="21"/>
        <v/>
      </c>
      <c r="D107" s="100">
        <f t="shared" si="22"/>
        <v>0</v>
      </c>
      <c r="E107" s="105">
        <f t="shared" si="23"/>
        <v>0</v>
      </c>
      <c r="F107" s="105">
        <f t="shared" si="24"/>
        <v>0</v>
      </c>
      <c r="G107" s="105">
        <f t="shared" si="25"/>
        <v>0</v>
      </c>
      <c r="H107" s="105">
        <f t="shared" si="26"/>
        <v>0</v>
      </c>
      <c r="I107" s="105">
        <f t="shared" si="27"/>
        <v>0</v>
      </c>
      <c r="J107" s="105">
        <f t="shared" si="28"/>
        <v>0</v>
      </c>
      <c r="K107" s="105">
        <f t="shared" si="29"/>
        <v>0</v>
      </c>
      <c r="L107" s="105">
        <f t="shared" si="30"/>
        <v>0</v>
      </c>
      <c r="M107" s="105">
        <f t="shared" si="31"/>
        <v>0</v>
      </c>
      <c r="N107" s="105">
        <f t="shared" si="32"/>
        <v>0</v>
      </c>
      <c r="O107" s="105">
        <f t="shared" si="33"/>
        <v>0</v>
      </c>
      <c r="P107" s="105">
        <f t="shared" si="34"/>
        <v>0</v>
      </c>
      <c r="Q107" s="105">
        <f t="shared" si="35"/>
        <v>0</v>
      </c>
      <c r="R107" s="160">
        <f t="shared" si="36"/>
        <v>0</v>
      </c>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row>
    <row r="108" spans="1:51" ht="37.5" customHeight="1">
      <c r="B108" s="241">
        <f t="shared" si="20"/>
        <v>0</v>
      </c>
      <c r="C108" s="242" t="str">
        <f t="shared" si="21"/>
        <v/>
      </c>
      <c r="D108" s="100">
        <f t="shared" si="22"/>
        <v>0</v>
      </c>
      <c r="E108" s="105">
        <f t="shared" si="23"/>
        <v>0</v>
      </c>
      <c r="F108" s="105">
        <f t="shared" si="24"/>
        <v>0</v>
      </c>
      <c r="G108" s="105">
        <f t="shared" si="25"/>
        <v>0</v>
      </c>
      <c r="H108" s="105">
        <f t="shared" si="26"/>
        <v>0</v>
      </c>
      <c r="I108" s="105">
        <f t="shared" si="27"/>
        <v>0</v>
      </c>
      <c r="J108" s="105">
        <f t="shared" si="28"/>
        <v>0</v>
      </c>
      <c r="K108" s="105">
        <f t="shared" si="29"/>
        <v>0</v>
      </c>
      <c r="L108" s="105">
        <f t="shared" si="30"/>
        <v>0</v>
      </c>
      <c r="M108" s="105">
        <f t="shared" si="31"/>
        <v>0</v>
      </c>
      <c r="N108" s="105">
        <f t="shared" si="32"/>
        <v>0</v>
      </c>
      <c r="O108" s="105">
        <f t="shared" si="33"/>
        <v>0</v>
      </c>
      <c r="P108" s="105">
        <f t="shared" si="34"/>
        <v>0</v>
      </c>
      <c r="Q108" s="105">
        <f t="shared" si="35"/>
        <v>0</v>
      </c>
      <c r="R108" s="160">
        <f t="shared" si="36"/>
        <v>0</v>
      </c>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row>
    <row r="109" spans="1:51" ht="37.5" customHeight="1">
      <c r="B109" s="241">
        <f t="shared" si="20"/>
        <v>0</v>
      </c>
      <c r="C109" s="242" t="str">
        <f t="shared" si="21"/>
        <v/>
      </c>
      <c r="D109" s="100">
        <f t="shared" si="22"/>
        <v>0</v>
      </c>
      <c r="E109" s="105">
        <f t="shared" si="23"/>
        <v>0</v>
      </c>
      <c r="F109" s="105">
        <f t="shared" si="24"/>
        <v>0</v>
      </c>
      <c r="G109" s="105">
        <f t="shared" si="25"/>
        <v>0</v>
      </c>
      <c r="H109" s="105">
        <f t="shared" si="26"/>
        <v>0</v>
      </c>
      <c r="I109" s="105">
        <f t="shared" si="27"/>
        <v>0</v>
      </c>
      <c r="J109" s="105">
        <f t="shared" si="28"/>
        <v>0</v>
      </c>
      <c r="K109" s="105">
        <f t="shared" si="29"/>
        <v>0</v>
      </c>
      <c r="L109" s="105">
        <f t="shared" si="30"/>
        <v>0</v>
      </c>
      <c r="M109" s="105">
        <f t="shared" si="31"/>
        <v>0</v>
      </c>
      <c r="N109" s="105">
        <f t="shared" si="32"/>
        <v>0</v>
      </c>
      <c r="O109" s="105">
        <f t="shared" si="33"/>
        <v>0</v>
      </c>
      <c r="P109" s="105">
        <f t="shared" si="34"/>
        <v>0</v>
      </c>
      <c r="Q109" s="105">
        <f t="shared" si="35"/>
        <v>0</v>
      </c>
      <c r="R109" s="160">
        <f t="shared" si="36"/>
        <v>0</v>
      </c>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row>
    <row r="110" spans="1:51" ht="37.5" customHeight="1">
      <c r="B110" s="241">
        <f t="shared" si="20"/>
        <v>0</v>
      </c>
      <c r="C110" s="242" t="str">
        <f t="shared" si="21"/>
        <v/>
      </c>
      <c r="D110" s="100">
        <f t="shared" si="22"/>
        <v>0</v>
      </c>
      <c r="E110" s="105">
        <f t="shared" si="23"/>
        <v>0</v>
      </c>
      <c r="F110" s="105">
        <f t="shared" si="24"/>
        <v>0</v>
      </c>
      <c r="G110" s="105">
        <f t="shared" si="25"/>
        <v>0</v>
      </c>
      <c r="H110" s="105">
        <f t="shared" si="26"/>
        <v>0</v>
      </c>
      <c r="I110" s="105">
        <f t="shared" si="27"/>
        <v>0</v>
      </c>
      <c r="J110" s="105">
        <f t="shared" si="28"/>
        <v>0</v>
      </c>
      <c r="K110" s="105">
        <f t="shared" si="29"/>
        <v>0</v>
      </c>
      <c r="L110" s="105">
        <f t="shared" si="30"/>
        <v>0</v>
      </c>
      <c r="M110" s="105">
        <f t="shared" si="31"/>
        <v>0</v>
      </c>
      <c r="N110" s="105">
        <f t="shared" si="32"/>
        <v>0</v>
      </c>
      <c r="O110" s="105">
        <f t="shared" si="33"/>
        <v>0</v>
      </c>
      <c r="P110" s="105">
        <f t="shared" si="34"/>
        <v>0</v>
      </c>
      <c r="Q110" s="105">
        <f t="shared" si="35"/>
        <v>0</v>
      </c>
      <c r="R110" s="160">
        <f t="shared" si="36"/>
        <v>0</v>
      </c>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row>
    <row r="111" spans="1:51" ht="37.5" customHeight="1">
      <c r="B111" s="241">
        <f t="shared" si="20"/>
        <v>0</v>
      </c>
      <c r="C111" s="242" t="str">
        <f t="shared" si="21"/>
        <v/>
      </c>
      <c r="D111" s="100">
        <f t="shared" si="22"/>
        <v>0</v>
      </c>
      <c r="E111" s="105">
        <f t="shared" si="23"/>
        <v>0</v>
      </c>
      <c r="F111" s="105">
        <f t="shared" si="24"/>
        <v>0</v>
      </c>
      <c r="G111" s="105">
        <f t="shared" si="25"/>
        <v>0</v>
      </c>
      <c r="H111" s="105">
        <f t="shared" si="26"/>
        <v>0</v>
      </c>
      <c r="I111" s="105">
        <f t="shared" si="27"/>
        <v>0</v>
      </c>
      <c r="J111" s="105">
        <f t="shared" si="28"/>
        <v>0</v>
      </c>
      <c r="K111" s="105">
        <f t="shared" si="29"/>
        <v>0</v>
      </c>
      <c r="L111" s="105">
        <f t="shared" si="30"/>
        <v>0</v>
      </c>
      <c r="M111" s="105">
        <f t="shared" si="31"/>
        <v>0</v>
      </c>
      <c r="N111" s="105">
        <f t="shared" si="32"/>
        <v>0</v>
      </c>
      <c r="O111" s="105">
        <f t="shared" si="33"/>
        <v>0</v>
      </c>
      <c r="P111" s="105">
        <f t="shared" si="34"/>
        <v>0</v>
      </c>
      <c r="Q111" s="105">
        <f t="shared" si="35"/>
        <v>0</v>
      </c>
      <c r="R111" s="160">
        <f t="shared" si="36"/>
        <v>0</v>
      </c>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row>
    <row r="112" spans="1:51" ht="37.5" customHeight="1">
      <c r="B112" s="241">
        <f t="shared" si="20"/>
        <v>0</v>
      </c>
      <c r="C112" s="242" t="str">
        <f t="shared" si="21"/>
        <v/>
      </c>
      <c r="D112" s="100">
        <f t="shared" si="22"/>
        <v>0</v>
      </c>
      <c r="E112" s="105">
        <f t="shared" si="23"/>
        <v>0</v>
      </c>
      <c r="F112" s="105">
        <f t="shared" si="24"/>
        <v>0</v>
      </c>
      <c r="G112" s="105">
        <f t="shared" si="25"/>
        <v>0</v>
      </c>
      <c r="H112" s="105">
        <f t="shared" si="26"/>
        <v>0</v>
      </c>
      <c r="I112" s="105">
        <f t="shared" si="27"/>
        <v>0</v>
      </c>
      <c r="J112" s="105">
        <f t="shared" si="28"/>
        <v>0</v>
      </c>
      <c r="K112" s="105">
        <f t="shared" si="29"/>
        <v>0</v>
      </c>
      <c r="L112" s="105">
        <f t="shared" si="30"/>
        <v>0</v>
      </c>
      <c r="M112" s="105">
        <f t="shared" si="31"/>
        <v>0</v>
      </c>
      <c r="N112" s="105">
        <f t="shared" si="32"/>
        <v>0</v>
      </c>
      <c r="O112" s="105">
        <f t="shared" si="33"/>
        <v>0</v>
      </c>
      <c r="P112" s="105">
        <f t="shared" si="34"/>
        <v>0</v>
      </c>
      <c r="Q112" s="105">
        <f t="shared" si="35"/>
        <v>0</v>
      </c>
      <c r="R112" s="160">
        <f t="shared" si="36"/>
        <v>0</v>
      </c>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row>
    <row r="113" spans="2:51" ht="37.5" customHeight="1">
      <c r="B113" s="241">
        <f t="shared" si="20"/>
        <v>0</v>
      </c>
      <c r="C113" s="242" t="str">
        <f t="shared" si="21"/>
        <v/>
      </c>
      <c r="D113" s="100">
        <f t="shared" si="22"/>
        <v>0</v>
      </c>
      <c r="E113" s="105">
        <f t="shared" si="23"/>
        <v>0</v>
      </c>
      <c r="F113" s="105">
        <f t="shared" si="24"/>
        <v>0</v>
      </c>
      <c r="G113" s="105">
        <f t="shared" si="25"/>
        <v>0</v>
      </c>
      <c r="H113" s="105">
        <f t="shared" si="26"/>
        <v>0</v>
      </c>
      <c r="I113" s="105">
        <f t="shared" si="27"/>
        <v>0</v>
      </c>
      <c r="J113" s="105">
        <f t="shared" si="28"/>
        <v>0</v>
      </c>
      <c r="K113" s="105">
        <f t="shared" si="29"/>
        <v>0</v>
      </c>
      <c r="L113" s="105">
        <f t="shared" si="30"/>
        <v>0</v>
      </c>
      <c r="M113" s="105">
        <f t="shared" si="31"/>
        <v>0</v>
      </c>
      <c r="N113" s="105">
        <f t="shared" si="32"/>
        <v>0</v>
      </c>
      <c r="O113" s="105">
        <f t="shared" si="33"/>
        <v>0</v>
      </c>
      <c r="P113" s="105">
        <f t="shared" si="34"/>
        <v>0</v>
      </c>
      <c r="Q113" s="105">
        <f t="shared" si="35"/>
        <v>0</v>
      </c>
      <c r="R113" s="160">
        <f t="shared" si="36"/>
        <v>0</v>
      </c>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row>
    <row r="114" spans="2:51" ht="37.5" customHeight="1">
      <c r="B114" s="241">
        <f t="shared" si="20"/>
        <v>0</v>
      </c>
      <c r="C114" s="242" t="str">
        <f t="shared" si="21"/>
        <v/>
      </c>
      <c r="D114" s="100">
        <f t="shared" si="22"/>
        <v>0</v>
      </c>
      <c r="E114" s="105">
        <f t="shared" si="23"/>
        <v>0</v>
      </c>
      <c r="F114" s="105">
        <f t="shared" si="24"/>
        <v>0</v>
      </c>
      <c r="G114" s="105">
        <f t="shared" si="25"/>
        <v>0</v>
      </c>
      <c r="H114" s="105">
        <f t="shared" si="26"/>
        <v>0</v>
      </c>
      <c r="I114" s="105">
        <f t="shared" si="27"/>
        <v>0</v>
      </c>
      <c r="J114" s="105">
        <f t="shared" si="28"/>
        <v>0</v>
      </c>
      <c r="K114" s="105">
        <f t="shared" si="29"/>
        <v>0</v>
      </c>
      <c r="L114" s="105">
        <f t="shared" si="30"/>
        <v>0</v>
      </c>
      <c r="M114" s="105">
        <f t="shared" si="31"/>
        <v>0</v>
      </c>
      <c r="N114" s="105">
        <f t="shared" si="32"/>
        <v>0</v>
      </c>
      <c r="O114" s="105">
        <f t="shared" si="33"/>
        <v>0</v>
      </c>
      <c r="P114" s="105">
        <f t="shared" si="34"/>
        <v>0</v>
      </c>
      <c r="Q114" s="105">
        <f t="shared" si="35"/>
        <v>0</v>
      </c>
      <c r="R114" s="160">
        <f t="shared" si="36"/>
        <v>0</v>
      </c>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row>
    <row r="115" spans="2:51" ht="37.5" customHeight="1">
      <c r="B115" s="241">
        <f t="shared" si="20"/>
        <v>0</v>
      </c>
      <c r="C115" s="242" t="str">
        <f t="shared" si="21"/>
        <v/>
      </c>
      <c r="D115" s="100">
        <f t="shared" si="22"/>
        <v>0</v>
      </c>
      <c r="E115" s="105">
        <f t="shared" si="23"/>
        <v>0</v>
      </c>
      <c r="F115" s="105">
        <f t="shared" si="24"/>
        <v>0</v>
      </c>
      <c r="G115" s="105">
        <f t="shared" si="25"/>
        <v>0</v>
      </c>
      <c r="H115" s="105">
        <f t="shared" si="26"/>
        <v>0</v>
      </c>
      <c r="I115" s="105">
        <f t="shared" si="27"/>
        <v>0</v>
      </c>
      <c r="J115" s="105">
        <f t="shared" si="28"/>
        <v>0</v>
      </c>
      <c r="K115" s="105">
        <f t="shared" si="29"/>
        <v>0</v>
      </c>
      <c r="L115" s="105">
        <f t="shared" si="30"/>
        <v>0</v>
      </c>
      <c r="M115" s="105">
        <f t="shared" si="31"/>
        <v>0</v>
      </c>
      <c r="N115" s="105">
        <f t="shared" si="32"/>
        <v>0</v>
      </c>
      <c r="O115" s="105">
        <f t="shared" si="33"/>
        <v>0</v>
      </c>
      <c r="P115" s="105">
        <f t="shared" si="34"/>
        <v>0</v>
      </c>
      <c r="Q115" s="105">
        <f t="shared" si="35"/>
        <v>0</v>
      </c>
      <c r="R115" s="160">
        <f t="shared" si="36"/>
        <v>0</v>
      </c>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row>
    <row r="116" spans="2:51" ht="37.5" customHeight="1">
      <c r="B116" s="241">
        <f t="shared" si="20"/>
        <v>0</v>
      </c>
      <c r="C116" s="242" t="str">
        <f t="shared" si="21"/>
        <v/>
      </c>
      <c r="D116" s="100">
        <f t="shared" si="22"/>
        <v>0</v>
      </c>
      <c r="E116" s="105">
        <f t="shared" si="23"/>
        <v>0</v>
      </c>
      <c r="F116" s="105">
        <f t="shared" si="24"/>
        <v>0</v>
      </c>
      <c r="G116" s="105">
        <f t="shared" si="25"/>
        <v>0</v>
      </c>
      <c r="H116" s="105">
        <f t="shared" si="26"/>
        <v>0</v>
      </c>
      <c r="I116" s="105">
        <f t="shared" si="27"/>
        <v>0</v>
      </c>
      <c r="J116" s="105">
        <f t="shared" si="28"/>
        <v>0</v>
      </c>
      <c r="K116" s="105">
        <f t="shared" si="29"/>
        <v>0</v>
      </c>
      <c r="L116" s="105">
        <f t="shared" si="30"/>
        <v>0</v>
      </c>
      <c r="M116" s="105">
        <f t="shared" si="31"/>
        <v>0</v>
      </c>
      <c r="N116" s="105">
        <f t="shared" si="32"/>
        <v>0</v>
      </c>
      <c r="O116" s="105">
        <f t="shared" si="33"/>
        <v>0</v>
      </c>
      <c r="P116" s="105">
        <f t="shared" si="34"/>
        <v>0</v>
      </c>
      <c r="Q116" s="105">
        <f t="shared" si="35"/>
        <v>0</v>
      </c>
      <c r="R116" s="160">
        <f t="shared" si="36"/>
        <v>0</v>
      </c>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row>
    <row r="117" spans="2:51" ht="37.5" customHeight="1">
      <c r="B117" s="241">
        <f t="shared" si="20"/>
        <v>0</v>
      </c>
      <c r="C117" s="242" t="str">
        <f t="shared" si="21"/>
        <v/>
      </c>
      <c r="D117" s="100">
        <f t="shared" si="22"/>
        <v>0</v>
      </c>
      <c r="E117" s="105">
        <f t="shared" si="23"/>
        <v>0</v>
      </c>
      <c r="F117" s="105">
        <f t="shared" si="24"/>
        <v>0</v>
      </c>
      <c r="G117" s="105">
        <f t="shared" si="25"/>
        <v>0</v>
      </c>
      <c r="H117" s="105">
        <f t="shared" si="26"/>
        <v>0</v>
      </c>
      <c r="I117" s="105">
        <f t="shared" si="27"/>
        <v>0</v>
      </c>
      <c r="J117" s="105">
        <f t="shared" si="28"/>
        <v>0</v>
      </c>
      <c r="K117" s="105">
        <f t="shared" si="29"/>
        <v>0</v>
      </c>
      <c r="L117" s="105">
        <f t="shared" si="30"/>
        <v>0</v>
      </c>
      <c r="M117" s="105">
        <f t="shared" si="31"/>
        <v>0</v>
      </c>
      <c r="N117" s="105">
        <f t="shared" si="32"/>
        <v>0</v>
      </c>
      <c r="O117" s="105">
        <f t="shared" si="33"/>
        <v>0</v>
      </c>
      <c r="P117" s="105">
        <f t="shared" si="34"/>
        <v>0</v>
      </c>
      <c r="Q117" s="105">
        <f t="shared" si="35"/>
        <v>0</v>
      </c>
      <c r="R117" s="160">
        <f t="shared" si="36"/>
        <v>0</v>
      </c>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row>
    <row r="118" spans="2:51" ht="37.5" customHeight="1">
      <c r="B118" s="241">
        <f t="shared" si="20"/>
        <v>0</v>
      </c>
      <c r="C118" s="242" t="str">
        <f t="shared" si="21"/>
        <v/>
      </c>
      <c r="D118" s="100">
        <f t="shared" si="22"/>
        <v>0</v>
      </c>
      <c r="E118" s="105">
        <f t="shared" si="23"/>
        <v>0</v>
      </c>
      <c r="F118" s="105">
        <f t="shared" si="24"/>
        <v>0</v>
      </c>
      <c r="G118" s="105">
        <f t="shared" si="25"/>
        <v>0</v>
      </c>
      <c r="H118" s="105">
        <f t="shared" si="26"/>
        <v>0</v>
      </c>
      <c r="I118" s="105">
        <f t="shared" si="27"/>
        <v>0</v>
      </c>
      <c r="J118" s="105">
        <f t="shared" si="28"/>
        <v>0</v>
      </c>
      <c r="K118" s="105">
        <f t="shared" si="29"/>
        <v>0</v>
      </c>
      <c r="L118" s="105">
        <f t="shared" si="30"/>
        <v>0</v>
      </c>
      <c r="M118" s="105">
        <f t="shared" si="31"/>
        <v>0</v>
      </c>
      <c r="N118" s="105">
        <f t="shared" si="32"/>
        <v>0</v>
      </c>
      <c r="O118" s="105">
        <f t="shared" si="33"/>
        <v>0</v>
      </c>
      <c r="P118" s="105">
        <f t="shared" si="34"/>
        <v>0</v>
      </c>
      <c r="Q118" s="105">
        <f t="shared" si="35"/>
        <v>0</v>
      </c>
      <c r="R118" s="160">
        <f t="shared" si="36"/>
        <v>0</v>
      </c>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row>
    <row r="119" spans="2:51" ht="37.5" customHeight="1">
      <c r="B119" s="241">
        <f t="shared" si="20"/>
        <v>0</v>
      </c>
      <c r="C119" s="242" t="str">
        <f t="shared" si="21"/>
        <v/>
      </c>
      <c r="D119" s="100">
        <f t="shared" si="22"/>
        <v>0</v>
      </c>
      <c r="E119" s="105">
        <f t="shared" si="23"/>
        <v>0</v>
      </c>
      <c r="F119" s="105">
        <f t="shared" si="24"/>
        <v>0</v>
      </c>
      <c r="G119" s="105">
        <f t="shared" si="25"/>
        <v>0</v>
      </c>
      <c r="H119" s="105">
        <f t="shared" si="26"/>
        <v>0</v>
      </c>
      <c r="I119" s="105">
        <f t="shared" si="27"/>
        <v>0</v>
      </c>
      <c r="J119" s="105">
        <f t="shared" si="28"/>
        <v>0</v>
      </c>
      <c r="K119" s="105">
        <f t="shared" si="29"/>
        <v>0</v>
      </c>
      <c r="L119" s="105">
        <f t="shared" si="30"/>
        <v>0</v>
      </c>
      <c r="M119" s="105">
        <f t="shared" si="31"/>
        <v>0</v>
      </c>
      <c r="N119" s="105">
        <f t="shared" si="32"/>
        <v>0</v>
      </c>
      <c r="O119" s="105">
        <f t="shared" si="33"/>
        <v>0</v>
      </c>
      <c r="P119" s="105">
        <f t="shared" si="34"/>
        <v>0</v>
      </c>
      <c r="Q119" s="105">
        <f t="shared" si="35"/>
        <v>0</v>
      </c>
      <c r="R119" s="160">
        <f t="shared" si="36"/>
        <v>0</v>
      </c>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c r="AS119" s="55"/>
      <c r="AT119" s="55"/>
      <c r="AU119" s="55"/>
      <c r="AV119" s="55"/>
      <c r="AW119" s="55"/>
      <c r="AX119" s="55"/>
      <c r="AY119" s="55"/>
    </row>
    <row r="120" spans="2:51" ht="37.5" customHeight="1">
      <c r="B120" s="241">
        <f t="shared" si="20"/>
        <v>0</v>
      </c>
      <c r="C120" s="242" t="str">
        <f t="shared" si="21"/>
        <v/>
      </c>
      <c r="D120" s="100">
        <f t="shared" si="22"/>
        <v>0</v>
      </c>
      <c r="E120" s="105">
        <f t="shared" si="23"/>
        <v>0</v>
      </c>
      <c r="F120" s="105">
        <f t="shared" si="24"/>
        <v>0</v>
      </c>
      <c r="G120" s="105">
        <f t="shared" si="25"/>
        <v>0</v>
      </c>
      <c r="H120" s="105">
        <f t="shared" si="26"/>
        <v>0</v>
      </c>
      <c r="I120" s="105">
        <f t="shared" si="27"/>
        <v>0</v>
      </c>
      <c r="J120" s="105">
        <f t="shared" si="28"/>
        <v>0</v>
      </c>
      <c r="K120" s="105">
        <f t="shared" si="29"/>
        <v>0</v>
      </c>
      <c r="L120" s="105">
        <f t="shared" si="30"/>
        <v>0</v>
      </c>
      <c r="M120" s="105">
        <f t="shared" si="31"/>
        <v>0</v>
      </c>
      <c r="N120" s="105">
        <f t="shared" si="32"/>
        <v>0</v>
      </c>
      <c r="O120" s="105">
        <f t="shared" si="33"/>
        <v>0</v>
      </c>
      <c r="P120" s="105">
        <f t="shared" si="34"/>
        <v>0</v>
      </c>
      <c r="Q120" s="105">
        <f t="shared" si="35"/>
        <v>0</v>
      </c>
      <c r="R120" s="160">
        <f t="shared" si="36"/>
        <v>0</v>
      </c>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row>
    <row r="121" spans="2:51" ht="37.5" customHeight="1">
      <c r="B121" s="241">
        <f t="shared" si="20"/>
        <v>0</v>
      </c>
      <c r="C121" s="242" t="str">
        <f t="shared" si="21"/>
        <v/>
      </c>
      <c r="D121" s="100">
        <f t="shared" si="22"/>
        <v>0</v>
      </c>
      <c r="E121" s="105">
        <f t="shared" si="23"/>
        <v>0</v>
      </c>
      <c r="F121" s="105">
        <f t="shared" si="24"/>
        <v>0</v>
      </c>
      <c r="G121" s="105">
        <f t="shared" si="25"/>
        <v>0</v>
      </c>
      <c r="H121" s="105">
        <f t="shared" si="26"/>
        <v>0</v>
      </c>
      <c r="I121" s="105">
        <f t="shared" si="27"/>
        <v>0</v>
      </c>
      <c r="J121" s="105">
        <f t="shared" si="28"/>
        <v>0</v>
      </c>
      <c r="K121" s="105">
        <f t="shared" si="29"/>
        <v>0</v>
      </c>
      <c r="L121" s="105">
        <f t="shared" si="30"/>
        <v>0</v>
      </c>
      <c r="M121" s="105">
        <f t="shared" si="31"/>
        <v>0</v>
      </c>
      <c r="N121" s="105">
        <f t="shared" si="32"/>
        <v>0</v>
      </c>
      <c r="O121" s="105">
        <f t="shared" si="33"/>
        <v>0</v>
      </c>
      <c r="P121" s="105">
        <f t="shared" si="34"/>
        <v>0</v>
      </c>
      <c r="Q121" s="105">
        <f t="shared" si="35"/>
        <v>0</v>
      </c>
      <c r="R121" s="160">
        <f t="shared" si="36"/>
        <v>0</v>
      </c>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row>
    <row r="122" spans="2:51" ht="37.5" customHeight="1">
      <c r="B122" s="241">
        <f t="shared" si="20"/>
        <v>0</v>
      </c>
      <c r="C122" s="242" t="str">
        <f t="shared" si="21"/>
        <v/>
      </c>
      <c r="D122" s="100">
        <f t="shared" si="22"/>
        <v>0</v>
      </c>
      <c r="E122" s="105">
        <f t="shared" si="23"/>
        <v>0</v>
      </c>
      <c r="F122" s="105">
        <f t="shared" si="24"/>
        <v>0</v>
      </c>
      <c r="G122" s="105">
        <f t="shared" si="25"/>
        <v>0</v>
      </c>
      <c r="H122" s="105">
        <f t="shared" si="26"/>
        <v>0</v>
      </c>
      <c r="I122" s="105">
        <f t="shared" si="27"/>
        <v>0</v>
      </c>
      <c r="J122" s="105">
        <f t="shared" si="28"/>
        <v>0</v>
      </c>
      <c r="K122" s="105">
        <f t="shared" si="29"/>
        <v>0</v>
      </c>
      <c r="L122" s="105">
        <f t="shared" si="30"/>
        <v>0</v>
      </c>
      <c r="M122" s="105">
        <f t="shared" si="31"/>
        <v>0</v>
      </c>
      <c r="N122" s="105">
        <f t="shared" si="32"/>
        <v>0</v>
      </c>
      <c r="O122" s="105">
        <f t="shared" si="33"/>
        <v>0</v>
      </c>
      <c r="P122" s="105">
        <f t="shared" si="34"/>
        <v>0</v>
      </c>
      <c r="Q122" s="105">
        <f t="shared" si="35"/>
        <v>0</v>
      </c>
      <c r="R122" s="160">
        <f t="shared" si="36"/>
        <v>0</v>
      </c>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row>
    <row r="123" spans="2:51" ht="37.5" customHeight="1">
      <c r="B123" s="241">
        <f t="shared" si="20"/>
        <v>0</v>
      </c>
      <c r="C123" s="242" t="str">
        <f t="shared" si="21"/>
        <v/>
      </c>
      <c r="D123" s="100">
        <f t="shared" si="22"/>
        <v>0</v>
      </c>
      <c r="E123" s="105">
        <f t="shared" si="23"/>
        <v>0</v>
      </c>
      <c r="F123" s="105">
        <f t="shared" si="24"/>
        <v>0</v>
      </c>
      <c r="G123" s="105">
        <f t="shared" si="25"/>
        <v>0</v>
      </c>
      <c r="H123" s="105">
        <f t="shared" si="26"/>
        <v>0</v>
      </c>
      <c r="I123" s="105">
        <f t="shared" si="27"/>
        <v>0</v>
      </c>
      <c r="J123" s="105">
        <f t="shared" si="28"/>
        <v>0</v>
      </c>
      <c r="K123" s="105">
        <f t="shared" si="29"/>
        <v>0</v>
      </c>
      <c r="L123" s="105">
        <f t="shared" si="30"/>
        <v>0</v>
      </c>
      <c r="M123" s="105">
        <f t="shared" si="31"/>
        <v>0</v>
      </c>
      <c r="N123" s="105">
        <f t="shared" si="32"/>
        <v>0</v>
      </c>
      <c r="O123" s="105">
        <f t="shared" si="33"/>
        <v>0</v>
      </c>
      <c r="P123" s="105">
        <f t="shared" si="34"/>
        <v>0</v>
      </c>
      <c r="Q123" s="105">
        <f t="shared" si="35"/>
        <v>0</v>
      </c>
      <c r="R123" s="160">
        <f t="shared" si="36"/>
        <v>0</v>
      </c>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row>
    <row r="124" spans="2:51" ht="37.5" customHeight="1">
      <c r="B124" s="241">
        <f t="shared" si="20"/>
        <v>0</v>
      </c>
      <c r="C124" s="242" t="str">
        <f t="shared" si="21"/>
        <v/>
      </c>
      <c r="D124" s="100">
        <f t="shared" si="22"/>
        <v>0</v>
      </c>
      <c r="E124" s="105">
        <f t="shared" si="23"/>
        <v>0</v>
      </c>
      <c r="F124" s="105">
        <f t="shared" si="24"/>
        <v>0</v>
      </c>
      <c r="G124" s="105">
        <f t="shared" si="25"/>
        <v>0</v>
      </c>
      <c r="H124" s="105">
        <f t="shared" si="26"/>
        <v>0</v>
      </c>
      <c r="I124" s="105">
        <f t="shared" si="27"/>
        <v>0</v>
      </c>
      <c r="J124" s="105">
        <f t="shared" si="28"/>
        <v>0</v>
      </c>
      <c r="K124" s="105">
        <f t="shared" si="29"/>
        <v>0</v>
      </c>
      <c r="L124" s="105">
        <f t="shared" si="30"/>
        <v>0</v>
      </c>
      <c r="M124" s="105">
        <f t="shared" si="31"/>
        <v>0</v>
      </c>
      <c r="N124" s="105">
        <f t="shared" si="32"/>
        <v>0</v>
      </c>
      <c r="O124" s="105">
        <f t="shared" si="33"/>
        <v>0</v>
      </c>
      <c r="P124" s="105">
        <f t="shared" si="34"/>
        <v>0</v>
      </c>
      <c r="Q124" s="105">
        <f t="shared" si="35"/>
        <v>0</v>
      </c>
      <c r="R124" s="160">
        <f t="shared" si="36"/>
        <v>0</v>
      </c>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c r="AS124" s="55"/>
      <c r="AT124" s="55"/>
      <c r="AU124" s="55"/>
      <c r="AV124" s="55"/>
      <c r="AW124" s="55"/>
      <c r="AX124" s="55"/>
      <c r="AY124" s="55"/>
    </row>
    <row r="125" spans="2:51" ht="37.5" customHeight="1">
      <c r="B125" s="241">
        <f t="shared" si="20"/>
        <v>0</v>
      </c>
      <c r="C125" s="242" t="str">
        <f t="shared" si="21"/>
        <v/>
      </c>
      <c r="D125" s="100">
        <f t="shared" si="22"/>
        <v>0</v>
      </c>
      <c r="E125" s="105">
        <f t="shared" si="23"/>
        <v>0</v>
      </c>
      <c r="F125" s="105">
        <f t="shared" si="24"/>
        <v>0</v>
      </c>
      <c r="G125" s="105">
        <f t="shared" si="25"/>
        <v>0</v>
      </c>
      <c r="H125" s="105">
        <f t="shared" si="26"/>
        <v>0</v>
      </c>
      <c r="I125" s="105">
        <f t="shared" si="27"/>
        <v>0</v>
      </c>
      <c r="J125" s="105">
        <f t="shared" si="28"/>
        <v>0</v>
      </c>
      <c r="K125" s="105">
        <f t="shared" si="29"/>
        <v>0</v>
      </c>
      <c r="L125" s="105">
        <f t="shared" si="30"/>
        <v>0</v>
      </c>
      <c r="M125" s="105">
        <f t="shared" si="31"/>
        <v>0</v>
      </c>
      <c r="N125" s="105">
        <f t="shared" si="32"/>
        <v>0</v>
      </c>
      <c r="O125" s="105">
        <f t="shared" si="33"/>
        <v>0</v>
      </c>
      <c r="P125" s="105">
        <f t="shared" si="34"/>
        <v>0</v>
      </c>
      <c r="Q125" s="105">
        <f t="shared" si="35"/>
        <v>0</v>
      </c>
      <c r="R125" s="160">
        <f t="shared" si="36"/>
        <v>0</v>
      </c>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row>
    <row r="126" spans="2:51" ht="37.5" customHeight="1">
      <c r="B126" s="241">
        <f t="shared" si="20"/>
        <v>0</v>
      </c>
      <c r="C126" s="242" t="str">
        <f t="shared" si="21"/>
        <v/>
      </c>
      <c r="D126" s="100">
        <f t="shared" si="22"/>
        <v>0</v>
      </c>
      <c r="E126" s="105">
        <f t="shared" si="23"/>
        <v>0</v>
      </c>
      <c r="F126" s="105">
        <f t="shared" si="24"/>
        <v>0</v>
      </c>
      <c r="G126" s="105">
        <f t="shared" si="25"/>
        <v>0</v>
      </c>
      <c r="H126" s="105">
        <f t="shared" si="26"/>
        <v>0</v>
      </c>
      <c r="I126" s="105">
        <f t="shared" si="27"/>
        <v>0</v>
      </c>
      <c r="J126" s="105">
        <f t="shared" si="28"/>
        <v>0</v>
      </c>
      <c r="K126" s="105">
        <f t="shared" si="29"/>
        <v>0</v>
      </c>
      <c r="L126" s="105">
        <f t="shared" si="30"/>
        <v>0</v>
      </c>
      <c r="M126" s="105">
        <f t="shared" si="31"/>
        <v>0</v>
      </c>
      <c r="N126" s="105">
        <f t="shared" si="32"/>
        <v>0</v>
      </c>
      <c r="O126" s="105">
        <f t="shared" si="33"/>
        <v>0</v>
      </c>
      <c r="P126" s="105">
        <f t="shared" si="34"/>
        <v>0</v>
      </c>
      <c r="Q126" s="105">
        <f t="shared" si="35"/>
        <v>0</v>
      </c>
      <c r="R126" s="160">
        <f t="shared" si="36"/>
        <v>0</v>
      </c>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row>
    <row r="127" spans="2:51" ht="37.5" customHeight="1">
      <c r="B127" s="241">
        <f t="shared" si="20"/>
        <v>0</v>
      </c>
      <c r="C127" s="242" t="str">
        <f t="shared" si="21"/>
        <v/>
      </c>
      <c r="D127" s="100">
        <f t="shared" si="22"/>
        <v>0</v>
      </c>
      <c r="E127" s="105">
        <f t="shared" si="23"/>
        <v>0</v>
      </c>
      <c r="F127" s="105">
        <f t="shared" si="24"/>
        <v>0</v>
      </c>
      <c r="G127" s="105">
        <f t="shared" si="25"/>
        <v>0</v>
      </c>
      <c r="H127" s="105">
        <f t="shared" si="26"/>
        <v>0</v>
      </c>
      <c r="I127" s="105">
        <f t="shared" si="27"/>
        <v>0</v>
      </c>
      <c r="J127" s="105">
        <f t="shared" si="28"/>
        <v>0</v>
      </c>
      <c r="K127" s="105">
        <f t="shared" si="29"/>
        <v>0</v>
      </c>
      <c r="L127" s="105">
        <f t="shared" si="30"/>
        <v>0</v>
      </c>
      <c r="M127" s="105">
        <f t="shared" si="31"/>
        <v>0</v>
      </c>
      <c r="N127" s="105">
        <f t="shared" si="32"/>
        <v>0</v>
      </c>
      <c r="O127" s="105">
        <f t="shared" si="33"/>
        <v>0</v>
      </c>
      <c r="P127" s="105">
        <f t="shared" si="34"/>
        <v>0</v>
      </c>
      <c r="Q127" s="105">
        <f t="shared" si="35"/>
        <v>0</v>
      </c>
      <c r="R127" s="160">
        <f t="shared" si="36"/>
        <v>0</v>
      </c>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row>
    <row r="128" spans="2:51" ht="37.5" customHeight="1" thickBot="1">
      <c r="B128" s="241"/>
      <c r="C128" s="240"/>
      <c r="D128" s="59"/>
      <c r="E128" s="203"/>
      <c r="F128" s="203"/>
      <c r="G128" s="203"/>
      <c r="H128" s="203"/>
      <c r="I128" s="203"/>
      <c r="J128" s="203"/>
      <c r="K128" s="203"/>
      <c r="L128" s="203"/>
      <c r="M128" s="203"/>
      <c r="N128" s="203"/>
      <c r="O128" s="203"/>
      <c r="P128" s="203"/>
      <c r="Q128" s="203"/>
      <c r="R128" s="202"/>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c r="AX128" s="55"/>
      <c r="AY128" s="55"/>
    </row>
    <row r="129" spans="1:51" ht="37.5" customHeight="1" thickTop="1" thickBot="1">
      <c r="B129" s="98"/>
      <c r="C129" s="91"/>
      <c r="D129" s="96">
        <f t="shared" ref="D129:R129" si="37">ROUND(SUM(D98:D127),0)</f>
        <v>9476</v>
      </c>
      <c r="E129" s="97">
        <f t="shared" si="37"/>
        <v>10626</v>
      </c>
      <c r="F129" s="97">
        <f t="shared" si="37"/>
        <v>12042</v>
      </c>
      <c r="G129" s="97">
        <f t="shared" si="37"/>
        <v>13715</v>
      </c>
      <c r="H129" s="97">
        <f t="shared" si="37"/>
        <v>15821</v>
      </c>
      <c r="I129" s="97">
        <f t="shared" si="37"/>
        <v>15821</v>
      </c>
      <c r="J129" s="97">
        <f t="shared" si="37"/>
        <v>15821</v>
      </c>
      <c r="K129" s="97">
        <f t="shared" si="37"/>
        <v>15821</v>
      </c>
      <c r="L129" s="97">
        <f t="shared" si="37"/>
        <v>15821</v>
      </c>
      <c r="M129" s="97">
        <f t="shared" si="37"/>
        <v>15821</v>
      </c>
      <c r="N129" s="154">
        <f t="shared" si="37"/>
        <v>15821</v>
      </c>
      <c r="O129" s="154">
        <f t="shared" si="37"/>
        <v>15821</v>
      </c>
      <c r="P129" s="154">
        <f t="shared" si="37"/>
        <v>15821</v>
      </c>
      <c r="Q129" s="154">
        <f t="shared" si="37"/>
        <v>15821</v>
      </c>
      <c r="R129" s="153">
        <f t="shared" si="37"/>
        <v>15821</v>
      </c>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row>
    <row r="130" spans="1:51" ht="37.5" customHeight="1" thickTop="1">
      <c r="B130" s="58"/>
      <c r="C130" s="58"/>
      <c r="D130" s="58"/>
      <c r="E130" s="58"/>
      <c r="F130" s="58"/>
      <c r="G130" s="58"/>
      <c r="H130" s="58"/>
      <c r="I130" s="58"/>
      <c r="J130" s="58"/>
      <c r="K130" s="58"/>
      <c r="L130" s="58"/>
      <c r="M130" s="58"/>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row>
    <row r="131" spans="1:51" ht="21" thickBot="1">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row>
    <row r="132" spans="1:51" ht="26.25" customHeight="1" thickTop="1" thickBot="1">
      <c r="O132" s="152" t="s">
        <v>97</v>
      </c>
      <c r="P132" s="151"/>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c r="AX132" s="55"/>
      <c r="AY132" s="55"/>
    </row>
    <row r="133" spans="1:51" ht="21.75" customHeight="1" thickTop="1">
      <c r="E133" s="54" t="s">
        <v>70</v>
      </c>
      <c r="F133" s="54" t="s">
        <v>70</v>
      </c>
      <c r="G133" s="54" t="s">
        <v>70</v>
      </c>
      <c r="H133" s="54" t="s">
        <v>70</v>
      </c>
      <c r="I133" s="54" t="s">
        <v>70</v>
      </c>
      <c r="U133" s="55"/>
      <c r="V133" s="55"/>
      <c r="W133" s="55"/>
      <c r="X133" s="55"/>
      <c r="Y133" s="55"/>
      <c r="Z133" s="55"/>
      <c r="AA133" s="55"/>
      <c r="AB133" s="55"/>
      <c r="AC133" s="55"/>
      <c r="AD133" s="55"/>
      <c r="AE133" s="55"/>
      <c r="AF133" s="55">
        <v>1</v>
      </c>
      <c r="AG133" s="55" t="s">
        <v>98</v>
      </c>
      <c r="AH133" s="55"/>
      <c r="AI133" s="55"/>
      <c r="AJ133" s="55"/>
      <c r="AK133" s="55"/>
      <c r="AL133" s="55"/>
      <c r="AM133" s="55"/>
      <c r="AN133" s="55"/>
      <c r="AO133" s="55"/>
      <c r="AP133" s="55"/>
      <c r="AQ133" s="55"/>
      <c r="AR133" s="55"/>
      <c r="AS133" s="55"/>
      <c r="AT133" s="55"/>
      <c r="AU133" s="55"/>
      <c r="AV133" s="55"/>
      <c r="AW133" s="55"/>
      <c r="AX133" s="55"/>
      <c r="AY133" s="55"/>
    </row>
    <row r="134" spans="1:51" ht="28.5" customHeight="1">
      <c r="A134" s="57">
        <v>4</v>
      </c>
      <c r="B134" s="54" t="s">
        <v>99</v>
      </c>
      <c r="D134" s="57"/>
      <c r="E134" s="57"/>
      <c r="F134" s="57"/>
      <c r="G134" s="57"/>
      <c r="H134" s="57"/>
      <c r="I134" s="57"/>
      <c r="J134" s="57"/>
      <c r="K134" s="57"/>
      <c r="L134" s="57"/>
      <c r="M134" s="57"/>
      <c r="N134" s="57"/>
      <c r="O134" s="57"/>
      <c r="R134" s="57"/>
      <c r="S134" s="57"/>
      <c r="T134" s="57"/>
      <c r="U134" s="56"/>
      <c r="V134" s="56"/>
      <c r="W134" s="56"/>
      <c r="X134" s="56"/>
      <c r="Y134" s="56"/>
      <c r="Z134" s="56"/>
      <c r="AA134" s="56"/>
      <c r="AB134" s="56"/>
      <c r="AC134" s="56"/>
      <c r="AD134" s="56"/>
      <c r="AE134" s="56"/>
      <c r="AF134" s="56" t="s">
        <v>100</v>
      </c>
      <c r="AG134" s="56"/>
      <c r="AH134" s="56"/>
      <c r="AI134" s="56"/>
      <c r="AJ134" s="56"/>
      <c r="AK134" s="56"/>
      <c r="AL134" s="56"/>
      <c r="AM134" s="56"/>
      <c r="AN134" s="56"/>
      <c r="AO134" s="56"/>
      <c r="AP134" s="56"/>
      <c r="AQ134" s="56"/>
      <c r="AR134" s="55"/>
      <c r="AS134" s="55"/>
      <c r="AT134" s="55"/>
      <c r="AU134" s="55"/>
      <c r="AV134" s="55"/>
      <c r="AW134" s="55"/>
      <c r="AX134" s="55"/>
      <c r="AY134" s="55"/>
    </row>
    <row r="135" spans="1:51" ht="28.5" customHeight="1">
      <c r="A135" s="57" t="s">
        <v>70</v>
      </c>
      <c r="B135" s="54" t="s">
        <v>101</v>
      </c>
      <c r="D135" s="57"/>
      <c r="E135" s="57"/>
      <c r="F135" s="57"/>
      <c r="G135" s="57"/>
      <c r="H135" s="57"/>
      <c r="I135" s="57"/>
      <c r="J135" s="57" t="s">
        <v>70</v>
      </c>
      <c r="K135" s="57"/>
      <c r="L135" s="57"/>
      <c r="M135" s="57"/>
      <c r="N135" s="57"/>
      <c r="O135" s="57"/>
      <c r="P135" s="57"/>
      <c r="Q135" s="57"/>
      <c r="R135" s="57"/>
      <c r="S135" s="57"/>
      <c r="T135" s="57"/>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5"/>
      <c r="AS135" s="55"/>
      <c r="AT135" s="55"/>
      <c r="AU135" s="55"/>
      <c r="AV135" s="55"/>
      <c r="AW135" s="55"/>
      <c r="AX135" s="55"/>
      <c r="AY135" s="55"/>
    </row>
    <row r="136" spans="1:51" ht="15" customHeight="1">
      <c r="A136" s="57"/>
      <c r="D136" s="57"/>
      <c r="E136" s="57"/>
      <c r="F136" s="57"/>
      <c r="G136" s="57"/>
      <c r="H136" s="57"/>
      <c r="I136" s="57"/>
      <c r="J136" s="57"/>
      <c r="K136" s="57"/>
      <c r="L136" s="57"/>
      <c r="M136" s="57"/>
      <c r="N136" s="57"/>
      <c r="O136" s="57"/>
      <c r="P136" s="57"/>
      <c r="Q136" s="57"/>
      <c r="R136" s="57"/>
      <c r="S136" s="57"/>
      <c r="T136" s="57"/>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5"/>
      <c r="AS136" s="55"/>
      <c r="AT136" s="55"/>
      <c r="AU136" s="55"/>
      <c r="AV136" s="55"/>
      <c r="AW136" s="55"/>
      <c r="AX136" s="55"/>
      <c r="AY136" s="55"/>
    </row>
    <row r="137" spans="1:51" ht="15" customHeight="1">
      <c r="A137" s="57"/>
      <c r="B137" s="57"/>
      <c r="C137" s="57"/>
      <c r="D137" s="57"/>
      <c r="E137" s="57"/>
      <c r="F137" s="57"/>
      <c r="G137" s="57"/>
      <c r="H137" s="57"/>
      <c r="I137" s="57"/>
      <c r="J137" s="57" t="s">
        <v>70</v>
      </c>
      <c r="K137" s="57" t="s">
        <v>70</v>
      </c>
      <c r="L137" s="57"/>
      <c r="M137" s="57"/>
      <c r="N137" s="57"/>
      <c r="O137" s="57"/>
      <c r="P137" s="57"/>
      <c r="Q137" s="57"/>
      <c r="R137" s="57"/>
      <c r="S137" s="57"/>
      <c r="T137" s="57"/>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5"/>
      <c r="AS137" s="55"/>
      <c r="AT137" s="55"/>
      <c r="AU137" s="55"/>
      <c r="AV137" s="55"/>
      <c r="AW137" s="55"/>
      <c r="AX137" s="55"/>
      <c r="AY137" s="55"/>
    </row>
    <row r="138" spans="1:51" ht="15" customHeight="1" thickBot="1">
      <c r="A138" s="57"/>
      <c r="B138" s="57"/>
      <c r="C138" s="57"/>
      <c r="D138" s="57"/>
      <c r="E138" s="57"/>
      <c r="F138" s="57"/>
      <c r="G138" s="57"/>
      <c r="H138" s="57"/>
      <c r="I138" s="57"/>
      <c r="J138" s="57"/>
      <c r="K138" s="57"/>
      <c r="L138" s="57"/>
      <c r="M138" s="57"/>
      <c r="N138" s="57"/>
      <c r="O138" s="57"/>
      <c r="P138" s="57"/>
      <c r="Q138" s="57"/>
      <c r="R138" s="57"/>
      <c r="S138" s="57"/>
      <c r="U138" s="55"/>
      <c r="V138" s="55"/>
      <c r="W138" s="55"/>
      <c r="X138" s="55"/>
      <c r="Y138" s="55"/>
      <c r="Z138" s="55"/>
      <c r="AA138" s="55"/>
      <c r="AB138" s="55"/>
      <c r="AC138" s="55"/>
      <c r="AD138" s="55"/>
      <c r="AE138" s="55"/>
      <c r="AF138" s="56"/>
      <c r="AG138" s="56"/>
      <c r="AH138" s="56"/>
      <c r="AI138" s="56"/>
      <c r="AJ138" s="56"/>
      <c r="AK138" s="56"/>
      <c r="AL138" s="56"/>
      <c r="AM138" s="56"/>
      <c r="AN138" s="56"/>
      <c r="AO138" s="56"/>
      <c r="AP138" s="56"/>
      <c r="AQ138" s="56"/>
      <c r="AR138" s="56"/>
      <c r="AS138" s="56"/>
      <c r="AT138" s="56"/>
      <c r="AU138" s="56"/>
      <c r="AV138" s="56"/>
      <c r="AW138" s="55"/>
      <c r="AX138" s="55"/>
      <c r="AY138" s="55"/>
    </row>
    <row r="139" spans="1:51" ht="35.25" customHeight="1" thickTop="1">
      <c r="A139" s="57"/>
      <c r="B139" s="57"/>
      <c r="C139" s="196" t="s">
        <v>102</v>
      </c>
      <c r="D139" s="236" t="s">
        <v>103</v>
      </c>
      <c r="E139" s="235" t="s">
        <v>104</v>
      </c>
      <c r="F139" s="235" t="str">
        <f>"  "&amp;'Financial Stat.'!C318</f>
        <v xml:space="preserve">    2026</v>
      </c>
      <c r="G139" s="235" t="str">
        <f>"     "&amp;'Financial Stat.'!D318</f>
        <v xml:space="preserve">       2027</v>
      </c>
      <c r="H139" s="235" t="str">
        <f>"     "&amp;'Financial Stat.'!E318</f>
        <v xml:space="preserve">       2028</v>
      </c>
      <c r="I139" s="235" t="str">
        <f>"     "&amp;'Financial Stat.'!F318</f>
        <v xml:space="preserve">       2029</v>
      </c>
      <c r="J139" s="235" t="str">
        <f>"     "&amp;'Financial Stat.'!G318</f>
        <v xml:space="preserve">       2030</v>
      </c>
      <c r="K139" s="235" t="str">
        <f>"     "&amp;'Financial Stat.'!H318</f>
        <v xml:space="preserve">       2031</v>
      </c>
      <c r="L139" s="235" t="str">
        <f>"     "&amp;'Financial Stat.'!I318</f>
        <v xml:space="preserve">       2032</v>
      </c>
      <c r="M139" s="235" t="str">
        <f>"     "&amp;'Financial Stat.'!J318</f>
        <v xml:space="preserve">       2033</v>
      </c>
      <c r="N139" s="235" t="str">
        <f>"     "&amp;'Financial Stat.'!K318</f>
        <v xml:space="preserve">       2034</v>
      </c>
      <c r="O139" s="235" t="str">
        <f>"     "&amp;'Financial Stat.'!L318</f>
        <v xml:space="preserve">       2035</v>
      </c>
      <c r="P139" s="235" t="str">
        <f>"     "&amp;'Financial Stat.'!M318</f>
        <v xml:space="preserve">       2036</v>
      </c>
      <c r="Q139" s="235" t="str">
        <f>"     "&amp;'Financial Stat.'!N318</f>
        <v xml:space="preserve">       2037</v>
      </c>
      <c r="R139" s="235" t="str">
        <f>"     "&amp;'Financial Stat.'!O318</f>
        <v xml:space="preserve">       2038</v>
      </c>
      <c r="S139" s="235" t="str">
        <f>"     "&amp;'Financial Stat.'!P318</f>
        <v xml:space="preserve">       2039</v>
      </c>
      <c r="T139" s="234" t="str">
        <f>"     "&amp;'Financial Stat.'!Q318</f>
        <v xml:space="preserve">       2040</v>
      </c>
      <c r="U139" s="57"/>
      <c r="V139" s="57"/>
      <c r="W139" s="57"/>
      <c r="X139" s="57"/>
      <c r="Y139" s="57"/>
      <c r="Z139" s="57"/>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c r="AX139" s="55"/>
      <c r="AY139" s="55"/>
    </row>
    <row r="140" spans="1:51" ht="35.25" customHeight="1" thickBot="1">
      <c r="A140" s="57"/>
      <c r="B140" s="57"/>
      <c r="C140" s="194" t="s">
        <v>105</v>
      </c>
      <c r="D140" s="233" t="s">
        <v>106</v>
      </c>
      <c r="E140" s="232" t="s">
        <v>107</v>
      </c>
      <c r="F140" s="232" t="s">
        <v>108</v>
      </c>
      <c r="G140" s="232" t="s">
        <v>108</v>
      </c>
      <c r="H140" s="232" t="s">
        <v>108</v>
      </c>
      <c r="I140" s="232" t="s">
        <v>108</v>
      </c>
      <c r="J140" s="232" t="s">
        <v>108</v>
      </c>
      <c r="K140" s="232" t="s">
        <v>108</v>
      </c>
      <c r="L140" s="232" t="s">
        <v>108</v>
      </c>
      <c r="M140" s="232" t="s">
        <v>108</v>
      </c>
      <c r="N140" s="232" t="s">
        <v>108</v>
      </c>
      <c r="O140" s="232" t="s">
        <v>108</v>
      </c>
      <c r="P140" s="232" t="s">
        <v>108</v>
      </c>
      <c r="Q140" s="232" t="s">
        <v>108</v>
      </c>
      <c r="R140" s="232" t="s">
        <v>108</v>
      </c>
      <c r="S140" s="232" t="s">
        <v>108</v>
      </c>
      <c r="T140" s="231" t="s">
        <v>108</v>
      </c>
      <c r="U140" s="57"/>
      <c r="V140" s="57"/>
      <c r="W140" s="57"/>
      <c r="X140" s="57"/>
      <c r="Y140" s="57"/>
      <c r="Z140" s="57"/>
      <c r="AA140" s="55"/>
      <c r="AB140" s="55"/>
      <c r="AC140" s="55"/>
      <c r="AD140" s="55"/>
      <c r="AE140" s="55"/>
      <c r="AF140" s="55"/>
      <c r="AG140" s="55"/>
      <c r="AH140" s="55"/>
      <c r="AI140" s="55"/>
      <c r="AJ140" s="55"/>
      <c r="AK140" s="55"/>
      <c r="AL140" s="55"/>
      <c r="AM140" s="55"/>
      <c r="AN140" s="55"/>
      <c r="AO140" s="55"/>
      <c r="AP140" s="55"/>
      <c r="AQ140" s="55"/>
      <c r="AR140" s="55"/>
      <c r="AS140" s="55"/>
      <c r="AT140" s="55"/>
      <c r="AU140" s="55"/>
      <c r="AV140" s="55"/>
      <c r="AW140" s="55"/>
      <c r="AX140" s="55"/>
      <c r="AY140" s="55"/>
    </row>
    <row r="141" spans="1:51" ht="35.25" customHeight="1" thickTop="1">
      <c r="A141" s="57"/>
      <c r="B141" s="57"/>
      <c r="C141" s="113" t="s">
        <v>70</v>
      </c>
      <c r="D141" s="214"/>
      <c r="E141" s="213" t="s">
        <v>70</v>
      </c>
      <c r="F141" s="213" t="s">
        <v>70</v>
      </c>
      <c r="G141" s="213" t="s">
        <v>70</v>
      </c>
      <c r="H141" s="213" t="s">
        <v>70</v>
      </c>
      <c r="I141" s="213" t="s">
        <v>70</v>
      </c>
      <c r="J141" s="213" t="s">
        <v>70</v>
      </c>
      <c r="K141" s="213" t="s">
        <v>70</v>
      </c>
      <c r="L141" s="213" t="s">
        <v>70</v>
      </c>
      <c r="M141" s="213" t="s">
        <v>70</v>
      </c>
      <c r="N141" s="213" t="s">
        <v>70</v>
      </c>
      <c r="O141" s="213" t="s">
        <v>70</v>
      </c>
      <c r="P141" s="213" t="s">
        <v>70</v>
      </c>
      <c r="Q141" s="213" t="s">
        <v>70</v>
      </c>
      <c r="R141" s="213" t="s">
        <v>70</v>
      </c>
      <c r="S141" s="213" t="s">
        <v>70</v>
      </c>
      <c r="T141" s="212" t="s">
        <v>70</v>
      </c>
      <c r="U141" s="57"/>
      <c r="V141" s="57"/>
      <c r="W141" s="57"/>
      <c r="X141" s="57"/>
      <c r="Y141" s="57"/>
      <c r="Z141" s="57"/>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row>
    <row r="142" spans="1:51" ht="35.25" customHeight="1">
      <c r="C142" s="228"/>
      <c r="D142" s="102"/>
      <c r="E142" s="143"/>
      <c r="F142" s="145"/>
      <c r="G142" s="145"/>
      <c r="H142" s="145"/>
      <c r="I142" s="145"/>
      <c r="J142" s="145"/>
      <c r="K142" s="145"/>
      <c r="L142" s="145"/>
      <c r="M142" s="145"/>
      <c r="N142" s="145"/>
      <c r="O142" s="145"/>
      <c r="P142" s="145"/>
      <c r="Q142" s="145"/>
      <c r="R142" s="145"/>
      <c r="S142" s="145"/>
      <c r="T142" s="144"/>
      <c r="U142" s="57"/>
      <c r="V142" s="57"/>
      <c r="W142" s="57"/>
      <c r="X142" s="57"/>
      <c r="Y142" s="57"/>
      <c r="Z142" s="57"/>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row>
    <row r="143" spans="1:51" ht="35.25" customHeight="1">
      <c r="C143" s="228"/>
      <c r="D143" s="102"/>
      <c r="E143" s="143"/>
      <c r="F143" s="229"/>
      <c r="G143" s="229"/>
      <c r="H143" s="229"/>
      <c r="I143" s="229"/>
      <c r="J143" s="229"/>
      <c r="K143" s="229"/>
      <c r="L143" s="229"/>
      <c r="M143" s="229"/>
      <c r="N143" s="229"/>
      <c r="O143" s="229"/>
      <c r="P143" s="229"/>
      <c r="Q143" s="229"/>
      <c r="R143" s="229"/>
      <c r="S143" s="229"/>
      <c r="T143" s="180"/>
      <c r="U143" s="57"/>
      <c r="V143" s="57"/>
      <c r="W143" s="57"/>
      <c r="X143" s="57"/>
      <c r="Y143" s="57"/>
      <c r="Z143" s="57"/>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row>
    <row r="144" spans="1:51" ht="35.25" customHeight="1">
      <c r="C144" s="228"/>
      <c r="D144" s="102"/>
      <c r="E144" s="143"/>
      <c r="F144" s="229"/>
      <c r="G144" s="229"/>
      <c r="H144" s="229"/>
      <c r="I144" s="229"/>
      <c r="J144" s="229"/>
      <c r="K144" s="229"/>
      <c r="L144" s="229"/>
      <c r="M144" s="229"/>
      <c r="N144" s="229"/>
      <c r="O144" s="239"/>
      <c r="P144" s="229"/>
      <c r="Q144" s="229"/>
      <c r="R144" s="229"/>
      <c r="S144" s="229"/>
      <c r="T144" s="238"/>
      <c r="U144" s="57"/>
      <c r="V144" s="57"/>
      <c r="W144" s="57"/>
      <c r="X144" s="57"/>
      <c r="Y144" s="57"/>
      <c r="Z144" s="57"/>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row>
    <row r="145" spans="3:51" ht="35.25" customHeight="1">
      <c r="C145" s="228"/>
      <c r="D145" s="102"/>
      <c r="E145" s="143"/>
      <c r="F145" s="229"/>
      <c r="G145" s="229"/>
      <c r="H145" s="229"/>
      <c r="I145" s="229"/>
      <c r="J145" s="229"/>
      <c r="K145" s="229"/>
      <c r="L145" s="229"/>
      <c r="M145" s="229"/>
      <c r="N145" s="229"/>
      <c r="O145" s="239"/>
      <c r="P145" s="229"/>
      <c r="Q145" s="229"/>
      <c r="R145" s="229"/>
      <c r="S145" s="229"/>
      <c r="T145" s="238"/>
      <c r="U145" s="57"/>
      <c r="V145" s="57"/>
      <c r="W145" s="57"/>
      <c r="X145" s="57"/>
      <c r="Y145" s="57"/>
      <c r="Z145" s="57"/>
      <c r="AA145" s="55"/>
      <c r="AB145" s="55"/>
      <c r="AC145" s="55"/>
      <c r="AD145" s="55"/>
      <c r="AE145" s="55"/>
      <c r="AF145" s="55"/>
      <c r="AG145" s="55"/>
      <c r="AH145" s="55"/>
      <c r="AI145" s="55"/>
      <c r="AJ145" s="55"/>
      <c r="AK145" s="55"/>
      <c r="AL145" s="55"/>
      <c r="AM145" s="55"/>
      <c r="AN145" s="55"/>
      <c r="AO145" s="55"/>
      <c r="AP145" s="55"/>
      <c r="AQ145" s="55"/>
      <c r="AR145" s="55"/>
      <c r="AS145" s="55"/>
      <c r="AT145" s="55"/>
      <c r="AU145" s="55"/>
      <c r="AV145" s="55"/>
      <c r="AW145" s="55"/>
      <c r="AX145" s="55"/>
      <c r="AY145" s="55"/>
    </row>
    <row r="146" spans="3:51" ht="35.25" customHeight="1">
      <c r="C146" s="228"/>
      <c r="D146" s="102"/>
      <c r="E146" s="143"/>
      <c r="F146" s="229"/>
      <c r="G146" s="229"/>
      <c r="H146" s="229"/>
      <c r="I146" s="229"/>
      <c r="J146" s="229"/>
      <c r="K146" s="229"/>
      <c r="L146" s="229"/>
      <c r="M146" s="229"/>
      <c r="N146" s="229"/>
      <c r="O146" s="239"/>
      <c r="P146" s="229"/>
      <c r="Q146" s="229"/>
      <c r="R146" s="229"/>
      <c r="S146" s="229"/>
      <c r="T146" s="238"/>
      <c r="U146" s="57"/>
      <c r="V146" s="57"/>
      <c r="W146" s="57"/>
      <c r="X146" s="57"/>
      <c r="Y146" s="57"/>
      <c r="Z146" s="57"/>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row>
    <row r="147" spans="3:51" ht="35.25" customHeight="1">
      <c r="C147" s="228"/>
      <c r="D147" s="102"/>
      <c r="E147" s="143"/>
      <c r="F147" s="229"/>
      <c r="G147" s="229"/>
      <c r="H147" s="229"/>
      <c r="I147" s="229"/>
      <c r="J147" s="229"/>
      <c r="K147" s="229"/>
      <c r="L147" s="229"/>
      <c r="M147" s="229"/>
      <c r="N147" s="229"/>
      <c r="O147" s="239"/>
      <c r="P147" s="229"/>
      <c r="Q147" s="229"/>
      <c r="R147" s="229"/>
      <c r="S147" s="229"/>
      <c r="T147" s="238"/>
      <c r="U147" s="57"/>
      <c r="V147" s="57"/>
      <c r="W147" s="57"/>
      <c r="X147" s="57"/>
      <c r="Y147" s="57"/>
      <c r="Z147" s="57"/>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row>
    <row r="148" spans="3:51" ht="35.25" customHeight="1">
      <c r="C148" s="228"/>
      <c r="D148" s="102"/>
      <c r="E148" s="143"/>
      <c r="F148" s="229"/>
      <c r="G148" s="229"/>
      <c r="H148" s="229"/>
      <c r="I148" s="229"/>
      <c r="J148" s="229"/>
      <c r="K148" s="229"/>
      <c r="L148" s="229"/>
      <c r="M148" s="229"/>
      <c r="N148" s="229"/>
      <c r="O148" s="239"/>
      <c r="P148" s="229"/>
      <c r="Q148" s="229"/>
      <c r="R148" s="229"/>
      <c r="S148" s="229"/>
      <c r="T148" s="238"/>
      <c r="U148" s="57"/>
      <c r="V148" s="57"/>
      <c r="W148" s="57"/>
      <c r="X148" s="57"/>
      <c r="Y148" s="57"/>
      <c r="Z148" s="57"/>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row>
    <row r="149" spans="3:51" ht="35.25" customHeight="1">
      <c r="C149" s="228"/>
      <c r="D149" s="102"/>
      <c r="E149" s="143"/>
      <c r="F149" s="229"/>
      <c r="G149" s="229"/>
      <c r="H149" s="229"/>
      <c r="I149" s="229"/>
      <c r="J149" s="229"/>
      <c r="K149" s="229"/>
      <c r="L149" s="229"/>
      <c r="M149" s="229"/>
      <c r="N149" s="229"/>
      <c r="O149" s="239"/>
      <c r="P149" s="229"/>
      <c r="Q149" s="229"/>
      <c r="R149" s="229"/>
      <c r="S149" s="229"/>
      <c r="T149" s="238"/>
      <c r="U149" s="57"/>
      <c r="V149" s="57"/>
      <c r="W149" s="57"/>
      <c r="X149" s="57"/>
      <c r="Y149" s="57"/>
      <c r="Z149" s="57"/>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row>
    <row r="150" spans="3:51" ht="35.25" customHeight="1">
      <c r="C150" s="228"/>
      <c r="D150" s="102"/>
      <c r="E150" s="143"/>
      <c r="F150" s="229"/>
      <c r="G150" s="229"/>
      <c r="H150" s="229"/>
      <c r="I150" s="229"/>
      <c r="J150" s="229"/>
      <c r="K150" s="229"/>
      <c r="L150" s="229"/>
      <c r="M150" s="229"/>
      <c r="N150" s="229"/>
      <c r="O150" s="239"/>
      <c r="P150" s="229"/>
      <c r="Q150" s="229"/>
      <c r="R150" s="229"/>
      <c r="S150" s="229"/>
      <c r="T150" s="238"/>
      <c r="U150" s="57"/>
      <c r="V150" s="57"/>
      <c r="W150" s="57"/>
      <c r="X150" s="57"/>
      <c r="Y150" s="57"/>
      <c r="Z150" s="57"/>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row>
    <row r="151" spans="3:51" ht="35.25" customHeight="1">
      <c r="C151" s="228"/>
      <c r="D151" s="102"/>
      <c r="E151" s="143"/>
      <c r="F151" s="229"/>
      <c r="G151" s="229"/>
      <c r="H151" s="229"/>
      <c r="I151" s="229"/>
      <c r="J151" s="229"/>
      <c r="K151" s="229"/>
      <c r="L151" s="229"/>
      <c r="M151" s="229"/>
      <c r="N151" s="229"/>
      <c r="O151" s="239"/>
      <c r="P151" s="229"/>
      <c r="Q151" s="229"/>
      <c r="R151" s="229"/>
      <c r="S151" s="229"/>
      <c r="T151" s="238"/>
      <c r="U151" s="57"/>
      <c r="V151" s="57"/>
      <c r="W151" s="57"/>
      <c r="X151" s="57"/>
      <c r="Y151" s="57"/>
      <c r="Z151" s="57"/>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row>
    <row r="152" spans="3:51" ht="35.25" customHeight="1">
      <c r="C152" s="228"/>
      <c r="D152" s="102"/>
      <c r="E152" s="143"/>
      <c r="F152" s="229"/>
      <c r="G152" s="229"/>
      <c r="H152" s="229"/>
      <c r="I152" s="229"/>
      <c r="J152" s="229"/>
      <c r="K152" s="229"/>
      <c r="L152" s="229"/>
      <c r="M152" s="229"/>
      <c r="N152" s="229"/>
      <c r="O152" s="239"/>
      <c r="P152" s="229"/>
      <c r="Q152" s="229"/>
      <c r="R152" s="229"/>
      <c r="S152" s="229"/>
      <c r="T152" s="238"/>
      <c r="U152" s="57"/>
      <c r="V152" s="57"/>
      <c r="W152" s="57"/>
      <c r="X152" s="57"/>
      <c r="Y152" s="57"/>
      <c r="Z152" s="57"/>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row>
    <row r="153" spans="3:51" ht="35.25" customHeight="1">
      <c r="C153" s="228"/>
      <c r="D153" s="102"/>
      <c r="E153" s="143"/>
      <c r="F153" s="229"/>
      <c r="G153" s="229"/>
      <c r="H153" s="229"/>
      <c r="I153" s="229"/>
      <c r="J153" s="229"/>
      <c r="K153" s="229"/>
      <c r="L153" s="229"/>
      <c r="M153" s="229"/>
      <c r="N153" s="229"/>
      <c r="O153" s="239"/>
      <c r="P153" s="229"/>
      <c r="Q153" s="229"/>
      <c r="R153" s="229"/>
      <c r="S153" s="229"/>
      <c r="T153" s="238"/>
      <c r="U153" s="57"/>
      <c r="V153" s="57"/>
      <c r="W153" s="57"/>
      <c r="X153" s="57"/>
      <c r="Y153" s="57"/>
      <c r="Z153" s="57"/>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row>
    <row r="154" spans="3:51" ht="35.25" customHeight="1">
      <c r="C154" s="228"/>
      <c r="D154" s="102"/>
      <c r="E154" s="143"/>
      <c r="F154" s="229"/>
      <c r="G154" s="229"/>
      <c r="H154" s="229"/>
      <c r="I154" s="229"/>
      <c r="J154" s="229"/>
      <c r="K154" s="229"/>
      <c r="L154" s="229"/>
      <c r="M154" s="229"/>
      <c r="N154" s="229"/>
      <c r="O154" s="239"/>
      <c r="P154" s="229"/>
      <c r="Q154" s="229"/>
      <c r="R154" s="229"/>
      <c r="S154" s="229"/>
      <c r="T154" s="238"/>
      <c r="U154" s="57"/>
      <c r="V154" s="57"/>
      <c r="W154" s="57"/>
      <c r="X154" s="57"/>
      <c r="Y154" s="57"/>
      <c r="Z154" s="57"/>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row>
    <row r="155" spans="3:51" ht="35.25" customHeight="1">
      <c r="C155" s="228"/>
      <c r="D155" s="102"/>
      <c r="E155" s="143"/>
      <c r="F155" s="229"/>
      <c r="G155" s="229"/>
      <c r="H155" s="229"/>
      <c r="I155" s="229"/>
      <c r="J155" s="229"/>
      <c r="K155" s="229"/>
      <c r="L155" s="229"/>
      <c r="M155" s="229"/>
      <c r="N155" s="229"/>
      <c r="O155" s="239"/>
      <c r="P155" s="229"/>
      <c r="Q155" s="229"/>
      <c r="R155" s="229"/>
      <c r="S155" s="229"/>
      <c r="T155" s="238"/>
      <c r="U155" s="57"/>
      <c r="V155" s="57"/>
      <c r="W155" s="57"/>
      <c r="X155" s="57"/>
      <c r="Y155" s="57"/>
      <c r="Z155" s="57"/>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row>
    <row r="156" spans="3:51" ht="35.25" customHeight="1">
      <c r="C156" s="228"/>
      <c r="D156" s="102"/>
      <c r="E156" s="143"/>
      <c r="F156" s="229"/>
      <c r="G156" s="229"/>
      <c r="H156" s="229"/>
      <c r="I156" s="229"/>
      <c r="J156" s="229"/>
      <c r="K156" s="229"/>
      <c r="L156" s="229"/>
      <c r="M156" s="229"/>
      <c r="N156" s="229"/>
      <c r="O156" s="239"/>
      <c r="P156" s="229"/>
      <c r="Q156" s="229"/>
      <c r="R156" s="229"/>
      <c r="S156" s="229"/>
      <c r="T156" s="238"/>
      <c r="U156" s="57"/>
      <c r="V156" s="57"/>
      <c r="W156" s="57"/>
      <c r="X156" s="57"/>
      <c r="Y156" s="57"/>
      <c r="Z156" s="57"/>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row>
    <row r="157" spans="3:51" ht="35.25" customHeight="1">
      <c r="C157" s="228"/>
      <c r="D157" s="102"/>
      <c r="E157" s="143"/>
      <c r="F157" s="145"/>
      <c r="G157" s="145"/>
      <c r="H157" s="145"/>
      <c r="I157" s="145"/>
      <c r="J157" s="145"/>
      <c r="K157" s="145"/>
      <c r="L157" s="145"/>
      <c r="M157" s="145"/>
      <c r="N157" s="145"/>
      <c r="O157" s="145"/>
      <c r="P157" s="145"/>
      <c r="Q157" s="145"/>
      <c r="R157" s="145"/>
      <c r="S157" s="145"/>
      <c r="T157" s="144"/>
      <c r="U157" s="57"/>
      <c r="V157" s="57"/>
      <c r="W157" s="57"/>
      <c r="X157" s="57"/>
      <c r="Y157" s="57"/>
      <c r="Z157" s="57"/>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row>
    <row r="158" spans="3:51" ht="35.25" customHeight="1">
      <c r="C158" s="228"/>
      <c r="D158" s="102"/>
      <c r="E158" s="143"/>
      <c r="F158" s="145"/>
      <c r="G158" s="145"/>
      <c r="H158" s="145"/>
      <c r="I158" s="145"/>
      <c r="J158" s="145"/>
      <c r="K158" s="145"/>
      <c r="L158" s="145"/>
      <c r="M158" s="145"/>
      <c r="N158" s="145"/>
      <c r="O158" s="145"/>
      <c r="P158" s="145"/>
      <c r="Q158" s="145"/>
      <c r="R158" s="145"/>
      <c r="S158" s="145"/>
      <c r="T158" s="144"/>
      <c r="U158" s="57"/>
      <c r="V158" s="57"/>
      <c r="W158" s="57"/>
      <c r="X158" s="57"/>
      <c r="Y158" s="57"/>
      <c r="Z158" s="57"/>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row>
    <row r="159" spans="3:51" ht="35.25" customHeight="1">
      <c r="C159" s="228"/>
      <c r="D159" s="102"/>
      <c r="E159" s="143"/>
      <c r="F159" s="145"/>
      <c r="G159" s="145"/>
      <c r="H159" s="145"/>
      <c r="I159" s="145"/>
      <c r="J159" s="145"/>
      <c r="K159" s="145"/>
      <c r="L159" s="145"/>
      <c r="M159" s="145"/>
      <c r="N159" s="145"/>
      <c r="O159" s="145"/>
      <c r="P159" s="145"/>
      <c r="Q159" s="145"/>
      <c r="R159" s="145"/>
      <c r="S159" s="145"/>
      <c r="T159" s="144"/>
      <c r="U159" s="57"/>
      <c r="V159" s="57"/>
      <c r="W159" s="57"/>
      <c r="X159" s="57"/>
      <c r="Y159" s="57"/>
      <c r="Z159" s="57"/>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row>
    <row r="160" spans="3:51" ht="35.25" customHeight="1">
      <c r="C160" s="228"/>
      <c r="D160" s="102"/>
      <c r="E160" s="143"/>
      <c r="F160" s="145"/>
      <c r="G160" s="145"/>
      <c r="H160" s="145"/>
      <c r="I160" s="145"/>
      <c r="J160" s="145"/>
      <c r="K160" s="145"/>
      <c r="L160" s="145"/>
      <c r="M160" s="145"/>
      <c r="N160" s="145"/>
      <c r="O160" s="145"/>
      <c r="P160" s="145"/>
      <c r="Q160" s="145"/>
      <c r="R160" s="145"/>
      <c r="S160" s="145"/>
      <c r="T160" s="144"/>
      <c r="U160" s="57"/>
      <c r="V160" s="57"/>
      <c r="W160" s="57"/>
      <c r="X160" s="57"/>
      <c r="Y160" s="57"/>
      <c r="Z160" s="57"/>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row>
    <row r="161" spans="1:61" ht="35.25" customHeight="1" thickBot="1">
      <c r="C161" s="228"/>
      <c r="D161" s="102"/>
      <c r="E161" s="143"/>
      <c r="F161" s="145"/>
      <c r="G161" s="145"/>
      <c r="H161" s="145"/>
      <c r="I161" s="145"/>
      <c r="J161" s="145"/>
      <c r="K161" s="145"/>
      <c r="L161" s="145"/>
      <c r="M161" s="145"/>
      <c r="N161" s="145"/>
      <c r="O161" s="145"/>
      <c r="P161" s="145"/>
      <c r="Q161" s="145"/>
      <c r="R161" s="145"/>
      <c r="S161" s="145"/>
      <c r="T161" s="144"/>
      <c r="U161" s="57"/>
      <c r="V161" s="57"/>
      <c r="W161" s="57"/>
      <c r="X161" s="57"/>
      <c r="Y161" s="57"/>
      <c r="Z161" s="57"/>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row>
    <row r="162" spans="1:61" ht="35.25" customHeight="1" thickTop="1" thickBot="1">
      <c r="A162" s="57" t="s">
        <v>70</v>
      </c>
      <c r="B162" s="57"/>
      <c r="C162" s="227" t="s">
        <v>109</v>
      </c>
      <c r="D162" s="91" t="s">
        <v>110</v>
      </c>
      <c r="E162" s="91"/>
      <c r="F162" s="226">
        <f t="shared" ref="F162:T162" si="38">ROUND((SUMPRODUCT($D142:$D161,F142:F161)+SUMPRODUCT($D142:$D161,$E142:$E161,F142:F161))/1000,0)</f>
        <v>0</v>
      </c>
      <c r="G162" s="226">
        <f t="shared" si="38"/>
        <v>0</v>
      </c>
      <c r="H162" s="226">
        <f t="shared" si="38"/>
        <v>0</v>
      </c>
      <c r="I162" s="226">
        <f t="shared" si="38"/>
        <v>0</v>
      </c>
      <c r="J162" s="226">
        <f t="shared" si="38"/>
        <v>0</v>
      </c>
      <c r="K162" s="226">
        <f t="shared" si="38"/>
        <v>0</v>
      </c>
      <c r="L162" s="226">
        <f t="shared" si="38"/>
        <v>0</v>
      </c>
      <c r="M162" s="226">
        <f t="shared" si="38"/>
        <v>0</v>
      </c>
      <c r="N162" s="226">
        <f t="shared" si="38"/>
        <v>0</v>
      </c>
      <c r="O162" s="226">
        <f t="shared" si="38"/>
        <v>0</v>
      </c>
      <c r="P162" s="224">
        <f t="shared" si="38"/>
        <v>0</v>
      </c>
      <c r="Q162" s="224">
        <f t="shared" si="38"/>
        <v>0</v>
      </c>
      <c r="R162" s="224">
        <f t="shared" si="38"/>
        <v>0</v>
      </c>
      <c r="S162" s="224">
        <f t="shared" si="38"/>
        <v>0</v>
      </c>
      <c r="T162" s="223">
        <f t="shared" si="38"/>
        <v>0</v>
      </c>
      <c r="U162" s="57"/>
      <c r="V162" s="57"/>
      <c r="W162" s="57"/>
      <c r="X162" s="57"/>
      <c r="Y162" s="57"/>
      <c r="Z162" s="57"/>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row>
    <row r="163" spans="1:61" ht="19.5" customHeight="1" thickTop="1">
      <c r="A163" s="57" t="s">
        <v>70</v>
      </c>
      <c r="B163" s="57"/>
      <c r="C163" s="222"/>
      <c r="D163" s="222"/>
      <c r="E163" s="222"/>
      <c r="F163" s="222"/>
      <c r="G163" s="222"/>
      <c r="H163" s="58"/>
      <c r="I163" s="58"/>
      <c r="J163" s="58"/>
      <c r="K163" s="58"/>
      <c r="L163" s="58"/>
      <c r="M163" s="58"/>
      <c r="N163" s="58"/>
      <c r="O163" s="58"/>
      <c r="T163" s="237"/>
      <c r="U163" s="57"/>
      <c r="V163" s="57"/>
      <c r="W163" s="57"/>
      <c r="X163" s="57"/>
      <c r="Y163" s="57"/>
      <c r="Z163" s="57"/>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row>
    <row r="164" spans="1:61" ht="19.5" customHeight="1">
      <c r="A164" s="57"/>
      <c r="B164" s="57"/>
      <c r="C164" s="57"/>
      <c r="D164" s="57"/>
      <c r="E164" s="57"/>
      <c r="F164" s="57"/>
      <c r="G164" s="57"/>
      <c r="T164" s="237"/>
      <c r="U164" s="57"/>
      <c r="V164" s="57"/>
      <c r="W164" s="57"/>
      <c r="X164" s="57"/>
      <c r="Y164" s="57"/>
      <c r="Z164" s="57"/>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row>
    <row r="165" spans="1:61" ht="19.5" customHeight="1" thickBot="1">
      <c r="A165" s="54" t="s">
        <v>70</v>
      </c>
      <c r="C165" s="57"/>
      <c r="D165" s="57"/>
      <c r="E165" s="57"/>
      <c r="F165" s="57"/>
      <c r="G165" s="57"/>
      <c r="H165" s="57"/>
      <c r="I165" s="57"/>
      <c r="J165" s="57"/>
      <c r="K165" s="57"/>
      <c r="L165" s="57"/>
      <c r="M165" s="57"/>
      <c r="N165" s="57"/>
      <c r="O165" s="57"/>
      <c r="P165" s="57"/>
      <c r="T165" s="237"/>
      <c r="U165" s="57"/>
      <c r="V165" s="57"/>
      <c r="W165" s="57"/>
      <c r="X165" s="57"/>
      <c r="Y165" s="57"/>
      <c r="Z165" s="57"/>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row>
    <row r="166" spans="1:61" ht="35.25" customHeight="1" thickTop="1">
      <c r="C166" s="196" t="s">
        <v>111</v>
      </c>
      <c r="D166" s="236" t="s">
        <v>103</v>
      </c>
      <c r="E166" s="235" t="s">
        <v>104</v>
      </c>
      <c r="F166" s="235" t="str">
        <f>"  "&amp;'Financial Stat.'!C318</f>
        <v xml:space="preserve">    2026</v>
      </c>
      <c r="G166" s="235" t="str">
        <f>"    "&amp;'Financial Stat.'!D318</f>
        <v xml:space="preserve">      2027</v>
      </c>
      <c r="H166" s="235" t="str">
        <f>"    "&amp;'Financial Stat.'!E318</f>
        <v xml:space="preserve">      2028</v>
      </c>
      <c r="I166" s="235" t="str">
        <f>"    "&amp;'Financial Stat.'!F318</f>
        <v xml:space="preserve">      2029</v>
      </c>
      <c r="J166" s="235" t="str">
        <f>"    "&amp;'Financial Stat.'!G318</f>
        <v xml:space="preserve">      2030</v>
      </c>
      <c r="K166" s="235" t="str">
        <f>"    "&amp;'Financial Stat.'!H318</f>
        <v xml:space="preserve">      2031</v>
      </c>
      <c r="L166" s="235" t="str">
        <f>"    "&amp;'Financial Stat.'!I318</f>
        <v xml:space="preserve">      2032</v>
      </c>
      <c r="M166" s="235" t="str">
        <f>"    "&amp;'Financial Stat.'!J318</f>
        <v xml:space="preserve">      2033</v>
      </c>
      <c r="N166" s="235" t="str">
        <f>"    "&amp;'Financial Stat.'!K318</f>
        <v xml:space="preserve">      2034</v>
      </c>
      <c r="O166" s="235" t="str">
        <f>"    "&amp;'Financial Stat.'!L318</f>
        <v xml:space="preserve">      2035</v>
      </c>
      <c r="P166" s="235" t="str">
        <f>"    "&amp;'Financial Stat.'!M318</f>
        <v xml:space="preserve">      2036</v>
      </c>
      <c r="Q166" s="235" t="str">
        <f>"    "&amp;'Financial Stat.'!N318</f>
        <v xml:space="preserve">      2037</v>
      </c>
      <c r="R166" s="235" t="str">
        <f>"    "&amp;'Financial Stat.'!O318</f>
        <v xml:space="preserve">      2038</v>
      </c>
      <c r="S166" s="235" t="str">
        <f>"    "&amp;'Financial Stat.'!P318</f>
        <v xml:space="preserve">      2039</v>
      </c>
      <c r="T166" s="234" t="str">
        <f>"    "&amp;'Financial Stat.'!Q318</f>
        <v xml:space="preserve">      2040</v>
      </c>
      <c r="U166" s="57"/>
      <c r="V166" s="57"/>
      <c r="W166" s="57"/>
      <c r="X166" s="57"/>
      <c r="Y166" s="57"/>
      <c r="Z166" s="57"/>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row>
    <row r="167" spans="1:61" ht="35.25" customHeight="1" thickBot="1">
      <c r="C167" s="194" t="s">
        <v>105</v>
      </c>
      <c r="D167" s="233" t="s">
        <v>106</v>
      </c>
      <c r="E167" s="232" t="s">
        <v>107</v>
      </c>
      <c r="F167" s="232" t="s">
        <v>108</v>
      </c>
      <c r="G167" s="232" t="s">
        <v>108</v>
      </c>
      <c r="H167" s="232" t="s">
        <v>108</v>
      </c>
      <c r="I167" s="232" t="s">
        <v>108</v>
      </c>
      <c r="J167" s="232" t="s">
        <v>108</v>
      </c>
      <c r="K167" s="232" t="s">
        <v>108</v>
      </c>
      <c r="L167" s="232" t="s">
        <v>108</v>
      </c>
      <c r="M167" s="232" t="s">
        <v>108</v>
      </c>
      <c r="N167" s="232" t="s">
        <v>108</v>
      </c>
      <c r="O167" s="232" t="s">
        <v>108</v>
      </c>
      <c r="P167" s="232" t="s">
        <v>108</v>
      </c>
      <c r="Q167" s="232" t="s">
        <v>108</v>
      </c>
      <c r="R167" s="232" t="s">
        <v>108</v>
      </c>
      <c r="S167" s="232" t="s">
        <v>108</v>
      </c>
      <c r="T167" s="231" t="s">
        <v>108</v>
      </c>
      <c r="U167" s="57"/>
      <c r="V167" s="57"/>
      <c r="W167" s="57"/>
      <c r="X167" s="57"/>
      <c r="Y167" s="57"/>
      <c r="Z167" s="57"/>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row>
    <row r="168" spans="1:61" ht="35.25" customHeight="1" thickTop="1">
      <c r="C168" s="113" t="s">
        <v>70</v>
      </c>
      <c r="D168" s="214" t="s">
        <v>70</v>
      </c>
      <c r="E168" s="213" t="s">
        <v>70</v>
      </c>
      <c r="F168" s="213" t="s">
        <v>70</v>
      </c>
      <c r="G168" s="213" t="s">
        <v>70</v>
      </c>
      <c r="H168" s="213" t="s">
        <v>70</v>
      </c>
      <c r="I168" s="213" t="s">
        <v>70</v>
      </c>
      <c r="J168" s="213" t="s">
        <v>70</v>
      </c>
      <c r="K168" s="213" t="s">
        <v>70</v>
      </c>
      <c r="L168" s="213" t="s">
        <v>70</v>
      </c>
      <c r="M168" s="213" t="s">
        <v>70</v>
      </c>
      <c r="N168" s="213" t="s">
        <v>70</v>
      </c>
      <c r="O168" s="213" t="s">
        <v>70</v>
      </c>
      <c r="P168" s="213" t="s">
        <v>70</v>
      </c>
      <c r="Q168" s="213" t="s">
        <v>70</v>
      </c>
      <c r="R168" s="213" t="s">
        <v>70</v>
      </c>
      <c r="S168" s="213" t="s">
        <v>70</v>
      </c>
      <c r="T168" s="212" t="s">
        <v>70</v>
      </c>
      <c r="U168" s="57"/>
      <c r="V168" s="57"/>
      <c r="W168" s="57"/>
      <c r="X168" s="57"/>
      <c r="Y168" s="57"/>
      <c r="Z168" s="57"/>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row>
    <row r="169" spans="1:61" ht="35.25" customHeight="1">
      <c r="C169" s="228" t="s">
        <v>529</v>
      </c>
      <c r="D169" s="102">
        <v>2233308</v>
      </c>
      <c r="E169" s="143"/>
      <c r="F169" s="145">
        <v>1</v>
      </c>
      <c r="G169" s="145">
        <v>1</v>
      </c>
      <c r="H169" s="145">
        <v>1</v>
      </c>
      <c r="I169" s="145">
        <v>1</v>
      </c>
      <c r="J169" s="145">
        <v>1</v>
      </c>
      <c r="K169" s="145">
        <v>1</v>
      </c>
      <c r="L169" s="145">
        <v>1</v>
      </c>
      <c r="M169" s="145">
        <v>1</v>
      </c>
      <c r="N169" s="145">
        <v>1</v>
      </c>
      <c r="O169" s="145">
        <v>1</v>
      </c>
      <c r="P169" s="145">
        <v>1</v>
      </c>
      <c r="Q169" s="145">
        <v>1</v>
      </c>
      <c r="R169" s="145">
        <v>1</v>
      </c>
      <c r="S169" s="145">
        <v>1</v>
      </c>
      <c r="T169" s="144">
        <v>1</v>
      </c>
      <c r="U169" s="57"/>
      <c r="V169" s="57"/>
      <c r="W169" s="57"/>
      <c r="X169" s="57"/>
      <c r="Y169" s="57"/>
      <c r="Z169" s="57"/>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row>
    <row r="170" spans="1:61" ht="35.25" customHeight="1">
      <c r="C170" s="228"/>
      <c r="D170" s="102"/>
      <c r="E170" s="230"/>
      <c r="F170" s="145"/>
      <c r="G170" s="145"/>
      <c r="H170" s="145"/>
      <c r="I170" s="145"/>
      <c r="J170" s="145"/>
      <c r="K170" s="145"/>
      <c r="L170" s="145"/>
      <c r="M170" s="145"/>
      <c r="N170" s="145"/>
      <c r="O170" s="145"/>
      <c r="P170" s="145"/>
      <c r="Q170" s="145"/>
      <c r="R170" s="145"/>
      <c r="S170" s="145"/>
      <c r="T170" s="144"/>
      <c r="U170" s="57"/>
      <c r="V170" s="57"/>
      <c r="W170" s="57"/>
      <c r="X170" s="57"/>
      <c r="Y170" s="57"/>
      <c r="Z170" s="57"/>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row>
    <row r="171" spans="1:61" ht="35.25" customHeight="1">
      <c r="C171" s="228"/>
      <c r="D171" s="102"/>
      <c r="E171" s="230"/>
      <c r="F171" s="145"/>
      <c r="G171" s="145"/>
      <c r="H171" s="145"/>
      <c r="I171" s="145"/>
      <c r="J171" s="145"/>
      <c r="K171" s="145"/>
      <c r="L171" s="145"/>
      <c r="M171" s="145"/>
      <c r="N171" s="145"/>
      <c r="O171" s="145"/>
      <c r="P171" s="145"/>
      <c r="Q171" s="145"/>
      <c r="R171" s="145"/>
      <c r="S171" s="145"/>
      <c r="T171" s="144"/>
      <c r="U171" s="57"/>
      <c r="V171" s="57"/>
      <c r="W171" s="57"/>
      <c r="X171" s="57"/>
      <c r="Y171" s="57"/>
      <c r="Z171" s="57"/>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BH171" s="221"/>
      <c r="BI171" s="221"/>
    </row>
    <row r="172" spans="1:61" ht="35.25" customHeight="1">
      <c r="C172" s="228"/>
      <c r="D172" s="102"/>
      <c r="E172" s="230"/>
      <c r="F172" s="145"/>
      <c r="G172" s="145"/>
      <c r="H172" s="145"/>
      <c r="I172" s="145"/>
      <c r="J172" s="145"/>
      <c r="K172" s="145"/>
      <c r="L172" s="145"/>
      <c r="M172" s="145"/>
      <c r="N172" s="145"/>
      <c r="O172" s="145"/>
      <c r="P172" s="145"/>
      <c r="Q172" s="145"/>
      <c r="R172" s="145"/>
      <c r="S172" s="145"/>
      <c r="T172" s="144"/>
      <c r="U172" s="57"/>
      <c r="V172" s="57"/>
      <c r="W172" s="57"/>
      <c r="X172" s="57"/>
      <c r="Y172" s="57"/>
      <c r="Z172" s="57"/>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BH172" s="221"/>
      <c r="BI172" s="221"/>
    </row>
    <row r="173" spans="1:61" ht="35.25" customHeight="1">
      <c r="C173" s="228"/>
      <c r="D173" s="102"/>
      <c r="E173" s="230"/>
      <c r="F173" s="145"/>
      <c r="G173" s="145"/>
      <c r="H173" s="145"/>
      <c r="I173" s="145"/>
      <c r="J173" s="145"/>
      <c r="K173" s="145"/>
      <c r="L173" s="145"/>
      <c r="M173" s="145"/>
      <c r="N173" s="145"/>
      <c r="O173" s="145"/>
      <c r="P173" s="145"/>
      <c r="Q173" s="145"/>
      <c r="R173" s="145"/>
      <c r="S173" s="145"/>
      <c r="T173" s="144"/>
      <c r="U173" s="57"/>
      <c r="V173" s="57"/>
      <c r="W173" s="57"/>
      <c r="X173" s="57"/>
      <c r="Y173" s="57"/>
      <c r="Z173" s="57"/>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BH173" s="221"/>
      <c r="BI173" s="221"/>
    </row>
    <row r="174" spans="1:61" ht="35.25" customHeight="1">
      <c r="C174" s="228"/>
      <c r="D174" s="102"/>
      <c r="E174" s="230"/>
      <c r="F174" s="229"/>
      <c r="G174" s="229"/>
      <c r="H174" s="229"/>
      <c r="I174" s="229"/>
      <c r="J174" s="229"/>
      <c r="K174" s="229"/>
      <c r="L174" s="229"/>
      <c r="M174" s="229"/>
      <c r="N174" s="229"/>
      <c r="O174" s="101"/>
      <c r="P174" s="229"/>
      <c r="Q174" s="229"/>
      <c r="R174" s="229"/>
      <c r="S174" s="229"/>
      <c r="T174" s="180"/>
      <c r="U174" s="57"/>
      <c r="V174" s="57"/>
      <c r="W174" s="57"/>
      <c r="X174" s="57"/>
      <c r="Y174" s="57"/>
      <c r="Z174" s="57"/>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BH174" s="221"/>
      <c r="BI174" s="221"/>
    </row>
    <row r="175" spans="1:61" ht="35.25" customHeight="1">
      <c r="C175" s="228"/>
      <c r="D175" s="102"/>
      <c r="E175" s="230"/>
      <c r="F175" s="229"/>
      <c r="G175" s="229"/>
      <c r="H175" s="229"/>
      <c r="I175" s="229"/>
      <c r="J175" s="229"/>
      <c r="K175" s="229"/>
      <c r="L175" s="229"/>
      <c r="M175" s="229"/>
      <c r="N175" s="229"/>
      <c r="O175" s="101"/>
      <c r="P175" s="229"/>
      <c r="Q175" s="229"/>
      <c r="R175" s="229"/>
      <c r="S175" s="229"/>
      <c r="T175" s="180"/>
      <c r="U175" s="57"/>
      <c r="V175" s="57"/>
      <c r="W175" s="57"/>
      <c r="X175" s="57"/>
      <c r="Y175" s="57"/>
      <c r="Z175" s="57"/>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BH175" s="221"/>
      <c r="BI175" s="221"/>
    </row>
    <row r="176" spans="1:61" ht="35.25" customHeight="1">
      <c r="C176" s="228"/>
      <c r="D176" s="102"/>
      <c r="E176" s="230"/>
      <c r="F176" s="229"/>
      <c r="G176" s="229"/>
      <c r="H176" s="229"/>
      <c r="I176" s="229"/>
      <c r="J176" s="229"/>
      <c r="K176" s="229"/>
      <c r="L176" s="229"/>
      <c r="M176" s="229"/>
      <c r="N176" s="229"/>
      <c r="O176" s="101"/>
      <c r="P176" s="229"/>
      <c r="Q176" s="229"/>
      <c r="R176" s="229"/>
      <c r="S176" s="229"/>
      <c r="T176" s="180"/>
      <c r="U176" s="57"/>
      <c r="V176" s="57"/>
      <c r="W176" s="57"/>
      <c r="X176" s="57"/>
      <c r="Y176" s="57"/>
      <c r="Z176" s="57"/>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BH176" s="221"/>
      <c r="BI176" s="221"/>
    </row>
    <row r="177" spans="1:61" ht="35.25" customHeight="1">
      <c r="C177" s="228"/>
      <c r="D177" s="102"/>
      <c r="E177" s="230"/>
      <c r="F177" s="229"/>
      <c r="G177" s="229"/>
      <c r="H177" s="229"/>
      <c r="I177" s="229"/>
      <c r="J177" s="229"/>
      <c r="K177" s="229"/>
      <c r="L177" s="229"/>
      <c r="M177" s="229"/>
      <c r="N177" s="229"/>
      <c r="O177" s="101"/>
      <c r="P177" s="229"/>
      <c r="Q177" s="229"/>
      <c r="R177" s="229"/>
      <c r="S177" s="229"/>
      <c r="T177" s="180"/>
      <c r="U177" s="57"/>
      <c r="V177" s="57"/>
      <c r="W177" s="57"/>
      <c r="X177" s="57"/>
      <c r="Y177" s="57"/>
      <c r="Z177" s="57"/>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BH177" s="221"/>
      <c r="BI177" s="221"/>
    </row>
    <row r="178" spans="1:61" ht="35.25" customHeight="1">
      <c r="C178" s="228"/>
      <c r="D178" s="102"/>
      <c r="E178" s="230"/>
      <c r="F178" s="229"/>
      <c r="G178" s="229"/>
      <c r="H178" s="229"/>
      <c r="I178" s="229"/>
      <c r="J178" s="229"/>
      <c r="K178" s="229"/>
      <c r="L178" s="229"/>
      <c r="M178" s="229"/>
      <c r="N178" s="229"/>
      <c r="O178" s="101"/>
      <c r="P178" s="229"/>
      <c r="Q178" s="229"/>
      <c r="R178" s="229"/>
      <c r="S178" s="229"/>
      <c r="T178" s="180"/>
      <c r="U178" s="57"/>
      <c r="V178" s="57"/>
      <c r="W178" s="57"/>
      <c r="X178" s="57"/>
      <c r="Y178" s="57"/>
      <c r="Z178" s="57"/>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BH178" s="221"/>
      <c r="BI178" s="221"/>
    </row>
    <row r="179" spans="1:61" ht="35.25" customHeight="1">
      <c r="C179" s="228"/>
      <c r="D179" s="102"/>
      <c r="E179" s="230"/>
      <c r="F179" s="229"/>
      <c r="G179" s="229"/>
      <c r="H179" s="229"/>
      <c r="I179" s="229"/>
      <c r="J179" s="229"/>
      <c r="K179" s="229"/>
      <c r="L179" s="229"/>
      <c r="M179" s="229"/>
      <c r="N179" s="229"/>
      <c r="O179" s="101"/>
      <c r="P179" s="229"/>
      <c r="Q179" s="229"/>
      <c r="R179" s="229"/>
      <c r="S179" s="229"/>
      <c r="T179" s="180"/>
      <c r="U179" s="57"/>
      <c r="V179" s="57"/>
      <c r="W179" s="57"/>
      <c r="X179" s="57"/>
      <c r="Y179" s="57"/>
      <c r="Z179" s="57"/>
      <c r="AA179" s="55"/>
      <c r="AB179" s="55"/>
      <c r="AC179" s="55"/>
      <c r="AD179" s="55"/>
      <c r="AE179" s="55"/>
      <c r="AF179" s="55"/>
      <c r="AG179" s="55"/>
      <c r="AH179" s="55"/>
      <c r="AI179" s="55"/>
      <c r="AJ179" s="55"/>
      <c r="AK179" s="55"/>
      <c r="AL179" s="55"/>
      <c r="AM179" s="55"/>
      <c r="AN179" s="55"/>
      <c r="AO179" s="55"/>
      <c r="AP179" s="55"/>
      <c r="AQ179" s="55"/>
      <c r="AR179" s="55"/>
      <c r="AS179" s="55"/>
      <c r="AT179" s="55"/>
      <c r="AU179" s="55"/>
      <c r="AV179" s="55"/>
      <c r="AW179" s="55"/>
      <c r="AX179" s="55"/>
      <c r="AY179" s="55"/>
      <c r="BH179" s="221"/>
      <c r="BI179" s="221"/>
    </row>
    <row r="180" spans="1:61" ht="35.25" customHeight="1">
      <c r="C180" s="228"/>
      <c r="D180" s="102"/>
      <c r="E180" s="230"/>
      <c r="F180" s="229"/>
      <c r="G180" s="229"/>
      <c r="H180" s="229"/>
      <c r="I180" s="229"/>
      <c r="J180" s="229"/>
      <c r="K180" s="229"/>
      <c r="L180" s="229"/>
      <c r="M180" s="229"/>
      <c r="N180" s="229"/>
      <c r="O180" s="101"/>
      <c r="P180" s="229"/>
      <c r="Q180" s="229"/>
      <c r="R180" s="229"/>
      <c r="S180" s="229"/>
      <c r="T180" s="180"/>
      <c r="U180" s="57"/>
      <c r="V180" s="57"/>
      <c r="W180" s="57"/>
      <c r="X180" s="57"/>
      <c r="Y180" s="57"/>
      <c r="Z180" s="57"/>
      <c r="AA180" s="55"/>
      <c r="AB180" s="55"/>
      <c r="AC180" s="55"/>
      <c r="AD180" s="55"/>
      <c r="AE180" s="55"/>
      <c r="AF180" s="55"/>
      <c r="AG180" s="55"/>
      <c r="AH180" s="55"/>
      <c r="AI180" s="55"/>
      <c r="AJ180" s="55"/>
      <c r="AK180" s="55"/>
      <c r="AL180" s="55"/>
      <c r="AM180" s="55"/>
      <c r="AN180" s="55"/>
      <c r="AO180" s="55"/>
      <c r="AP180" s="55"/>
      <c r="AQ180" s="55"/>
      <c r="AR180" s="55"/>
      <c r="AS180" s="55"/>
      <c r="AT180" s="55"/>
      <c r="AU180" s="55"/>
      <c r="AV180" s="55"/>
      <c r="AW180" s="55"/>
      <c r="AX180" s="55"/>
      <c r="AY180" s="55"/>
      <c r="BH180" s="221"/>
      <c r="BI180" s="221"/>
    </row>
    <row r="181" spans="1:61" ht="35.25" customHeight="1">
      <c r="C181" s="228"/>
      <c r="D181" s="102"/>
      <c r="E181" s="230"/>
      <c r="F181" s="229"/>
      <c r="G181" s="229"/>
      <c r="H181" s="229"/>
      <c r="I181" s="229"/>
      <c r="J181" s="229"/>
      <c r="K181" s="229"/>
      <c r="L181" s="229"/>
      <c r="M181" s="229"/>
      <c r="N181" s="229"/>
      <c r="O181" s="101"/>
      <c r="P181" s="229"/>
      <c r="Q181" s="229"/>
      <c r="R181" s="229"/>
      <c r="S181" s="229"/>
      <c r="T181" s="180"/>
      <c r="U181" s="57"/>
      <c r="V181" s="57"/>
      <c r="W181" s="57"/>
      <c r="X181" s="57"/>
      <c r="Y181" s="57"/>
      <c r="Z181" s="57"/>
      <c r="AA181" s="55"/>
      <c r="AB181" s="55"/>
      <c r="AC181" s="55"/>
      <c r="AD181" s="55"/>
      <c r="AE181" s="55"/>
      <c r="AF181" s="55"/>
      <c r="AG181" s="55"/>
      <c r="AH181" s="55"/>
      <c r="AI181" s="55"/>
      <c r="AJ181" s="55"/>
      <c r="AK181" s="55"/>
      <c r="AL181" s="55"/>
      <c r="AM181" s="55"/>
      <c r="AN181" s="55"/>
      <c r="AO181" s="55"/>
      <c r="AP181" s="55"/>
      <c r="AQ181" s="55"/>
      <c r="AR181" s="55"/>
      <c r="AS181" s="55"/>
      <c r="AT181" s="55"/>
      <c r="AU181" s="55"/>
      <c r="AV181" s="55"/>
      <c r="AW181" s="55"/>
      <c r="AX181" s="55"/>
      <c r="AY181" s="55"/>
      <c r="BH181" s="221"/>
      <c r="BI181" s="221"/>
    </row>
    <row r="182" spans="1:61" ht="35.25" customHeight="1">
      <c r="C182" s="228"/>
      <c r="D182" s="102"/>
      <c r="E182" s="230"/>
      <c r="F182" s="229"/>
      <c r="G182" s="229"/>
      <c r="H182" s="229"/>
      <c r="I182" s="229"/>
      <c r="J182" s="229"/>
      <c r="K182" s="229"/>
      <c r="L182" s="229"/>
      <c r="M182" s="229"/>
      <c r="N182" s="229"/>
      <c r="O182" s="101"/>
      <c r="P182" s="229"/>
      <c r="Q182" s="229"/>
      <c r="R182" s="229"/>
      <c r="S182" s="229"/>
      <c r="T182" s="180"/>
      <c r="U182" s="57"/>
      <c r="V182" s="57"/>
      <c r="W182" s="57"/>
      <c r="X182" s="57"/>
      <c r="Y182" s="57"/>
      <c r="Z182" s="57"/>
      <c r="AA182" s="55"/>
      <c r="AB182" s="55"/>
      <c r="AC182" s="55"/>
      <c r="AD182" s="55"/>
      <c r="AE182" s="55"/>
      <c r="AF182" s="55"/>
      <c r="AG182" s="55"/>
      <c r="AH182" s="55"/>
      <c r="AI182" s="55"/>
      <c r="AJ182" s="55"/>
      <c r="AK182" s="55"/>
      <c r="AL182" s="55"/>
      <c r="AM182" s="55"/>
      <c r="AN182" s="55"/>
      <c r="AO182" s="55"/>
      <c r="AP182" s="55"/>
      <c r="AQ182" s="55"/>
      <c r="AR182" s="55"/>
      <c r="AS182" s="55"/>
      <c r="AT182" s="55"/>
      <c r="AU182" s="55"/>
      <c r="AV182" s="55"/>
      <c r="AW182" s="55"/>
      <c r="AX182" s="55"/>
      <c r="AY182" s="55"/>
      <c r="BH182" s="221"/>
      <c r="BI182" s="221"/>
    </row>
    <row r="183" spans="1:61" ht="35.25" customHeight="1">
      <c r="C183" s="228"/>
      <c r="D183" s="102"/>
      <c r="E183" s="230"/>
      <c r="F183" s="229"/>
      <c r="G183" s="229"/>
      <c r="H183" s="229"/>
      <c r="I183" s="229"/>
      <c r="J183" s="229"/>
      <c r="K183" s="229"/>
      <c r="L183" s="229"/>
      <c r="M183" s="229"/>
      <c r="N183" s="229"/>
      <c r="O183" s="101"/>
      <c r="P183" s="229"/>
      <c r="Q183" s="229"/>
      <c r="R183" s="229"/>
      <c r="S183" s="229"/>
      <c r="T183" s="180"/>
      <c r="U183" s="57"/>
      <c r="V183" s="57"/>
      <c r="W183" s="57"/>
      <c r="X183" s="57"/>
      <c r="Y183" s="57"/>
      <c r="Z183" s="57"/>
      <c r="AA183" s="55"/>
      <c r="AB183" s="55"/>
      <c r="AC183" s="55"/>
      <c r="AD183" s="55"/>
      <c r="AE183" s="55"/>
      <c r="AF183" s="55"/>
      <c r="AG183" s="55"/>
      <c r="AH183" s="55"/>
      <c r="AI183" s="55"/>
      <c r="AJ183" s="55"/>
      <c r="AK183" s="55"/>
      <c r="AL183" s="55"/>
      <c r="AM183" s="55"/>
      <c r="AN183" s="55"/>
      <c r="AO183" s="55"/>
      <c r="AP183" s="55"/>
      <c r="AQ183" s="55"/>
      <c r="AR183" s="55"/>
      <c r="AS183" s="55"/>
      <c r="AT183" s="55"/>
      <c r="AU183" s="55"/>
      <c r="AV183" s="55"/>
      <c r="AW183" s="55"/>
      <c r="AX183" s="55"/>
      <c r="AY183" s="55"/>
      <c r="BH183" s="221"/>
      <c r="BI183" s="221"/>
    </row>
    <row r="184" spans="1:61" ht="35.25" customHeight="1">
      <c r="C184" s="228"/>
      <c r="D184" s="102"/>
      <c r="E184" s="143"/>
      <c r="F184" s="145"/>
      <c r="G184" s="145"/>
      <c r="H184" s="145"/>
      <c r="I184" s="145"/>
      <c r="J184" s="145"/>
      <c r="K184" s="145"/>
      <c r="L184" s="145"/>
      <c r="M184" s="145"/>
      <c r="N184" s="145"/>
      <c r="O184" s="145"/>
      <c r="P184" s="145"/>
      <c r="Q184" s="145"/>
      <c r="R184" s="145"/>
      <c r="S184" s="145"/>
      <c r="T184" s="144"/>
      <c r="U184" s="57"/>
      <c r="V184" s="57"/>
      <c r="W184" s="57"/>
      <c r="X184" s="57"/>
      <c r="Y184" s="57"/>
      <c r="Z184" s="57"/>
      <c r="AA184" s="55"/>
      <c r="AB184" s="55"/>
      <c r="AC184" s="55"/>
      <c r="AD184" s="55"/>
      <c r="AE184" s="55"/>
      <c r="AF184" s="55"/>
      <c r="AG184" s="55"/>
      <c r="AH184" s="55"/>
      <c r="AI184" s="55"/>
      <c r="AJ184" s="55"/>
      <c r="AK184" s="55"/>
      <c r="AL184" s="55"/>
      <c r="AM184" s="55"/>
      <c r="AN184" s="55"/>
      <c r="AO184" s="55"/>
      <c r="AP184" s="55"/>
      <c r="AQ184" s="55"/>
      <c r="AR184" s="55"/>
      <c r="AS184" s="55"/>
      <c r="AT184" s="55"/>
      <c r="AU184" s="55"/>
      <c r="AV184" s="55"/>
      <c r="AW184" s="55"/>
      <c r="AX184" s="55"/>
      <c r="AY184" s="55"/>
      <c r="BH184" s="221"/>
      <c r="BI184" s="221"/>
    </row>
    <row r="185" spans="1:61" ht="35.25" customHeight="1">
      <c r="C185" s="228"/>
      <c r="D185" s="102"/>
      <c r="E185" s="143"/>
      <c r="F185" s="145"/>
      <c r="G185" s="145"/>
      <c r="H185" s="145"/>
      <c r="I185" s="145"/>
      <c r="J185" s="145"/>
      <c r="K185" s="145"/>
      <c r="L185" s="145"/>
      <c r="M185" s="145"/>
      <c r="N185" s="145"/>
      <c r="O185" s="145"/>
      <c r="P185" s="145"/>
      <c r="Q185" s="145"/>
      <c r="R185" s="145"/>
      <c r="S185" s="145"/>
      <c r="T185" s="144"/>
      <c r="U185" s="57"/>
      <c r="V185" s="57"/>
      <c r="W185" s="57"/>
      <c r="X185" s="57"/>
      <c r="Y185" s="57"/>
      <c r="Z185" s="57"/>
      <c r="AA185" s="55"/>
      <c r="AB185" s="55"/>
      <c r="AC185" s="55"/>
      <c r="AD185" s="55"/>
      <c r="AE185" s="55"/>
      <c r="AF185" s="55"/>
      <c r="AG185" s="55"/>
      <c r="AH185" s="55"/>
      <c r="AI185" s="55"/>
      <c r="AJ185" s="55"/>
      <c r="AK185" s="55"/>
      <c r="AL185" s="55"/>
      <c r="AM185" s="55"/>
      <c r="AN185" s="55"/>
      <c r="AO185" s="55"/>
      <c r="AP185" s="55"/>
      <c r="AQ185" s="55"/>
      <c r="AR185" s="55"/>
      <c r="AS185" s="55"/>
      <c r="AT185" s="55"/>
      <c r="AU185" s="55"/>
      <c r="AV185" s="55"/>
      <c r="AW185" s="55"/>
      <c r="AX185" s="55"/>
      <c r="AY185" s="55"/>
      <c r="BH185" s="221"/>
      <c r="BI185" s="221"/>
    </row>
    <row r="186" spans="1:61" ht="35.25" customHeight="1">
      <c r="C186" s="228"/>
      <c r="D186" s="102"/>
      <c r="E186" s="143"/>
      <c r="F186" s="145"/>
      <c r="G186" s="145"/>
      <c r="H186" s="145"/>
      <c r="I186" s="145"/>
      <c r="J186" s="145"/>
      <c r="K186" s="145"/>
      <c r="L186" s="145"/>
      <c r="M186" s="145"/>
      <c r="N186" s="145"/>
      <c r="O186" s="145"/>
      <c r="P186" s="145"/>
      <c r="Q186" s="145"/>
      <c r="R186" s="145"/>
      <c r="S186" s="145"/>
      <c r="T186" s="144"/>
      <c r="U186" s="57"/>
      <c r="V186" s="57"/>
      <c r="W186" s="57"/>
      <c r="X186" s="57"/>
      <c r="Y186" s="57"/>
      <c r="Z186" s="57"/>
      <c r="AA186" s="55"/>
      <c r="AB186" s="55"/>
      <c r="AC186" s="55"/>
      <c r="AD186" s="55"/>
      <c r="AE186" s="55"/>
      <c r="AF186" s="55"/>
      <c r="AG186" s="55"/>
      <c r="AH186" s="55"/>
      <c r="AI186" s="55"/>
      <c r="AJ186" s="55"/>
      <c r="AK186" s="55"/>
      <c r="AL186" s="55"/>
      <c r="AM186" s="55"/>
      <c r="AN186" s="55"/>
      <c r="AO186" s="55"/>
      <c r="AP186" s="55"/>
      <c r="AQ186" s="55"/>
      <c r="AR186" s="55"/>
      <c r="AS186" s="55"/>
      <c r="AT186" s="55"/>
      <c r="AU186" s="55"/>
      <c r="AV186" s="55"/>
      <c r="AW186" s="55"/>
      <c r="AX186" s="55"/>
      <c r="AY186" s="55"/>
      <c r="BH186" s="221"/>
      <c r="BI186" s="221"/>
    </row>
    <row r="187" spans="1:61" ht="35.25" customHeight="1">
      <c r="C187" s="228"/>
      <c r="D187" s="102"/>
      <c r="E187" s="143"/>
      <c r="F187" s="145"/>
      <c r="G187" s="145"/>
      <c r="H187" s="145"/>
      <c r="I187" s="145"/>
      <c r="J187" s="145"/>
      <c r="K187" s="145"/>
      <c r="L187" s="145"/>
      <c r="M187" s="145"/>
      <c r="N187" s="145"/>
      <c r="O187" s="145"/>
      <c r="P187" s="145"/>
      <c r="Q187" s="145"/>
      <c r="R187" s="145"/>
      <c r="S187" s="145"/>
      <c r="T187" s="144"/>
      <c r="U187" s="57"/>
      <c r="V187" s="57"/>
      <c r="W187" s="57"/>
      <c r="X187" s="57"/>
      <c r="Y187" s="57"/>
      <c r="Z187" s="57"/>
      <c r="AA187" s="55"/>
      <c r="AB187" s="55"/>
      <c r="AC187" s="55"/>
      <c r="AD187" s="55"/>
      <c r="AE187" s="55"/>
      <c r="AF187" s="55"/>
      <c r="AG187" s="55"/>
      <c r="AH187" s="55"/>
      <c r="AI187" s="55"/>
      <c r="AJ187" s="55"/>
      <c r="AK187" s="55"/>
      <c r="AL187" s="55"/>
      <c r="AM187" s="55"/>
      <c r="AN187" s="55"/>
      <c r="AO187" s="55"/>
      <c r="AP187" s="55"/>
      <c r="AQ187" s="55"/>
      <c r="AR187" s="55"/>
      <c r="AS187" s="55"/>
      <c r="AT187" s="55"/>
      <c r="AU187" s="55"/>
      <c r="AV187" s="55"/>
      <c r="AW187" s="55"/>
      <c r="AX187" s="55"/>
      <c r="AY187" s="55"/>
      <c r="BH187" s="221"/>
      <c r="BI187" s="221"/>
    </row>
    <row r="188" spans="1:61" ht="35.25" customHeight="1" thickBot="1">
      <c r="C188" s="228"/>
      <c r="D188" s="102"/>
      <c r="E188" s="143"/>
      <c r="F188" s="145"/>
      <c r="G188" s="145"/>
      <c r="H188" s="145"/>
      <c r="I188" s="145"/>
      <c r="J188" s="145"/>
      <c r="K188" s="145"/>
      <c r="L188" s="145"/>
      <c r="M188" s="145"/>
      <c r="N188" s="145"/>
      <c r="O188" s="145"/>
      <c r="P188" s="145"/>
      <c r="Q188" s="145"/>
      <c r="R188" s="145"/>
      <c r="S188" s="145"/>
      <c r="T188" s="144"/>
      <c r="U188" s="57"/>
      <c r="V188" s="57"/>
      <c r="W188" s="57"/>
      <c r="X188" s="57"/>
      <c r="Y188" s="57"/>
      <c r="Z188" s="57"/>
      <c r="AA188" s="55"/>
      <c r="AB188" s="55"/>
      <c r="AC188" s="55"/>
      <c r="AD188" s="55"/>
      <c r="AE188" s="55"/>
      <c r="AF188" s="55"/>
      <c r="AG188" s="55"/>
      <c r="AH188" s="55"/>
      <c r="AI188" s="55"/>
      <c r="AJ188" s="55"/>
      <c r="AK188" s="55"/>
      <c r="AL188" s="55"/>
      <c r="AM188" s="55"/>
      <c r="AN188" s="55"/>
      <c r="AO188" s="55"/>
      <c r="AP188" s="55"/>
      <c r="AQ188" s="55"/>
      <c r="AR188" s="55"/>
      <c r="AS188" s="55"/>
      <c r="AT188" s="55"/>
      <c r="AU188" s="55"/>
      <c r="AV188" s="55"/>
      <c r="AW188" s="55"/>
      <c r="AX188" s="55"/>
      <c r="AY188" s="55"/>
      <c r="BH188" s="221"/>
      <c r="BI188" s="221"/>
    </row>
    <row r="189" spans="1:61" ht="35.25" customHeight="1" thickTop="1" thickBot="1">
      <c r="A189" s="57"/>
      <c r="B189" s="57"/>
      <c r="C189" s="227" t="s">
        <v>109</v>
      </c>
      <c r="D189" s="91" t="s">
        <v>110</v>
      </c>
      <c r="E189" s="91"/>
      <c r="F189" s="226">
        <f t="shared" ref="F189:T189" si="39">ROUND((SUMPRODUCT($D169:$D188,F169:F188)+SUMPRODUCT($D169:$D188,$E169:$E188,F169:F188))/1000,0)</f>
        <v>2233</v>
      </c>
      <c r="G189" s="226">
        <f t="shared" si="39"/>
        <v>2233</v>
      </c>
      <c r="H189" s="226">
        <f t="shared" si="39"/>
        <v>2233</v>
      </c>
      <c r="I189" s="226">
        <f t="shared" si="39"/>
        <v>2233</v>
      </c>
      <c r="J189" s="226">
        <f t="shared" si="39"/>
        <v>2233</v>
      </c>
      <c r="K189" s="226">
        <f t="shared" si="39"/>
        <v>2233</v>
      </c>
      <c r="L189" s="226">
        <f t="shared" si="39"/>
        <v>2233</v>
      </c>
      <c r="M189" s="226">
        <f t="shared" si="39"/>
        <v>2233</v>
      </c>
      <c r="N189" s="226">
        <f t="shared" si="39"/>
        <v>2233</v>
      </c>
      <c r="O189" s="226">
        <f t="shared" si="39"/>
        <v>2233</v>
      </c>
      <c r="P189" s="225">
        <f t="shared" si="39"/>
        <v>2233</v>
      </c>
      <c r="Q189" s="224">
        <f t="shared" si="39"/>
        <v>2233</v>
      </c>
      <c r="R189" s="224">
        <f t="shared" si="39"/>
        <v>2233</v>
      </c>
      <c r="S189" s="224">
        <f t="shared" si="39"/>
        <v>2233</v>
      </c>
      <c r="T189" s="223">
        <f t="shared" si="39"/>
        <v>2233</v>
      </c>
      <c r="U189" s="57"/>
      <c r="V189" s="57"/>
      <c r="W189" s="57"/>
      <c r="X189" s="57"/>
      <c r="Y189" s="57"/>
      <c r="Z189" s="57"/>
      <c r="AA189" s="55"/>
      <c r="AB189" s="55"/>
      <c r="AC189" s="55"/>
      <c r="AD189" s="55"/>
      <c r="AE189" s="55"/>
      <c r="AF189" s="55"/>
      <c r="AG189" s="55"/>
      <c r="AH189" s="55"/>
      <c r="AI189" s="55"/>
      <c r="AJ189" s="55"/>
      <c r="AK189" s="55"/>
      <c r="AL189" s="55"/>
      <c r="AM189" s="55"/>
      <c r="AN189" s="55"/>
      <c r="AO189" s="55"/>
      <c r="AP189" s="55"/>
      <c r="AQ189" s="55"/>
      <c r="AR189" s="55"/>
      <c r="AS189" s="55"/>
      <c r="AT189" s="55"/>
      <c r="AU189" s="55"/>
      <c r="AV189" s="55"/>
      <c r="AW189" s="55"/>
      <c r="AX189" s="55"/>
      <c r="AY189" s="55"/>
      <c r="BH189" s="221"/>
      <c r="BI189" s="221"/>
    </row>
    <row r="190" spans="1:61" ht="22.5" customHeight="1" thickTop="1">
      <c r="A190" s="57" t="s">
        <v>70</v>
      </c>
      <c r="B190" s="57"/>
      <c r="C190" s="222"/>
      <c r="D190" s="222"/>
      <c r="E190" s="222"/>
      <c r="F190" s="222"/>
      <c r="G190" s="222"/>
      <c r="H190" s="58"/>
      <c r="I190" s="58"/>
      <c r="J190" s="58"/>
      <c r="K190" s="58"/>
      <c r="L190" s="58"/>
      <c r="M190" s="58"/>
      <c r="N190" s="58"/>
      <c r="O190" s="58"/>
      <c r="U190" s="57"/>
      <c r="V190" s="57"/>
      <c r="W190" s="57"/>
      <c r="X190" s="57"/>
      <c r="Y190" s="57"/>
      <c r="Z190" s="57"/>
      <c r="AA190" s="55"/>
      <c r="AB190" s="55"/>
      <c r="AC190" s="55"/>
      <c r="AD190" s="55"/>
      <c r="AE190" s="55"/>
      <c r="AF190" s="55"/>
      <c r="AG190" s="55"/>
      <c r="AH190" s="55"/>
      <c r="AI190" s="55"/>
      <c r="AJ190" s="55"/>
      <c r="AK190" s="55"/>
      <c r="AL190" s="55"/>
      <c r="AM190" s="55"/>
      <c r="AN190" s="55"/>
      <c r="AO190" s="55"/>
      <c r="AP190" s="55"/>
      <c r="AQ190" s="55"/>
      <c r="AR190" s="55"/>
      <c r="AS190" s="55"/>
      <c r="AT190" s="55"/>
      <c r="AU190" s="55"/>
      <c r="AV190" s="55"/>
      <c r="AW190" s="55"/>
      <c r="AX190" s="55"/>
      <c r="AY190" s="55"/>
      <c r="BH190" s="221"/>
      <c r="BI190" s="221"/>
    </row>
    <row r="191" spans="1:61" ht="21">
      <c r="A191" s="57"/>
      <c r="B191" s="57"/>
      <c r="H191" s="221"/>
      <c r="I191" s="221"/>
      <c r="J191" s="221"/>
      <c r="K191" s="221"/>
      <c r="L191" s="221"/>
      <c r="M191" s="221"/>
      <c r="N191" s="221"/>
      <c r="O191" s="221"/>
      <c r="P191" s="221"/>
      <c r="Q191" s="221"/>
      <c r="R191" s="221"/>
      <c r="S191" s="221"/>
      <c r="T191" s="221"/>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BH191" s="221"/>
      <c r="BI191" s="221"/>
    </row>
    <row r="192" spans="1:61" ht="21">
      <c r="A192" s="57"/>
      <c r="B192" s="57"/>
      <c r="U192" s="55"/>
      <c r="V192" s="55"/>
      <c r="W192" s="55"/>
      <c r="X192" s="55"/>
      <c r="Y192" s="55"/>
      <c r="Z192" s="55"/>
      <c r="AA192" s="55"/>
      <c r="AB192" s="55"/>
      <c r="AC192" s="55"/>
      <c r="AD192" s="55"/>
      <c r="AE192" s="55"/>
      <c r="AF192" s="55"/>
      <c r="AG192" s="55"/>
      <c r="AH192" s="55"/>
      <c r="AI192" s="55"/>
      <c r="AJ192" s="55"/>
      <c r="AK192" s="55"/>
      <c r="AL192" s="55"/>
      <c r="AM192" s="55"/>
      <c r="AN192" s="55"/>
      <c r="AO192" s="55"/>
      <c r="AP192" s="55"/>
      <c r="AQ192" s="55"/>
      <c r="AR192" s="55"/>
      <c r="AS192" s="55"/>
      <c r="AT192" s="55"/>
      <c r="AU192" s="55"/>
      <c r="AV192" s="55"/>
      <c r="AW192" s="55"/>
      <c r="AX192" s="55"/>
      <c r="AY192" s="55"/>
    </row>
    <row r="193" spans="1:51" ht="26.25" customHeight="1" thickBot="1">
      <c r="A193" s="57"/>
      <c r="B193" s="57"/>
      <c r="C193" s="57"/>
      <c r="D193" s="57"/>
      <c r="E193" s="57"/>
      <c r="F193" s="57"/>
      <c r="G193" s="57"/>
      <c r="H193" s="57"/>
      <c r="I193" s="57"/>
      <c r="J193" s="57"/>
      <c r="K193" s="57"/>
      <c r="L193" s="57"/>
      <c r="M193" s="57"/>
      <c r="N193" s="57"/>
      <c r="O193" s="57"/>
      <c r="P193" s="57"/>
      <c r="Q193" s="57"/>
      <c r="R193" s="57"/>
      <c r="S193" s="57"/>
      <c r="U193" s="55"/>
      <c r="V193" s="55"/>
      <c r="W193" s="55"/>
      <c r="X193" s="55"/>
      <c r="Y193" s="55"/>
      <c r="Z193" s="55"/>
      <c r="AA193" s="55"/>
      <c r="AB193" s="55"/>
      <c r="AC193" s="55"/>
      <c r="AD193" s="55"/>
      <c r="AE193" s="55"/>
      <c r="AF193" s="55"/>
      <c r="AG193" s="55"/>
      <c r="AH193" s="55"/>
      <c r="AI193" s="55"/>
      <c r="AJ193" s="55"/>
      <c r="AK193" s="55"/>
      <c r="AL193" s="55"/>
      <c r="AM193" s="55"/>
      <c r="AN193" s="55"/>
      <c r="AO193" s="55"/>
      <c r="AP193" s="55"/>
      <c r="AQ193" s="55"/>
      <c r="AR193" s="55"/>
      <c r="AS193" s="55"/>
      <c r="AT193" s="55"/>
      <c r="AU193" s="55"/>
      <c r="AV193" s="55"/>
      <c r="AW193" s="55"/>
      <c r="AX193" s="55"/>
      <c r="AY193" s="55"/>
    </row>
    <row r="194" spans="1:51" ht="28.5" customHeight="1" thickTop="1" thickBot="1">
      <c r="A194" s="57"/>
      <c r="B194" s="57"/>
      <c r="C194" s="57"/>
      <c r="D194" s="57"/>
      <c r="E194" s="57"/>
      <c r="F194" s="57"/>
      <c r="G194" s="57"/>
      <c r="H194" s="57"/>
      <c r="I194" s="57"/>
      <c r="J194" s="57"/>
      <c r="K194" s="57"/>
      <c r="L194" s="57"/>
      <c r="M194" s="57"/>
      <c r="N194" s="57"/>
      <c r="O194" s="57"/>
      <c r="P194" s="152" t="s">
        <v>112</v>
      </c>
      <c r="Q194" s="151"/>
      <c r="R194" s="57"/>
      <c r="S194" s="57"/>
      <c r="U194" s="55"/>
      <c r="V194" s="55"/>
      <c r="W194" s="55"/>
      <c r="X194" s="55"/>
      <c r="Y194" s="55"/>
      <c r="Z194" s="55"/>
      <c r="AA194" s="55"/>
      <c r="AB194" s="55"/>
      <c r="AC194" s="55"/>
      <c r="AD194" s="55"/>
      <c r="AE194" s="55"/>
      <c r="AF194" s="55"/>
      <c r="AG194" s="55"/>
      <c r="AH194" s="55"/>
      <c r="AI194" s="55"/>
      <c r="AJ194" s="55"/>
      <c r="AK194" s="55"/>
      <c r="AL194" s="55"/>
      <c r="AM194" s="55"/>
      <c r="AN194" s="55"/>
      <c r="AO194" s="55"/>
      <c r="AP194" s="55"/>
      <c r="AQ194" s="55"/>
      <c r="AR194" s="55"/>
      <c r="AS194" s="55"/>
      <c r="AT194" s="55"/>
      <c r="AU194" s="55"/>
      <c r="AV194" s="55"/>
      <c r="AW194" s="55"/>
      <c r="AX194" s="55"/>
      <c r="AY194" s="55"/>
    </row>
    <row r="195" spans="1:51" ht="21.6" thickTop="1">
      <c r="A195" s="57"/>
      <c r="B195" s="57"/>
      <c r="C195" s="57"/>
      <c r="D195" s="57"/>
      <c r="E195" s="57"/>
      <c r="F195" s="57"/>
      <c r="G195" s="57"/>
      <c r="H195" s="57"/>
      <c r="I195" s="57"/>
      <c r="J195" s="57"/>
      <c r="K195" s="57"/>
      <c r="L195" s="57"/>
      <c r="M195" s="57"/>
      <c r="N195" s="57"/>
      <c r="O195" s="57"/>
      <c r="P195" s="57"/>
      <c r="Q195" s="57"/>
      <c r="R195" s="57"/>
      <c r="S195" s="57"/>
      <c r="U195" s="55"/>
      <c r="V195" s="55"/>
      <c r="W195" s="55"/>
      <c r="X195" s="55"/>
      <c r="Y195" s="55"/>
      <c r="Z195" s="55"/>
      <c r="AA195" s="55"/>
      <c r="AB195" s="55"/>
      <c r="AC195" s="55"/>
      <c r="AD195" s="55"/>
      <c r="AE195" s="55"/>
      <c r="AF195" s="55"/>
      <c r="AG195" s="55"/>
      <c r="AH195" s="55"/>
      <c r="AI195" s="55"/>
      <c r="AJ195" s="55"/>
      <c r="AK195" s="55"/>
      <c r="AL195" s="55"/>
      <c r="AM195" s="55"/>
      <c r="AN195" s="55"/>
      <c r="AO195" s="55"/>
      <c r="AP195" s="55"/>
      <c r="AQ195" s="55"/>
      <c r="AR195" s="55"/>
      <c r="AS195" s="55"/>
      <c r="AT195" s="55"/>
      <c r="AU195" s="55"/>
      <c r="AV195" s="55"/>
      <c r="AW195" s="55"/>
      <c r="AX195" s="55"/>
      <c r="AY195" s="55"/>
    </row>
    <row r="196" spans="1:51" ht="35.25" customHeight="1">
      <c r="A196" s="57" t="s">
        <v>113</v>
      </c>
      <c r="B196" s="57"/>
      <c r="C196" s="54" t="s">
        <v>114</v>
      </c>
      <c r="D196" s="57"/>
      <c r="E196" s="57"/>
      <c r="F196" s="57"/>
      <c r="G196" s="57"/>
      <c r="H196" s="57"/>
      <c r="I196" s="57"/>
      <c r="J196" s="57"/>
      <c r="K196" s="57"/>
      <c r="L196" s="57"/>
      <c r="M196" s="57"/>
      <c r="N196" s="57"/>
      <c r="O196" s="57"/>
      <c r="R196" s="57"/>
      <c r="S196" s="57"/>
      <c r="U196" s="55"/>
      <c r="V196" s="55"/>
      <c r="W196" s="55"/>
      <c r="X196" s="55"/>
      <c r="Y196" s="55"/>
      <c r="Z196" s="55"/>
      <c r="AA196" s="55"/>
      <c r="AB196" s="55" t="s">
        <v>70</v>
      </c>
      <c r="AC196" s="55"/>
      <c r="AD196" s="55"/>
      <c r="AE196" s="55"/>
      <c r="AF196" s="55"/>
      <c r="AG196" s="55"/>
      <c r="AH196" s="55"/>
      <c r="AI196" s="55"/>
      <c r="AJ196" s="55"/>
      <c r="AK196" s="55"/>
      <c r="AL196" s="55"/>
      <c r="AM196" s="55"/>
      <c r="AN196" s="55"/>
      <c r="AO196" s="55"/>
      <c r="AP196" s="55"/>
      <c r="AQ196" s="55"/>
      <c r="AR196" s="55"/>
      <c r="AS196" s="55"/>
      <c r="AT196" s="55"/>
      <c r="AU196" s="55"/>
      <c r="AV196" s="55"/>
      <c r="AW196" s="55"/>
      <c r="AX196" s="55"/>
      <c r="AY196" s="55"/>
    </row>
    <row r="197" spans="1:51" ht="35.25" customHeight="1">
      <c r="A197" s="57"/>
      <c r="B197" s="57"/>
      <c r="C197" s="54" t="s">
        <v>115</v>
      </c>
      <c r="D197" s="57"/>
      <c r="E197" s="57"/>
      <c r="F197" s="57"/>
      <c r="G197" s="57"/>
      <c r="H197" s="57"/>
      <c r="I197" s="57"/>
      <c r="J197" s="57"/>
      <c r="K197" s="57"/>
      <c r="L197" s="57"/>
      <c r="M197" s="57"/>
      <c r="N197" s="57"/>
      <c r="O197" s="57"/>
      <c r="P197" s="57"/>
      <c r="Q197" s="57"/>
      <c r="R197" s="57"/>
      <c r="S197" s="57"/>
      <c r="U197" s="55"/>
      <c r="V197" s="55"/>
      <c r="W197" s="55"/>
      <c r="X197" s="55"/>
      <c r="Y197" s="55"/>
      <c r="Z197" s="55"/>
      <c r="AA197" s="55"/>
      <c r="AB197" s="55"/>
      <c r="AC197" s="55"/>
      <c r="AD197" s="55"/>
      <c r="AE197" s="55"/>
      <c r="AF197" s="55"/>
      <c r="AG197" s="55"/>
      <c r="AH197" s="55"/>
      <c r="AI197" s="55"/>
      <c r="AJ197" s="55"/>
      <c r="AK197" s="55"/>
      <c r="AL197" s="55"/>
      <c r="AM197" s="55"/>
      <c r="AN197" s="55"/>
      <c r="AO197" s="55"/>
      <c r="AP197" s="55"/>
      <c r="AQ197" s="55"/>
      <c r="AR197" s="55"/>
      <c r="AS197" s="55"/>
      <c r="AT197" s="55"/>
      <c r="AU197" s="55"/>
      <c r="AV197" s="55"/>
      <c r="AW197" s="55"/>
      <c r="AX197" s="55"/>
      <c r="AY197" s="55"/>
    </row>
    <row r="198" spans="1:51" ht="35.25" customHeight="1">
      <c r="A198" s="57"/>
      <c r="B198" s="57"/>
      <c r="C198" s="57"/>
      <c r="D198" s="57"/>
      <c r="E198" s="57"/>
      <c r="F198" s="57"/>
      <c r="G198" s="57"/>
      <c r="H198" s="57"/>
      <c r="I198" s="57"/>
      <c r="J198" s="57"/>
      <c r="K198" s="57"/>
      <c r="L198" s="57"/>
      <c r="M198" s="57"/>
      <c r="N198" s="57"/>
      <c r="O198" s="57"/>
      <c r="P198" s="57"/>
      <c r="Q198" s="57"/>
      <c r="R198" s="57"/>
      <c r="S198" s="57"/>
      <c r="U198" s="55"/>
      <c r="V198" s="55"/>
      <c r="W198" s="55"/>
      <c r="X198" s="55"/>
      <c r="Y198" s="55"/>
      <c r="Z198" s="55"/>
      <c r="AA198" s="55"/>
      <c r="AB198" s="55"/>
      <c r="AC198" s="55"/>
      <c r="AD198" s="55"/>
      <c r="AE198" s="55"/>
      <c r="AF198" s="55"/>
      <c r="AG198" s="55"/>
      <c r="AH198" s="55"/>
      <c r="AI198" s="55"/>
      <c r="AJ198" s="55"/>
      <c r="AK198" s="55"/>
      <c r="AL198" s="55"/>
      <c r="AM198" s="55"/>
      <c r="AN198" s="55"/>
      <c r="AO198" s="55"/>
      <c r="AP198" s="55"/>
      <c r="AQ198" s="55"/>
      <c r="AR198" s="55"/>
      <c r="AS198" s="55"/>
      <c r="AT198" s="55"/>
      <c r="AU198" s="55"/>
      <c r="AV198" s="55"/>
      <c r="AW198" s="55"/>
      <c r="AX198" s="55"/>
      <c r="AY198" s="55"/>
    </row>
    <row r="199" spans="1:51" ht="35.25" customHeight="1" thickBot="1">
      <c r="A199" s="57"/>
      <c r="B199" s="57"/>
      <c r="C199" s="57"/>
      <c r="D199" s="57"/>
      <c r="E199" s="57"/>
      <c r="F199" s="57"/>
      <c r="G199" s="57"/>
      <c r="H199" s="57"/>
      <c r="I199" s="57"/>
      <c r="J199" s="57"/>
      <c r="K199" s="57"/>
      <c r="L199" s="57"/>
      <c r="M199" s="57"/>
      <c r="N199" s="57"/>
      <c r="O199" s="57"/>
      <c r="P199" s="57"/>
      <c r="Q199" s="57"/>
      <c r="R199" s="57"/>
      <c r="S199" s="57"/>
      <c r="U199" s="55"/>
      <c r="V199" s="55"/>
      <c r="W199" s="55"/>
      <c r="X199" s="55"/>
      <c r="Y199" s="55"/>
      <c r="Z199" s="55"/>
      <c r="AA199" s="55"/>
      <c r="AB199" s="55"/>
      <c r="AC199" s="55"/>
      <c r="AD199" s="55"/>
      <c r="AE199" s="55"/>
      <c r="AF199" s="55"/>
      <c r="AG199" s="55"/>
      <c r="AH199" s="55"/>
      <c r="AI199" s="55"/>
      <c r="AJ199" s="55"/>
      <c r="AK199" s="55"/>
      <c r="AL199" s="55"/>
      <c r="AM199" s="55"/>
      <c r="AN199" s="55"/>
      <c r="AO199" s="55"/>
      <c r="AP199" s="55"/>
      <c r="AQ199" s="55"/>
      <c r="AR199" s="55"/>
      <c r="AS199" s="55"/>
      <c r="AT199" s="55"/>
      <c r="AU199" s="55"/>
      <c r="AV199" s="55"/>
      <c r="AW199" s="55"/>
      <c r="AX199" s="55"/>
      <c r="AY199" s="55"/>
    </row>
    <row r="200" spans="1:51" ht="35.25" customHeight="1" thickTop="1">
      <c r="A200" s="57"/>
      <c r="B200" s="57"/>
      <c r="C200" s="57"/>
      <c r="D200" s="220" t="s">
        <v>116</v>
      </c>
      <c r="E200" s="219" t="str">
        <f>"  "&amp;'Financial Stat.'!C318</f>
        <v xml:space="preserve">    2026</v>
      </c>
      <c r="F200" s="219" t="str">
        <f>"  "&amp;'Financial Stat.'!D318</f>
        <v xml:space="preserve">    2027</v>
      </c>
      <c r="G200" s="219" t="str">
        <f>"  "&amp;'Financial Stat.'!E318</f>
        <v xml:space="preserve">    2028</v>
      </c>
      <c r="H200" s="219" t="str">
        <f>"  "&amp;'Financial Stat.'!F318</f>
        <v xml:space="preserve">    2029</v>
      </c>
      <c r="I200" s="219" t="str">
        <f>"  "&amp;'Financial Stat.'!G318</f>
        <v xml:space="preserve">    2030</v>
      </c>
      <c r="J200" s="219" t="str">
        <f>"  "&amp;'Financial Stat.'!H318</f>
        <v xml:space="preserve">    2031</v>
      </c>
      <c r="K200" s="219" t="str">
        <f>"  "&amp;'Financial Stat.'!I318</f>
        <v xml:space="preserve">    2032</v>
      </c>
      <c r="L200" s="219" t="str">
        <f>"  "&amp;'Financial Stat.'!J318</f>
        <v xml:space="preserve">    2033</v>
      </c>
      <c r="M200" s="219" t="str">
        <f>"  "&amp;'Financial Stat.'!K318</f>
        <v xml:space="preserve">    2034</v>
      </c>
      <c r="N200" s="219" t="str">
        <f>"  "&amp;'Financial Stat.'!L318</f>
        <v xml:space="preserve">    2035</v>
      </c>
      <c r="O200" s="219" t="str">
        <f>"  "&amp;'Financial Stat.'!M318</f>
        <v xml:space="preserve">    2036</v>
      </c>
      <c r="P200" s="219" t="str">
        <f>"  "&amp;'Financial Stat.'!N318</f>
        <v xml:space="preserve">    2037</v>
      </c>
      <c r="Q200" s="219" t="str">
        <f>"  "&amp;'Financial Stat.'!O318</f>
        <v xml:space="preserve">    2038</v>
      </c>
      <c r="R200" s="219" t="str">
        <f>"  "&amp;'Financial Stat.'!P318</f>
        <v xml:space="preserve">    2039</v>
      </c>
      <c r="S200" s="218" t="str">
        <f>"  "&amp;'Financial Stat.'!Q318</f>
        <v xml:space="preserve">    2040</v>
      </c>
      <c r="T200" s="55"/>
      <c r="U200" s="55"/>
      <c r="V200" s="55"/>
      <c r="W200" s="55"/>
      <c r="X200" s="55"/>
      <c r="Y200" s="55"/>
      <c r="Z200" s="55"/>
      <c r="AA200" s="55"/>
      <c r="AB200" s="55"/>
      <c r="AC200" s="55"/>
      <c r="AD200" s="55"/>
      <c r="AE200" s="55"/>
      <c r="AF200" s="55"/>
      <c r="AG200" s="55"/>
      <c r="AH200" s="55"/>
      <c r="AI200" s="55"/>
      <c r="AJ200" s="55"/>
      <c r="AK200" s="55"/>
      <c r="AL200" s="55"/>
      <c r="AM200" s="55"/>
      <c r="AN200" s="55"/>
      <c r="AO200" s="55"/>
      <c r="AP200" s="55"/>
      <c r="AQ200" s="55"/>
      <c r="AR200" s="55"/>
      <c r="AS200" s="55"/>
      <c r="AT200" s="55"/>
      <c r="AU200" s="55"/>
      <c r="AV200" s="55"/>
      <c r="AW200" s="55"/>
      <c r="AX200" s="55"/>
      <c r="AY200" s="55"/>
    </row>
    <row r="201" spans="1:51" ht="35.25" customHeight="1" thickBot="1">
      <c r="A201" s="57"/>
      <c r="B201" s="57"/>
      <c r="C201" s="57"/>
      <c r="D201" s="217" t="s">
        <v>117</v>
      </c>
      <c r="E201" s="216" t="s">
        <v>117</v>
      </c>
      <c r="F201" s="216" t="s">
        <v>117</v>
      </c>
      <c r="G201" s="216" t="s">
        <v>117</v>
      </c>
      <c r="H201" s="216" t="s">
        <v>117</v>
      </c>
      <c r="I201" s="216" t="s">
        <v>117</v>
      </c>
      <c r="J201" s="216" t="s">
        <v>117</v>
      </c>
      <c r="K201" s="216" t="s">
        <v>117</v>
      </c>
      <c r="L201" s="216" t="s">
        <v>117</v>
      </c>
      <c r="M201" s="216" t="s">
        <v>117</v>
      </c>
      <c r="N201" s="216" t="s">
        <v>117</v>
      </c>
      <c r="O201" s="216" t="s">
        <v>117</v>
      </c>
      <c r="P201" s="216" t="s">
        <v>117</v>
      </c>
      <c r="Q201" s="216" t="s">
        <v>117</v>
      </c>
      <c r="R201" s="216" t="s">
        <v>117</v>
      </c>
      <c r="S201" s="215" t="s">
        <v>117</v>
      </c>
      <c r="T201" s="55"/>
      <c r="U201" s="55"/>
      <c r="V201" s="55"/>
      <c r="W201" s="55"/>
      <c r="X201" s="55"/>
      <c r="Y201" s="55"/>
      <c r="Z201" s="55"/>
      <c r="AA201" s="55"/>
      <c r="AB201" s="55"/>
      <c r="AC201" s="55"/>
      <c r="AD201" s="55"/>
      <c r="AE201" s="55"/>
      <c r="AF201" s="55"/>
      <c r="AG201" s="55"/>
      <c r="AH201" s="55"/>
      <c r="AI201" s="55"/>
      <c r="AJ201" s="55"/>
      <c r="AK201" s="55"/>
      <c r="AL201" s="55"/>
      <c r="AM201" s="55"/>
      <c r="AN201" s="55"/>
      <c r="AO201" s="55"/>
      <c r="AP201" s="55"/>
      <c r="AQ201" s="55"/>
      <c r="AR201" s="55"/>
      <c r="AS201" s="55"/>
      <c r="AT201" s="55"/>
      <c r="AU201" s="55"/>
      <c r="AV201" s="55"/>
      <c r="AW201" s="55"/>
      <c r="AX201" s="55"/>
      <c r="AY201" s="55"/>
    </row>
    <row r="202" spans="1:51" ht="35.25" customHeight="1" thickTop="1">
      <c r="A202" s="57"/>
      <c r="B202" s="57"/>
      <c r="C202" s="113"/>
      <c r="D202" s="214" t="s">
        <v>70</v>
      </c>
      <c r="E202" s="213" t="s">
        <v>70</v>
      </c>
      <c r="F202" s="213" t="s">
        <v>70</v>
      </c>
      <c r="G202" s="213" t="s">
        <v>70</v>
      </c>
      <c r="H202" s="213" t="s">
        <v>70</v>
      </c>
      <c r="I202" s="213" t="s">
        <v>70</v>
      </c>
      <c r="J202" s="213" t="s">
        <v>70</v>
      </c>
      <c r="K202" s="213" t="s">
        <v>70</v>
      </c>
      <c r="L202" s="213" t="s">
        <v>70</v>
      </c>
      <c r="M202" s="213" t="s">
        <v>70</v>
      </c>
      <c r="N202" s="213" t="s">
        <v>70</v>
      </c>
      <c r="O202" s="213" t="s">
        <v>70</v>
      </c>
      <c r="P202" s="213" t="s">
        <v>70</v>
      </c>
      <c r="Q202" s="213" t="s">
        <v>70</v>
      </c>
      <c r="R202" s="213" t="s">
        <v>70</v>
      </c>
      <c r="S202" s="212" t="s">
        <v>70</v>
      </c>
      <c r="T202" s="55"/>
      <c r="U202" s="55"/>
      <c r="V202" s="55"/>
      <c r="W202" s="55"/>
      <c r="X202" s="55"/>
      <c r="Y202" s="55"/>
      <c r="Z202" s="55"/>
      <c r="AA202" s="55"/>
      <c r="AB202" s="55"/>
      <c r="AC202" s="55">
        <f>BASEYEAR</f>
        <v>2025</v>
      </c>
      <c r="AD202" s="55">
        <f t="shared" ref="AD202:AV202" si="40">AC202+1</f>
        <v>2026</v>
      </c>
      <c r="AE202" s="55">
        <f t="shared" si="40"/>
        <v>2027</v>
      </c>
      <c r="AF202" s="55">
        <f t="shared" si="40"/>
        <v>2028</v>
      </c>
      <c r="AG202" s="55">
        <f t="shared" si="40"/>
        <v>2029</v>
      </c>
      <c r="AH202" s="55">
        <f t="shared" si="40"/>
        <v>2030</v>
      </c>
      <c r="AI202" s="55">
        <f t="shared" si="40"/>
        <v>2031</v>
      </c>
      <c r="AJ202" s="55">
        <f t="shared" si="40"/>
        <v>2032</v>
      </c>
      <c r="AK202" s="55">
        <f t="shared" si="40"/>
        <v>2033</v>
      </c>
      <c r="AL202" s="55">
        <f t="shared" si="40"/>
        <v>2034</v>
      </c>
      <c r="AM202" s="55">
        <f t="shared" si="40"/>
        <v>2035</v>
      </c>
      <c r="AN202" s="55">
        <f t="shared" si="40"/>
        <v>2036</v>
      </c>
      <c r="AO202" s="55">
        <f t="shared" si="40"/>
        <v>2037</v>
      </c>
      <c r="AP202" s="55">
        <f t="shared" si="40"/>
        <v>2038</v>
      </c>
      <c r="AQ202" s="55">
        <f t="shared" si="40"/>
        <v>2039</v>
      </c>
      <c r="AR202" s="55">
        <f t="shared" si="40"/>
        <v>2040</v>
      </c>
      <c r="AS202" s="55">
        <f t="shared" si="40"/>
        <v>2041</v>
      </c>
      <c r="AT202" s="55">
        <f t="shared" si="40"/>
        <v>2042</v>
      </c>
      <c r="AU202" s="55">
        <f t="shared" si="40"/>
        <v>2043</v>
      </c>
      <c r="AV202" s="55">
        <f t="shared" si="40"/>
        <v>2044</v>
      </c>
      <c r="AW202" s="55"/>
      <c r="AX202" s="55"/>
      <c r="AY202" s="55"/>
    </row>
    <row r="203" spans="1:51" ht="35.25" customHeight="1">
      <c r="A203" s="57"/>
      <c r="B203" s="57"/>
      <c r="C203" s="76" t="s">
        <v>118</v>
      </c>
      <c r="D203" s="211">
        <v>0.97</v>
      </c>
      <c r="E203" s="210">
        <f t="shared" ref="E203:S203" si="41">IF(ISERR((H42/MAX($H42:$Q42))*$D203),0,(H42/MAX($H42:$Q42))*$D203)</f>
        <v>0.58551528878822201</v>
      </c>
      <c r="F203" s="210">
        <f t="shared" si="41"/>
        <v>0.65582106455266131</v>
      </c>
      <c r="G203" s="210">
        <f t="shared" si="41"/>
        <v>0.74150622876557193</v>
      </c>
      <c r="H203" s="210">
        <f t="shared" si="41"/>
        <v>0.84257078142695352</v>
      </c>
      <c r="I203" s="210">
        <f t="shared" si="41"/>
        <v>0.97</v>
      </c>
      <c r="J203" s="210">
        <f t="shared" si="41"/>
        <v>0.97</v>
      </c>
      <c r="K203" s="210">
        <f t="shared" si="41"/>
        <v>0.97</v>
      </c>
      <c r="L203" s="210">
        <f t="shared" si="41"/>
        <v>0.97</v>
      </c>
      <c r="M203" s="210">
        <f t="shared" si="41"/>
        <v>0.97</v>
      </c>
      <c r="N203" s="210">
        <f t="shared" si="41"/>
        <v>0.97</v>
      </c>
      <c r="O203" s="210">
        <f t="shared" si="41"/>
        <v>0.97</v>
      </c>
      <c r="P203" s="210">
        <f t="shared" si="41"/>
        <v>0.97</v>
      </c>
      <c r="Q203" s="210">
        <f t="shared" si="41"/>
        <v>0.97</v>
      </c>
      <c r="R203" s="210">
        <f t="shared" si="41"/>
        <v>0.97</v>
      </c>
      <c r="S203" s="209">
        <f t="shared" si="41"/>
        <v>0.97</v>
      </c>
      <c r="T203" s="55"/>
      <c r="U203" s="55"/>
      <c r="V203" s="55"/>
      <c r="W203" s="55"/>
      <c r="X203" s="55"/>
      <c r="Y203" s="55"/>
      <c r="Z203" s="55"/>
      <c r="AA203" s="55"/>
      <c r="AB203" s="55" t="s">
        <v>119</v>
      </c>
      <c r="AC203" s="55" t="s">
        <v>70</v>
      </c>
      <c r="AD203" s="55"/>
      <c r="AE203" s="55"/>
      <c r="AF203" s="55"/>
      <c r="AG203" s="55"/>
      <c r="AH203" s="55"/>
      <c r="AI203" s="55"/>
      <c r="AJ203" s="55"/>
      <c r="AK203" s="55"/>
      <c r="AL203" s="55"/>
      <c r="AM203" s="55"/>
      <c r="AN203" s="55"/>
      <c r="AO203" s="55"/>
      <c r="AP203" s="55"/>
      <c r="AQ203" s="55"/>
      <c r="AR203" s="55"/>
      <c r="AS203" s="55"/>
      <c r="AT203" s="55"/>
      <c r="AU203" s="55"/>
      <c r="AV203" s="55"/>
      <c r="AW203" s="55"/>
    </row>
    <row r="204" spans="1:51" ht="35.25" customHeight="1">
      <c r="A204" s="57"/>
      <c r="B204" s="57"/>
      <c r="C204" s="76"/>
      <c r="D204" s="95"/>
      <c r="E204" s="208"/>
      <c r="F204" s="208"/>
      <c r="G204" s="208"/>
      <c r="H204" s="208"/>
      <c r="I204" s="208"/>
      <c r="J204" s="208"/>
      <c r="K204" s="208"/>
      <c r="L204" s="208"/>
      <c r="M204" s="208"/>
      <c r="N204" s="208"/>
      <c r="O204" s="208"/>
      <c r="P204" s="208"/>
      <c r="Q204" s="208"/>
      <c r="R204" s="208"/>
      <c r="S204" s="207"/>
      <c r="T204" s="55"/>
      <c r="U204" s="55"/>
      <c r="V204" s="55"/>
      <c r="W204" s="55"/>
      <c r="X204" s="55"/>
      <c r="Y204" s="55"/>
      <c r="Z204" s="55"/>
      <c r="AA204" s="55"/>
      <c r="AB204" s="55" t="s">
        <v>31</v>
      </c>
      <c r="AC204" s="55">
        <f t="shared" ref="AC204:AC209" si="42">IF($D334=0,0,ROUND(IF($D334*$D227&gt;$D334-$E334,$D334-$E334,$D334*$D227),0))</f>
        <v>0</v>
      </c>
      <c r="AD204" s="55">
        <f t="shared" ref="AD204:AD209" si="43">IF($D334=0,0,ROUND(IF($D334*$D227&gt;$D334-($E334+AC204),$D334-$E334-AC204,$D334*$D227),0))</f>
        <v>0</v>
      </c>
      <c r="AE204" s="55">
        <f>IF($D334=0,0,ROUND(IF($D334*$D227&gt;$D334-($E334+SUM($AC204:AD204)),$D334-$E334-SUM($AC204:AD204),$D334*$D227),0))</f>
        <v>0</v>
      </c>
      <c r="AF204" s="55">
        <f>IF($D334=0,0,ROUND(IF($D334*$D227&gt;$D334-($E334+SUM($AC204:AE204)),$D334-$E334-SUM($AC204:AE204),$D334*$D227),0))</f>
        <v>0</v>
      </c>
      <c r="AG204" s="55">
        <f>IF($D334=0,0,ROUND(IF($D334*$D227&gt;$D334-($E334+SUM($AC204:AF204)),$D334-$E334-SUM($AC204:AF204),$D334*$D227),0))</f>
        <v>0</v>
      </c>
      <c r="AH204" s="55">
        <f>IF($D334=0,0,ROUND(IF($D334*$D227&gt;$D334-($E334+SUM($AC204:AG204)),$D334-$E334-SUM($AC204:AG204),$D334*$D227),0))</f>
        <v>0</v>
      </c>
      <c r="AI204" s="55">
        <f>IF($D334=0,0,ROUND(IF($D334*$D227&gt;$D334-($E334+SUM($AC204:AH204)),$D334-$E334-SUM($AC204:AH204),$D334*$D227),0))</f>
        <v>0</v>
      </c>
      <c r="AJ204" s="55">
        <f>IF($D334=0,0,ROUND(IF($D334*$D227&gt;$D334-($E334+SUM($AC204:AI204)),$D334-$E334-SUM($AC204:AI204),$D334*$D227),0))</f>
        <v>0</v>
      </c>
      <c r="AK204" s="55">
        <f>IF($D334=0,0,ROUND(IF($D334*$D227&gt;$D334-($E334+SUM($AC204:AJ204)),$D334-$E334-SUM($AC204:AJ204),$D334*$D227),0))</f>
        <v>0</v>
      </c>
      <c r="AL204" s="55">
        <f>IF($D334=0,0,ROUND(IF($D334*$D227&gt;$D334-($E334+SUM($AC204:AK204)),$D334-$E334-SUM($AC204:AK204),$D334*$D227),0))</f>
        <v>0</v>
      </c>
      <c r="AM204" s="55">
        <f>IF($D334=0,0,ROUND(IF($D334*$D227&gt;$D334-($E334+SUM($AC204:AL204)),$D334-$E334-SUM($AC204:AL204),$D334*$D227),0))</f>
        <v>0</v>
      </c>
      <c r="AN204" s="55">
        <f>IF($D334=0,0,ROUND(IF($D334*$D227&gt;$D334-($E334+SUM($AC204:AM204)),$D334-$E334-SUM($AC204:AM204),$D334*$D227),0))</f>
        <v>0</v>
      </c>
      <c r="AO204" s="55">
        <f>IF($D334=0,0,ROUND(IF($D334*$D227&gt;$D334-($E334+SUM($AC204:AN204)),$D334-$E334-SUM($AC204:AN204),$D334*$D227),0))</f>
        <v>0</v>
      </c>
      <c r="AP204" s="55">
        <f>IF($D334=0,0,ROUND(IF($D334*$D227&gt;$D334-($E334+SUM($AC204:AO204)),$D334-$E334-SUM($AC204:AO204),$D334*$D227),0))</f>
        <v>0</v>
      </c>
      <c r="AQ204" s="55">
        <f>IF($D334=0,0,ROUND(IF($D334*$D227&gt;$D334-($E334+SUM($AC204:AP204)),$D334-$E334-SUM($AC204:AP204),$D334*$D227),0))</f>
        <v>0</v>
      </c>
      <c r="AR204" s="55">
        <f>IF($D334=0,0,ROUND(IF($D334*$D227&gt;$D334-($E334+SUM($AC204:AQ204)),$D334-$E334-SUM($AC204:AQ204),$D334*$D227),0))</f>
        <v>0</v>
      </c>
      <c r="AS204" s="55">
        <f>IF($D334=0,0,ROUND(IF($D334*$D227&gt;$D334-($E334+SUM($AC204:AR204)),$D334-$E334-SUM($AC204:AR204),$D334*$D227),0))</f>
        <v>0</v>
      </c>
      <c r="AT204" s="55">
        <f>IF($D334=0,0,ROUND(IF($D334*$D227&gt;$D334-($E334+SUM($AC204:AS204)),$D334-$E334-SUM($AC204:AS204),$D334*$D227),0))</f>
        <v>0</v>
      </c>
      <c r="AU204" s="55">
        <f>IF($D334=0,0,ROUND(IF($D334*$D227&gt;$D334-($E334+SUM($AC204:AT204)),$D334-$E334-SUM($AC204:AT204),$D334*$D227),0))</f>
        <v>0</v>
      </c>
      <c r="AV204" s="55">
        <f>IF($D334=0,0,ROUND(IF($D334*$D227&gt;$D334-($E334+SUM($AC204:AU204)),$D334-$E334-SUM($AC204:AU204),$D334*$D227),0))</f>
        <v>0</v>
      </c>
      <c r="AW204" s="55"/>
    </row>
    <row r="205" spans="1:51" ht="35.25" customHeight="1">
      <c r="C205" s="76" t="s">
        <v>120</v>
      </c>
      <c r="D205" s="206">
        <v>25</v>
      </c>
      <c r="E205" s="205">
        <f t="shared" ref="E205:S209" si="44">IF(ISERR((E$203/$D$203)*$D205),0,ROUND((E$203/$D$203)*$D205,0))</f>
        <v>15</v>
      </c>
      <c r="F205" s="205">
        <f t="shared" si="44"/>
        <v>17</v>
      </c>
      <c r="G205" s="205">
        <f t="shared" si="44"/>
        <v>19</v>
      </c>
      <c r="H205" s="205">
        <f t="shared" si="44"/>
        <v>22</v>
      </c>
      <c r="I205" s="205">
        <f t="shared" si="44"/>
        <v>25</v>
      </c>
      <c r="J205" s="205">
        <f t="shared" si="44"/>
        <v>25</v>
      </c>
      <c r="K205" s="205">
        <f t="shared" si="44"/>
        <v>25</v>
      </c>
      <c r="L205" s="205">
        <f t="shared" si="44"/>
        <v>25</v>
      </c>
      <c r="M205" s="205">
        <f t="shared" si="44"/>
        <v>25</v>
      </c>
      <c r="N205" s="205">
        <f t="shared" si="44"/>
        <v>25</v>
      </c>
      <c r="O205" s="205">
        <f t="shared" si="44"/>
        <v>25</v>
      </c>
      <c r="P205" s="205">
        <f t="shared" si="44"/>
        <v>25</v>
      </c>
      <c r="Q205" s="205">
        <f t="shared" si="44"/>
        <v>25</v>
      </c>
      <c r="R205" s="205">
        <f t="shared" si="44"/>
        <v>25</v>
      </c>
      <c r="S205" s="204">
        <f t="shared" si="44"/>
        <v>25</v>
      </c>
      <c r="T205" s="55"/>
      <c r="U205" s="55"/>
      <c r="V205" s="55"/>
      <c r="W205" s="55"/>
      <c r="X205" s="55"/>
      <c r="Y205" s="55"/>
      <c r="Z205" s="55"/>
      <c r="AA205" s="55"/>
      <c r="AB205" s="55" t="s">
        <v>32</v>
      </c>
      <c r="AC205" s="55">
        <f t="shared" si="42"/>
        <v>0</v>
      </c>
      <c r="AD205" s="55">
        <f t="shared" si="43"/>
        <v>0</v>
      </c>
      <c r="AE205" s="55">
        <f>IF($D335=0,0,ROUND(IF($D335*$D228&gt;$D335-($E335+SUM($AC205:AD205)),$D335-$E335-SUM($AC205:AD205),$D335*$D228),0))</f>
        <v>0</v>
      </c>
      <c r="AF205" s="55">
        <f>IF($D335=0,0,ROUND(IF($D335*$D228&gt;$D335-($E335+SUM($AC205:AE205)),$D335-$E335-SUM($AC205:AE205),$D335*$D228),0))</f>
        <v>0</v>
      </c>
      <c r="AG205" s="55">
        <f>IF($D335=0,0,ROUND(IF($D335*$D228&gt;$D335-($E335+SUM($AC205:AF205)),$D335-$E335-SUM($AC205:AF205),$D335*$D228),0))</f>
        <v>0</v>
      </c>
      <c r="AH205" s="55">
        <f>IF($D335=0,0,ROUND(IF($D335*$D228&gt;$D335-($E335+SUM($AC205:AG205)),$D335-$E335-SUM($AC205:AG205),$D335*$D228),0))</f>
        <v>0</v>
      </c>
      <c r="AI205" s="55">
        <f>IF($D335=0,0,ROUND(IF($D335*$D228&gt;$D335-($E335+SUM($AC205:AH205)),$D335-$E335-SUM($AC205:AH205),$D335*$D228),0))</f>
        <v>0</v>
      </c>
      <c r="AJ205" s="55">
        <f>IF($D335=0,0,ROUND(IF($D335*$D228&gt;$D335-($E335+SUM($AC205:AI205)),$D335-$E335-SUM($AC205:AI205),$D335*$D228),0))</f>
        <v>0</v>
      </c>
      <c r="AK205" s="55">
        <f>IF($D335=0,0,ROUND(IF($D335*$D228&gt;$D335-($E335+SUM($AC205:AJ205)),$D335-$E335-SUM($AC205:AJ205),$D335*$D228),0))</f>
        <v>0</v>
      </c>
      <c r="AL205" s="55">
        <f>IF($D335=0,0,ROUND(IF($D335*$D228&gt;$D335-($E335+SUM($AC205:AK205)),$D335-$E335-SUM($AC205:AK205),$D335*$D228),0))</f>
        <v>0</v>
      </c>
      <c r="AM205" s="55">
        <f>IF($D335=0,0,ROUND(IF($D335*$D228&gt;$D335-($E335+SUM($AC205:AL205)),$D335-$E335-SUM($AC205:AL205),$D335*$D228),0))</f>
        <v>0</v>
      </c>
      <c r="AN205" s="55">
        <f>IF($D335=0,0,ROUND(IF($D335*$D228&gt;$D335-($E335+SUM($AC205:AM205)),$D335-$E335-SUM($AC205:AM205),$D335*$D228),0))</f>
        <v>0</v>
      </c>
      <c r="AO205" s="55">
        <f>IF($D335=0,0,ROUND(IF($D335*$D228&gt;$D335-($E335+SUM($AC205:AN205)),$D335-$E335-SUM($AC205:AN205),$D335*$D228),0))</f>
        <v>0</v>
      </c>
      <c r="AP205" s="55">
        <f>IF($D335=0,0,ROUND(IF($D335*$D228&gt;$D335-($E335+SUM($AC205:AO205)),$D335-$E335-SUM($AC205:AO205),$D335*$D228),0))</f>
        <v>0</v>
      </c>
      <c r="AQ205" s="55">
        <f>IF($D335=0,0,ROUND(IF($D335*$D228&gt;$D335-($E335+SUM($AC205:AP205)),$D335-$E335-SUM($AC205:AP205),$D335*$D228),0))</f>
        <v>0</v>
      </c>
      <c r="AR205" s="55">
        <f>IF($D335=0,0,ROUND(IF($D335*$D228&gt;$D335-($E335+SUM($AC205:AQ205)),$D335-$E335-SUM($AC205:AQ205),$D335*$D228),0))</f>
        <v>0</v>
      </c>
      <c r="AS205" s="55">
        <f>IF($D335=0,0,ROUND(IF($D335*$D228&gt;$D335-($E335+SUM($AC205:AR205)),$D335-$E335-SUM($AC205:AR205),$D335*$D228),0))</f>
        <v>0</v>
      </c>
      <c r="AT205" s="55">
        <f>IF($D335=0,0,ROUND(IF($D335*$D228&gt;$D335-($E335+SUM($AC205:AS205)),$D335-$E335-SUM($AC205:AS205),$D335*$D228),0))</f>
        <v>0</v>
      </c>
      <c r="AU205" s="55">
        <f>IF($D335=0,0,ROUND(IF($D335*$D228&gt;$D335-($E335+SUM($AC205:AT205)),$D335-$E335-SUM($AC205:AT205),$D335*$D228),0))</f>
        <v>0</v>
      </c>
      <c r="AV205" s="55">
        <f>IF($D335=0,0,ROUND(IF($D335*$D228&gt;$D335-($E335+SUM($AC205:AU205)),$D335-$E335-SUM($AC205:AU205),$D335*$D228),0))</f>
        <v>0</v>
      </c>
      <c r="AW205" s="55"/>
    </row>
    <row r="206" spans="1:51" ht="35.25" customHeight="1">
      <c r="C206" s="76" t="s">
        <v>121</v>
      </c>
      <c r="D206" s="206">
        <v>1880</v>
      </c>
      <c r="E206" s="205">
        <f t="shared" si="44"/>
        <v>1135</v>
      </c>
      <c r="F206" s="205">
        <f t="shared" si="44"/>
        <v>1271</v>
      </c>
      <c r="G206" s="205">
        <f t="shared" si="44"/>
        <v>1437</v>
      </c>
      <c r="H206" s="205">
        <f t="shared" si="44"/>
        <v>1633</v>
      </c>
      <c r="I206" s="205">
        <f t="shared" si="44"/>
        <v>1880</v>
      </c>
      <c r="J206" s="205">
        <f t="shared" si="44"/>
        <v>1880</v>
      </c>
      <c r="K206" s="205">
        <f t="shared" si="44"/>
        <v>1880</v>
      </c>
      <c r="L206" s="205">
        <f t="shared" si="44"/>
        <v>1880</v>
      </c>
      <c r="M206" s="205">
        <f t="shared" si="44"/>
        <v>1880</v>
      </c>
      <c r="N206" s="205">
        <f t="shared" si="44"/>
        <v>1880</v>
      </c>
      <c r="O206" s="205">
        <f t="shared" si="44"/>
        <v>1880</v>
      </c>
      <c r="P206" s="205">
        <f t="shared" si="44"/>
        <v>1880</v>
      </c>
      <c r="Q206" s="205">
        <f t="shared" si="44"/>
        <v>1880</v>
      </c>
      <c r="R206" s="205">
        <f t="shared" si="44"/>
        <v>1880</v>
      </c>
      <c r="S206" s="204">
        <f t="shared" si="44"/>
        <v>1880</v>
      </c>
      <c r="T206" s="55"/>
      <c r="U206" s="55"/>
      <c r="V206" s="55"/>
      <c r="W206" s="55"/>
      <c r="X206" s="55"/>
      <c r="Y206" s="55"/>
      <c r="Z206" s="55"/>
      <c r="AA206" s="55"/>
      <c r="AB206" s="55" t="s">
        <v>33</v>
      </c>
      <c r="AC206" s="55">
        <f t="shared" si="42"/>
        <v>0</v>
      </c>
      <c r="AD206" s="55">
        <f t="shared" si="43"/>
        <v>0</v>
      </c>
      <c r="AE206" s="55">
        <f>IF($D336=0,0,ROUND(IF($D336*$D229&gt;$D336-($E336+SUM($AC206:AD206)),$D336-$E336-SUM($AC206:AD206),$D336*$D229),0))</f>
        <v>0</v>
      </c>
      <c r="AF206" s="55">
        <f>IF($D336=0,0,ROUND(IF($D336*$D229&gt;$D336-($E336+SUM($AC206:AE206)),$D336-$E336-SUM($AC206:AE206),$D336*$D229),0))</f>
        <v>0</v>
      </c>
      <c r="AG206" s="55">
        <f>IF($D336=0,0,ROUND(IF($D336*$D229&gt;$D336-($E336+SUM($AC206:AF206)),$D336-$E336-SUM($AC206:AF206),$D336*$D229),0))</f>
        <v>0</v>
      </c>
      <c r="AH206" s="55">
        <f>IF($D336=0,0,ROUND(IF($D336*$D229&gt;$D336-($E336+SUM($AC206:AG206)),$D336-$E336-SUM($AC206:AG206),$D336*$D229),0))</f>
        <v>0</v>
      </c>
      <c r="AI206" s="55">
        <f>IF($D336=0,0,ROUND(IF($D336*$D229&gt;$D336-($E336+SUM($AC206:AH206)),$D336-$E336-SUM($AC206:AH206),$D336*$D229),0))</f>
        <v>0</v>
      </c>
      <c r="AJ206" s="55">
        <f>IF($D336=0,0,ROUND(IF($D336*$D229&gt;$D336-($E336+SUM($AC206:AI206)),$D336-$E336-SUM($AC206:AI206),$D336*$D229),0))</f>
        <v>0</v>
      </c>
      <c r="AK206" s="55">
        <f>IF($D336=0,0,ROUND(IF($D336*$D229&gt;$D336-($E336+SUM($AC206:AJ206)),$D336-$E336-SUM($AC206:AJ206),$D336*$D229),0))</f>
        <v>0</v>
      </c>
      <c r="AL206" s="55">
        <f>IF($D336=0,0,ROUND(IF($D336*$D229&gt;$D336-($E336+SUM($AC206:AK206)),$D336-$E336-SUM($AC206:AK206),$D336*$D229),0))</f>
        <v>0</v>
      </c>
      <c r="AM206" s="55">
        <f>IF($D336=0,0,ROUND(IF($D336*$D229&gt;$D336-($E336+SUM($AC206:AL206)),$D336-$E336-SUM($AC206:AL206),$D336*$D229),0))</f>
        <v>0</v>
      </c>
      <c r="AN206" s="55"/>
      <c r="AO206" s="55">
        <f>IF($D336=0,0,ROUND(IF($D336*$D229&gt;$D336-($E336+SUM($AC206:AN206)),$D336-$E336-SUM($AC206:AN206),$D336*$D229),0))</f>
        <v>0</v>
      </c>
      <c r="AP206" s="55">
        <f>IF($D336=0,0,ROUND(IF($D336*$D229&gt;$D336-($E336+SUM($AC206:AO206)),$D336-$E336-SUM($AC206:AO206),$D336*$D229),0))</f>
        <v>0</v>
      </c>
      <c r="AQ206" s="55">
        <f>IF($D336=0,0,ROUND(IF($D336*$D229&gt;$D336-($E336+SUM($AC206:AP206)),$D336-$E336-SUM($AC206:AP206),$D336*$D229),0))</f>
        <v>0</v>
      </c>
      <c r="AR206" s="55">
        <f>IF($D336=0,0,ROUND(IF($D336*$D229&gt;$D336-($E336+SUM($AC206:AQ206)),$D336-$E336-SUM($AC206:AQ206),$D336*$D229),0))</f>
        <v>0</v>
      </c>
      <c r="AS206" s="55">
        <f>IF($D336=0,0,ROUND(IF($D336*$D229&gt;$D336-($E336+SUM($AC206:AR206)),$D336-$E336-SUM($AC206:AR206),$D336*$D229),0))</f>
        <v>0</v>
      </c>
      <c r="AT206" s="55">
        <f>IF($D336=0,0,ROUND(IF($D336*$D229&gt;$D336-($E336+SUM($AC206:AS206)),$D336-$E336-SUM($AC206:AS206),$D336*$D229),0))</f>
        <v>0</v>
      </c>
      <c r="AU206" s="55">
        <f>IF($D336=0,0,ROUND(IF($D336*$D229&gt;$D336-($E336+SUM($AC206:AT206)),$D336-$E336-SUM($AC206:AT206),$D336*$D229),0))</f>
        <v>0</v>
      </c>
      <c r="AV206" s="55">
        <f>IF($D336=0,0,ROUND(IF($D336*$D229&gt;$D336-($E336+SUM($AC206:AU206)),$D336-$E336-SUM($AC206:AU206),$D336*$D229),0))</f>
        <v>0</v>
      </c>
      <c r="AW206" s="55"/>
    </row>
    <row r="207" spans="1:51" ht="35.25" customHeight="1">
      <c r="C207" s="76" t="s">
        <v>122</v>
      </c>
      <c r="D207" s="206"/>
      <c r="E207" s="205">
        <f t="shared" si="44"/>
        <v>0</v>
      </c>
      <c r="F207" s="205">
        <f t="shared" si="44"/>
        <v>0</v>
      </c>
      <c r="G207" s="205">
        <f t="shared" si="44"/>
        <v>0</v>
      </c>
      <c r="H207" s="205">
        <f t="shared" si="44"/>
        <v>0</v>
      </c>
      <c r="I207" s="205">
        <f t="shared" si="44"/>
        <v>0</v>
      </c>
      <c r="J207" s="205">
        <f t="shared" si="44"/>
        <v>0</v>
      </c>
      <c r="K207" s="205">
        <f t="shared" si="44"/>
        <v>0</v>
      </c>
      <c r="L207" s="205">
        <f t="shared" si="44"/>
        <v>0</v>
      </c>
      <c r="M207" s="205">
        <f t="shared" si="44"/>
        <v>0</v>
      </c>
      <c r="N207" s="205">
        <f t="shared" si="44"/>
        <v>0</v>
      </c>
      <c r="O207" s="205">
        <f t="shared" si="44"/>
        <v>0</v>
      </c>
      <c r="P207" s="205">
        <f t="shared" si="44"/>
        <v>0</v>
      </c>
      <c r="Q207" s="205">
        <f t="shared" si="44"/>
        <v>0</v>
      </c>
      <c r="R207" s="205">
        <f t="shared" si="44"/>
        <v>0</v>
      </c>
      <c r="S207" s="204">
        <f t="shared" si="44"/>
        <v>0</v>
      </c>
      <c r="T207" s="55"/>
      <c r="U207" s="55"/>
      <c r="V207" s="55"/>
      <c r="W207" s="55"/>
      <c r="X207" s="55"/>
      <c r="Y207" s="55"/>
      <c r="Z207" s="55"/>
      <c r="AA207" s="55"/>
      <c r="AB207" s="55" t="s">
        <v>34</v>
      </c>
      <c r="AC207" s="55">
        <f t="shared" si="42"/>
        <v>0</v>
      </c>
      <c r="AD207" s="55">
        <f t="shared" si="43"/>
        <v>0</v>
      </c>
      <c r="AE207" s="55">
        <f>IF($D337=0,0,ROUND(IF($D337*$D230&gt;$D337-($E337+SUM($AC207:AD207)),$D337-$E337-SUM($AC207:AD207),$D337*$D230),0))</f>
        <v>0</v>
      </c>
      <c r="AF207" s="55">
        <f>IF($D337=0,0,ROUND(IF($D337*$D230&gt;$D337-($E337+SUM($AC207:AE207)),$D337-$E337-SUM($AC207:AE207),$D337*$D230),0))</f>
        <v>0</v>
      </c>
      <c r="AG207" s="55">
        <f>IF($D337=0,0,ROUND(IF($D337*$D230&gt;$D337-($E337+SUM($AC207:AF207)),$D337-$E337-SUM($AC207:AF207),$D337*$D230),0))</f>
        <v>0</v>
      </c>
      <c r="AH207" s="55">
        <f>IF($D337=0,0,ROUND(IF($D337*$D230&gt;$D337-($E337+SUM($AC207:AG207)),$D337-$E337-SUM($AC207:AG207),$D337*$D230),0))</f>
        <v>0</v>
      </c>
      <c r="AI207" s="55">
        <f>IF($D337=0,0,ROUND(IF($D337*$D230&gt;$D337-($E337+SUM($AC207:AH207)),$D337-$E337-SUM($AC207:AH207),$D337*$D230),0))</f>
        <v>0</v>
      </c>
      <c r="AJ207" s="55">
        <f>IF($D337=0,0,ROUND(IF($D337*$D230&gt;$D337-($E337+SUM($AC207:AI207)),$D337-$E337-SUM($AC207:AI207),$D337*$D230),0))</f>
        <v>0</v>
      </c>
      <c r="AK207" s="55">
        <f>IF($D337=0,0,ROUND(IF($D337*$D230&gt;$D337-($E337+SUM($AC207:AJ207)),$D337-$E337-SUM($AC207:AJ207),$D337*$D230),0))</f>
        <v>0</v>
      </c>
      <c r="AL207" s="55">
        <f>IF($D337=0,0,ROUND(IF($D337*$D230&gt;$D337-($E337+SUM($AC207:AK207)),$D337-$E337-SUM($AC207:AK207),$D337*$D230),0))</f>
        <v>0</v>
      </c>
      <c r="AM207" s="55">
        <f>IF($D337=0,0,ROUND(IF($D337*$D230&gt;$D337-($E337+SUM($AC207:AL207)),$D337-$E337-SUM($AC207:AL207),$D337*$D230),0))</f>
        <v>0</v>
      </c>
      <c r="AN207" s="55">
        <f>IF($D337=0,0,ROUND(IF($D337*$D230&gt;$D337-($E337+SUM($AC207:AM207)),$D337-$E337-SUM($AC207:AM207),$D337*$D230),0))</f>
        <v>0</v>
      </c>
      <c r="AO207" s="55">
        <f>IF($D337=0,0,ROUND(IF($D337*$D230&gt;$D337-($E337+SUM($AC207:AN207)),$D337-$E337-SUM($AC207:AN207),$D337*$D230),0))</f>
        <v>0</v>
      </c>
      <c r="AP207" s="55">
        <f>IF($D337=0,0,ROUND(IF($D337*$D230&gt;$D337-($E337+SUM($AC207:AO207)),$D337-$E337-SUM($AC207:AO207),$D337*$D230),0))</f>
        <v>0</v>
      </c>
      <c r="AQ207" s="55">
        <f>IF($D337=0,0,ROUND(IF($D337*$D230&gt;$D337-($E337+SUM($AC207:AP207)),$D337-$E337-SUM($AC207:AP207),$D337*$D230),0))</f>
        <v>0</v>
      </c>
      <c r="AR207" s="55">
        <f>IF($D337=0,0,ROUND(IF($D337*$D230&gt;$D337-($E337+SUM($AC207:AQ207)),$D337-$E337-SUM($AC207:AQ207),$D337*$D230),0))</f>
        <v>0</v>
      </c>
      <c r="AS207" s="55">
        <f>IF($D337=0,0,ROUND(IF($D337*$D230&gt;$D337-($E337+SUM($AC207:AR207)),$D337-$E337-SUM($AC207:AR207),$D337*$D230),0))</f>
        <v>0</v>
      </c>
      <c r="AT207" s="55">
        <f>IF($D337=0,0,ROUND(IF($D337*$D230&gt;$D337-($E337+SUM($AC207:AS207)),$D337-$E337-SUM($AC207:AS207),$D337*$D230),0))</f>
        <v>0</v>
      </c>
      <c r="AU207" s="55">
        <f>IF($D337=0,0,ROUND(IF($D337*$D230&gt;$D337-($E337+SUM($AC207:AT207)),$D337-$E337-SUM($AC207:AT207),$D337*$D230),0))</f>
        <v>0</v>
      </c>
      <c r="AV207" s="55">
        <f>IF($D337=0,0,ROUND(IF($D337*$D230&gt;$D337-($E337+SUM($AC207:AU207)),$D337-$E337-SUM($AC207:AU207),$D337*$D230),0))</f>
        <v>0</v>
      </c>
      <c r="AW207" s="55"/>
    </row>
    <row r="208" spans="1:51" ht="35.25" customHeight="1">
      <c r="C208" s="76" t="s">
        <v>123</v>
      </c>
      <c r="D208" s="206"/>
      <c r="E208" s="205">
        <f t="shared" si="44"/>
        <v>0</v>
      </c>
      <c r="F208" s="205">
        <f t="shared" si="44"/>
        <v>0</v>
      </c>
      <c r="G208" s="205">
        <f t="shared" si="44"/>
        <v>0</v>
      </c>
      <c r="H208" s="205">
        <f t="shared" si="44"/>
        <v>0</v>
      </c>
      <c r="I208" s="205">
        <f t="shared" si="44"/>
        <v>0</v>
      </c>
      <c r="J208" s="205">
        <f t="shared" si="44"/>
        <v>0</v>
      </c>
      <c r="K208" s="205">
        <f t="shared" si="44"/>
        <v>0</v>
      </c>
      <c r="L208" s="205">
        <f t="shared" si="44"/>
        <v>0</v>
      </c>
      <c r="M208" s="205">
        <f t="shared" si="44"/>
        <v>0</v>
      </c>
      <c r="N208" s="205">
        <f t="shared" si="44"/>
        <v>0</v>
      </c>
      <c r="O208" s="205">
        <f t="shared" si="44"/>
        <v>0</v>
      </c>
      <c r="P208" s="205">
        <f t="shared" si="44"/>
        <v>0</v>
      </c>
      <c r="Q208" s="205">
        <f t="shared" si="44"/>
        <v>0</v>
      </c>
      <c r="R208" s="205">
        <f t="shared" si="44"/>
        <v>0</v>
      </c>
      <c r="S208" s="204">
        <f t="shared" si="44"/>
        <v>0</v>
      </c>
      <c r="T208" s="55"/>
      <c r="U208" s="55"/>
      <c r="V208" s="55"/>
      <c r="W208" s="55"/>
      <c r="X208" s="55"/>
      <c r="Y208" s="55"/>
      <c r="Z208" s="55"/>
      <c r="AA208" s="55"/>
      <c r="AB208" s="55" t="s">
        <v>124</v>
      </c>
      <c r="AC208" s="55">
        <f t="shared" si="42"/>
        <v>0</v>
      </c>
      <c r="AD208" s="55">
        <f t="shared" si="43"/>
        <v>0</v>
      </c>
      <c r="AE208" s="55">
        <f>IF($D338=0,0,ROUND(IF($D338*$D231&gt;$D338-($E338+SUM($AC208:AD208)),$D338-$E338-SUM($AC208:AD208),$D338*$D231),0))</f>
        <v>0</v>
      </c>
      <c r="AF208" s="55">
        <f>IF($D338=0,0,ROUND(IF($D338*$D231&gt;$D338-($E338+SUM($AC208:AE208)),$D338-$E338-SUM($AC208:AE208),$D338*$D231),0))</f>
        <v>0</v>
      </c>
      <c r="AG208" s="55">
        <f>IF($D338=0,0,ROUND(IF($D338*$D231&gt;$D338-($E338+SUM($AC208:AF208)),$D338-$E338-SUM($AC208:AF208),$D338*$D231),0))</f>
        <v>0</v>
      </c>
      <c r="AH208" s="55">
        <f>IF($D338=0,0,ROUND(IF($D338*$D231&gt;$D338-($E338+SUM($AC208:AG208)),$D338-$E338-SUM($AC208:AG208),$D338*$D231),0))</f>
        <v>0</v>
      </c>
      <c r="AI208" s="55">
        <f>IF($D338=0,0,ROUND(IF($D338*$D231&gt;$D338-($E338+SUM($AC208:AH208)),$D338-$E338-SUM($AC208:AH208),$D338*$D231),0))</f>
        <v>0</v>
      </c>
      <c r="AJ208" s="55">
        <f>IF($D338=0,0,ROUND(IF($D338*$D231&gt;$D338-($E338+SUM($AC208:AI208)),$D338-$E338-SUM($AC208:AI208),$D338*$D231),0))</f>
        <v>0</v>
      </c>
      <c r="AK208" s="55">
        <f>IF($D338=0,0,ROUND(IF($D338*$D231&gt;$D338-($E338+SUM($AC208:AJ208)),$D338-$E338-SUM($AC208:AJ208),$D338*$D231),0))</f>
        <v>0</v>
      </c>
      <c r="AL208" s="55">
        <f>IF($D338=0,0,ROUND(IF($D338*$D231&gt;$D338-($E338+SUM($AC208:AK208)),$D338-$E338-SUM($AC208:AK208),$D338*$D231),0))</f>
        <v>0</v>
      </c>
      <c r="AM208" s="55">
        <f>IF($D338=0,0,ROUND(IF($D338*$D231&gt;$D338-($E338+SUM($AC208:AL208)),$D338-$E338-SUM($AC208:AL208),$D338*$D231),0))</f>
        <v>0</v>
      </c>
      <c r="AN208" s="55">
        <f>IF($D338=0,0,ROUND(IF($D338*$D231&gt;$D338-($E338+SUM($AC208:AM208)),$D338-$E338-SUM($AC208:AM208),$D338*$D231),0))</f>
        <v>0</v>
      </c>
      <c r="AO208" s="55">
        <f>IF($D338=0,0,ROUND(IF($D338*$D231&gt;$D338-($E338+SUM($AC208:AN208)),$D338-$E338-SUM($AC208:AN208),$D338*$D231),0))</f>
        <v>0</v>
      </c>
      <c r="AP208" s="55">
        <f>IF($D338=0,0,ROUND(IF($D338*$D231&gt;$D338-($E338+SUM($AC208:AO208)),$D338-$E338-SUM($AC208:AO208),$D338*$D231),0))</f>
        <v>0</v>
      </c>
      <c r="AQ208" s="55">
        <f>IF($D338=0,0,ROUND(IF($D338*$D231&gt;$D338-($E338+SUM($AC208:AP208)),$D338-$E338-SUM($AC208:AP208),$D338*$D231),0))</f>
        <v>0</v>
      </c>
      <c r="AR208" s="55">
        <f>IF($D338=0,0,ROUND(IF($D338*$D231&gt;$D338-($E338+SUM($AC208:AQ208)),$D338-$E338-SUM($AC208:AQ208),$D338*$D231),0))</f>
        <v>0</v>
      </c>
      <c r="AS208" s="55">
        <f>IF($D338=0,0,ROUND(IF($D338*$D231&gt;$D338-($E338+SUM($AC208:AR208)),$D338-$E338-SUM($AC208:AR208),$D338*$D231),0))</f>
        <v>0</v>
      </c>
      <c r="AT208" s="55">
        <f>IF($D338=0,0,ROUND(IF($D338*$D231&gt;$D338-($E338+SUM($AC208:AS208)),$D338-$E338-SUM($AC208:AS208),$D338*$D231),0))</f>
        <v>0</v>
      </c>
      <c r="AU208" s="55">
        <f>IF($D338=0,0,ROUND(IF($D338*$D231&gt;$D338-($E338+SUM($AC208:AT208)),$D338-$E338-SUM($AC208:AT208),$D338*$D231),0))</f>
        <v>0</v>
      </c>
      <c r="AV208" s="55">
        <f>IF($D338=0,0,ROUND(IF($D338*$D231&gt;$D338-($E338+SUM($AC208:AU208)),$D338-$E338-SUM($AC208:AU208),$D338*$D231),0))</f>
        <v>0</v>
      </c>
      <c r="AW208" s="55"/>
    </row>
    <row r="209" spans="1:49" ht="35.25" customHeight="1">
      <c r="C209" s="188"/>
      <c r="D209" s="206"/>
      <c r="E209" s="205">
        <f t="shared" si="44"/>
        <v>0</v>
      </c>
      <c r="F209" s="205">
        <f t="shared" si="44"/>
        <v>0</v>
      </c>
      <c r="G209" s="205">
        <f t="shared" si="44"/>
        <v>0</v>
      </c>
      <c r="H209" s="205">
        <f t="shared" si="44"/>
        <v>0</v>
      </c>
      <c r="I209" s="205">
        <f t="shared" si="44"/>
        <v>0</v>
      </c>
      <c r="J209" s="205">
        <f t="shared" si="44"/>
        <v>0</v>
      </c>
      <c r="K209" s="205">
        <f t="shared" si="44"/>
        <v>0</v>
      </c>
      <c r="L209" s="205">
        <f t="shared" si="44"/>
        <v>0</v>
      </c>
      <c r="M209" s="205">
        <f t="shared" si="44"/>
        <v>0</v>
      </c>
      <c r="N209" s="205">
        <f t="shared" si="44"/>
        <v>0</v>
      </c>
      <c r="O209" s="205">
        <f t="shared" si="44"/>
        <v>0</v>
      </c>
      <c r="P209" s="205">
        <f t="shared" si="44"/>
        <v>0</v>
      </c>
      <c r="Q209" s="205">
        <f t="shared" si="44"/>
        <v>0</v>
      </c>
      <c r="R209" s="205">
        <f t="shared" si="44"/>
        <v>0</v>
      </c>
      <c r="S209" s="204">
        <f t="shared" si="44"/>
        <v>0</v>
      </c>
      <c r="T209" s="55"/>
      <c r="U209" s="55"/>
      <c r="V209" s="55"/>
      <c r="W209" s="55"/>
      <c r="X209" s="55"/>
      <c r="Y209" s="55"/>
      <c r="Z209" s="55"/>
      <c r="AA209" s="55"/>
      <c r="AB209" s="55" t="s">
        <v>123</v>
      </c>
      <c r="AC209" s="55">
        <f t="shared" si="42"/>
        <v>0</v>
      </c>
      <c r="AD209" s="55">
        <f t="shared" si="43"/>
        <v>0</v>
      </c>
      <c r="AE209" s="55">
        <f>IF($D339=0,0,ROUND(IF($D339*$D232&gt;$D339-($E339+SUM($AC209:AD209)),$D339-$E339-SUM($AC209:AD209),$D339*$D232),0))</f>
        <v>0</v>
      </c>
      <c r="AF209" s="55">
        <f>IF($D339=0,0,ROUND(IF($D339*$D232&gt;$D339-($E339+SUM($AC209:AE209)),$D339-$E339-SUM($AC209:AE209),$D339*$D232),0))</f>
        <v>0</v>
      </c>
      <c r="AG209" s="55">
        <f>IF($D339=0,0,ROUND(IF($D339*$D232&gt;$D339-($E339+SUM($AC209:AF209)),$D339-$E339-SUM($AC209:AF209),$D339*$D232),0))</f>
        <v>0</v>
      </c>
      <c r="AH209" s="55">
        <f>IF($D339=0,0,ROUND(IF($D339*$D232&gt;$D339-($E339+SUM($AC209:AG209)),$D339-$E339-SUM($AC209:AG209),$D339*$D232),0))</f>
        <v>0</v>
      </c>
      <c r="AI209" s="55">
        <f>IF($D339=0,0,ROUND(IF($D339*$D232&gt;$D339-($E339+SUM($AC209:AH209)),$D339-$E339-SUM($AC209:AH209),$D339*$D232),0))</f>
        <v>0</v>
      </c>
      <c r="AJ209" s="55">
        <f>IF($D339=0,0,ROUND(IF($D339*$D232&gt;$D339-($E339+SUM($AC209:AI209)),$D339-$E339-SUM($AC209:AI209),$D339*$D232),0))</f>
        <v>0</v>
      </c>
      <c r="AK209" s="55">
        <f>IF($D339=0,0,ROUND(IF($D339*$D232&gt;$D339-($E339+SUM($AC209:AJ209)),$D339-$E339-SUM($AC209:AJ209),$D339*$D232),0))</f>
        <v>0</v>
      </c>
      <c r="AL209" s="55">
        <f>IF($D339=0,0,ROUND(IF($D339*$D232&gt;$D339-($E339+SUM($AC209:AK209)),$D339-$E339-SUM($AC209:AK209),$D339*$D232),0))</f>
        <v>0</v>
      </c>
      <c r="AM209" s="55">
        <f>IF($D339=0,0,ROUND(IF($D339*$D232&gt;$D339-($E339+SUM($AC209:AL209)),$D339-$E339-SUM($AC209:AL209),$D339*$D232),0))</f>
        <v>0</v>
      </c>
      <c r="AN209" s="55">
        <f>IF($D339=0,0,ROUND(IF($D339*$D232&gt;$D339-($E339+SUM($AC209:AM209)),$D339-$E339-SUM($AC209:AM209),$D339*$D232),0))</f>
        <v>0</v>
      </c>
      <c r="AO209" s="55">
        <f>IF($D339=0,0,ROUND(IF($D339*$D232&gt;$D339-($E339+SUM($AC209:AN209)),$D339-$E339-SUM($AC209:AN209),$D339*$D232),0))</f>
        <v>0</v>
      </c>
      <c r="AP209" s="55">
        <f>IF($D339=0,0,ROUND(IF($D339*$D232&gt;$D339-($E339+SUM($AC209:AO209)),$D339-$E339-SUM($AC209:AO209),$D339*$D232),0))</f>
        <v>0</v>
      </c>
      <c r="AQ209" s="55">
        <f>IF($D339=0,0,ROUND(IF($D339*$D232&gt;$D339-($E339+SUM($AC209:AP209)),$D339-$E339-SUM($AC209:AP209),$D339*$D232),0))</f>
        <v>0</v>
      </c>
      <c r="AR209" s="55">
        <f>IF($D339=0,0,ROUND(IF($D339*$D232&gt;$D339-($E339+SUM($AC209:AQ209)),$D339-$E339-SUM($AC209:AQ209),$D339*$D232),0))</f>
        <v>0</v>
      </c>
      <c r="AS209" s="55">
        <f>IF($D339=0,0,ROUND(IF($D339*$D232&gt;$D339-($E339+SUM($AC209:AR209)),$D339-$E339-SUM($AC209:AR209),$D339*$D232),0))</f>
        <v>0</v>
      </c>
      <c r="AT209" s="55">
        <f>IF($D339=0,0,ROUND(IF($D339*$D232&gt;$D339-($E339+SUM($AC209:AS209)),$D339-$E339-SUM($AC209:AS209),$D339*$D232),0))</f>
        <v>0</v>
      </c>
      <c r="AU209" s="55">
        <f>IF($D339=0,0,ROUND(IF($D339*$D232&gt;$D339-($E339+SUM($AC209:AT209)),$D339-$E339-SUM($AC209:AT209),$D339*$D232),0))</f>
        <v>0</v>
      </c>
      <c r="AV209" s="55">
        <f>IF($D339=0,0,ROUND(IF($D339*$D232&gt;$D339-($E339+SUM($AC209:AU209)),$D339-$E339-SUM($AC209:AU209),$D339*$D232),0))</f>
        <v>0</v>
      </c>
      <c r="AW209" s="55"/>
    </row>
    <row r="210" spans="1:49" ht="35.25" customHeight="1" thickBot="1">
      <c r="C210" s="76"/>
      <c r="D210" s="59" t="s">
        <v>70</v>
      </c>
      <c r="E210" s="203" t="s">
        <v>70</v>
      </c>
      <c r="F210" s="203" t="s">
        <v>70</v>
      </c>
      <c r="G210" s="203" t="s">
        <v>70</v>
      </c>
      <c r="H210" s="203" t="s">
        <v>70</v>
      </c>
      <c r="I210" s="203" t="s">
        <v>70</v>
      </c>
      <c r="J210" s="203" t="s">
        <v>70</v>
      </c>
      <c r="K210" s="203" t="s">
        <v>70</v>
      </c>
      <c r="L210" s="203" t="s">
        <v>70</v>
      </c>
      <c r="M210" s="203" t="s">
        <v>70</v>
      </c>
      <c r="N210" s="203" t="s">
        <v>70</v>
      </c>
      <c r="O210" s="203" t="s">
        <v>70</v>
      </c>
      <c r="P210" s="203" t="s">
        <v>70</v>
      </c>
      <c r="Q210" s="203" t="s">
        <v>70</v>
      </c>
      <c r="R210" s="203" t="s">
        <v>70</v>
      </c>
      <c r="S210" s="202" t="s">
        <v>70</v>
      </c>
      <c r="T210" s="55"/>
      <c r="U210" s="55"/>
      <c r="V210" s="55"/>
      <c r="W210" s="55"/>
      <c r="X210" s="55"/>
      <c r="Y210" s="55"/>
      <c r="Z210" s="55"/>
      <c r="AA210" s="55"/>
      <c r="AB210" s="55" t="s">
        <v>125</v>
      </c>
      <c r="AC210" s="55">
        <f>IF($D343=0,0,ROUND(IF($D343*$D236&gt;$D343-$E343,$D343-$E343,$D343*$D236),0))</f>
        <v>0</v>
      </c>
      <c r="AD210" s="55">
        <f>IF($D343=0,0,ROUND(IF($D343*$D236&gt;$D343-($E343+AC210),$D343-$E343-AC210,$D343*$D236),0))</f>
        <v>0</v>
      </c>
      <c r="AE210" s="55">
        <f>IF($D343=0,0,ROUND(IF($D343*$D236&gt;$D343-($E343+SUM($AC210:AD210)),$D343-$E343-SUM($AC210:AD210),$D343*$D236),0))</f>
        <v>0</v>
      </c>
      <c r="AF210" s="55">
        <f>IF($D343=0,0,ROUND(IF($D343*$D236&gt;$D343-($E343+SUM($AC210:AE210)),$D343-$E343-SUM($AC210:AE210),$D343*$D236),0))</f>
        <v>0</v>
      </c>
      <c r="AG210" s="55">
        <f>IF($D343=0,0,ROUND(IF($D343*$D236&gt;$D343-($E343+SUM($AC210:AF210)),$D343-$E343-SUM($AC210:AF210),$D343*$D236),0))</f>
        <v>0</v>
      </c>
      <c r="AH210" s="55">
        <f>IF($D343=0,0,ROUND(IF($D343*$D236&gt;$D343-($E343+SUM($AC210:AG210)),$D343-$E343-SUM($AC210:AG210),$D343*$D236),0))</f>
        <v>0</v>
      </c>
      <c r="AI210" s="55">
        <f>IF($D343=0,0,ROUND(IF($D343*$D236&gt;$D343-($E343+SUM($AC210:AH210)),$D343-$E343-SUM($AC210:AH210),$D343*$D236),0))</f>
        <v>0</v>
      </c>
      <c r="AJ210" s="55">
        <f>IF($D343=0,0,ROUND(IF($D343*$D236&gt;$D343-($E343+SUM($AC210:AI210)),$D343-$E343-SUM($AC210:AI210),$D343*$D236),0))</f>
        <v>0</v>
      </c>
      <c r="AK210" s="55">
        <f>IF($D343=0,0,ROUND(IF($D343*$D236&gt;$D343-($E343+SUM($AC210:AJ210)),$D343-$E343-SUM($AC210:AJ210),$D343*$D236),0))</f>
        <v>0</v>
      </c>
      <c r="AL210" s="55">
        <f>IF($D343=0,0,ROUND(IF($D343*$D236&gt;$D343-($E343+SUM($AC210:AK210)),$D343-$E343-SUM($AC210:AK210),$D343*$D236),0))</f>
        <v>0</v>
      </c>
      <c r="AM210" s="55">
        <f>IF($D343=0,0,ROUND(IF($D343*$D236&gt;$D343-($E343+SUM($AC210:AL210)),$D343-$E343-SUM($AC210:AL210),$D343*$D236),0))</f>
        <v>0</v>
      </c>
      <c r="AN210" s="55">
        <f>IF($D343=0,0,ROUND(IF($D343*$D236&gt;$D343-($E343+SUM($AC210:AM210)),$D343-$E343-SUM($AC210:AM210),$D343*$D236),0))</f>
        <v>0</v>
      </c>
      <c r="AO210" s="55">
        <f>IF($D343=0,0,ROUND(IF($D343*$D236&gt;$D343-($E343+SUM($AC210:AN210)),$D343-$E343-SUM($AC210:AN210),$D343*$D236),0))</f>
        <v>0</v>
      </c>
      <c r="AP210" s="55">
        <f>IF($D343=0,0,ROUND(IF($D343*$D236&gt;$D343-($E343+SUM($AC210:AO210)),$D343-$E343-SUM($AC210:AO210),$D343*$D236),0))</f>
        <v>0</v>
      </c>
      <c r="AQ210" s="55">
        <f>IF($D343=0,0,ROUND(IF($D343*$D236&gt;$D343-($E343+SUM($AC210:AP210)),$D343-$E343-SUM($AC210:AP210),$D343*$D236),0))</f>
        <v>0</v>
      </c>
      <c r="AR210" s="55">
        <f>IF($D343=0,0,ROUND(IF($D343*$D236&gt;$D343-($E343+SUM($AC210:AQ210)),$D343-$E343-SUM($AC210:AQ210),$D343*$D236),0))</f>
        <v>0</v>
      </c>
      <c r="AS210" s="55">
        <f>IF($D343=0,0,ROUND(IF($D343*$D236&gt;$D343-($E343+SUM($AC210:AR210)),$D343-$E343-SUM($AC210:AR210),$D343*$D236),0))</f>
        <v>0</v>
      </c>
      <c r="AT210" s="55">
        <f>IF($D343=0,0,ROUND(IF($D343*$D236&gt;$D343-($E343+SUM($AC210:AS210)),$D343-$E343-SUM($AC210:AS210),$D343*$D236),0))</f>
        <v>0</v>
      </c>
      <c r="AU210" s="55">
        <f>IF($D343=0,0,ROUND(IF($D343*$D236&gt;$D343-($E343+SUM($AC210:AT210)),$D343-$E343-SUM($AC210:AT210),$D343*$D236),0))</f>
        <v>0</v>
      </c>
      <c r="AV210" s="55">
        <f>IF($D343=0,0,ROUND(IF($D343*$D236&gt;$D343-($E343+SUM($AC210:AU210)),$D343-$E343-SUM($AC210:AU210),$D343*$D236),0))</f>
        <v>0</v>
      </c>
      <c r="AW210" s="55"/>
    </row>
    <row r="211" spans="1:49" ht="35.25" customHeight="1" thickTop="1" thickBot="1">
      <c r="C211" s="92" t="s">
        <v>126</v>
      </c>
      <c r="D211" s="201">
        <f>ROUND(SUM(D205:D209),1)</f>
        <v>1905</v>
      </c>
      <c r="E211" s="200">
        <f t="shared" ref="E211:S211" si="45">SUM(E205:E209)</f>
        <v>1150</v>
      </c>
      <c r="F211" s="200">
        <f t="shared" si="45"/>
        <v>1288</v>
      </c>
      <c r="G211" s="200">
        <f t="shared" si="45"/>
        <v>1456</v>
      </c>
      <c r="H211" s="200">
        <f t="shared" si="45"/>
        <v>1655</v>
      </c>
      <c r="I211" s="200">
        <f t="shared" si="45"/>
        <v>1905</v>
      </c>
      <c r="J211" s="200">
        <f t="shared" si="45"/>
        <v>1905</v>
      </c>
      <c r="K211" s="200">
        <f t="shared" si="45"/>
        <v>1905</v>
      </c>
      <c r="L211" s="200">
        <f t="shared" si="45"/>
        <v>1905</v>
      </c>
      <c r="M211" s="200">
        <f t="shared" si="45"/>
        <v>1905</v>
      </c>
      <c r="N211" s="200">
        <f t="shared" si="45"/>
        <v>1905</v>
      </c>
      <c r="O211" s="199">
        <f t="shared" si="45"/>
        <v>1905</v>
      </c>
      <c r="P211" s="199">
        <f t="shared" si="45"/>
        <v>1905</v>
      </c>
      <c r="Q211" s="199">
        <f t="shared" si="45"/>
        <v>1905</v>
      </c>
      <c r="R211" s="199">
        <f t="shared" si="45"/>
        <v>1905</v>
      </c>
      <c r="S211" s="198">
        <f t="shared" si="45"/>
        <v>1905</v>
      </c>
      <c r="T211" s="55"/>
      <c r="U211" s="55"/>
      <c r="V211" s="55"/>
      <c r="W211" s="55"/>
      <c r="X211" s="55"/>
      <c r="Y211" s="55"/>
      <c r="Z211" s="55"/>
      <c r="AA211" s="55"/>
      <c r="AB211" s="55" t="s">
        <v>127</v>
      </c>
      <c r="AC211" s="55">
        <f>IF($D344=0,0,ROUND(IF($D344*$D237&gt;$D344-$E344,$D344-$E344,$D344*$D237),0))</f>
        <v>0</v>
      </c>
      <c r="AD211" s="55">
        <f>IF($D344=0,0,ROUND(IF($D344*$D237&gt;$D344-($E344+AC211),$D344-$E344-AC211,$D344*$D237),0))</f>
        <v>0</v>
      </c>
      <c r="AE211" s="55">
        <f>IF($D344=0,0,ROUND(IF($D344*$D237&gt;$D344-($E344+SUM($AC211:AD211)),$D344-$E344-SUM($AC211:AD211),$D344*$D237),0))</f>
        <v>0</v>
      </c>
      <c r="AF211" s="55">
        <f>IF($D344=0,0,ROUND(IF($D344*$D237&gt;$D344-($E344+SUM($AC211:AE211)),$D344-$E344-SUM($AC211:AE211),$D344*$D237),0))</f>
        <v>0</v>
      </c>
      <c r="AG211" s="55">
        <f>IF($D344=0,0,ROUND(IF($D344*$D237&gt;$D344-($E344+SUM($AC211:AF211)),$D344-$E344-SUM($AC211:AF211),$D344*$D237),0))</f>
        <v>0</v>
      </c>
      <c r="AH211" s="55">
        <f>IF($D344=0,0,ROUND(IF($D344*$D237&gt;$D344-($E344+SUM($AC211:AG211)),$D344-$E344-SUM($AC211:AG211),$D344*$D237),0))</f>
        <v>0</v>
      </c>
      <c r="AI211" s="55">
        <f>IF($D344=0,0,ROUND(IF($D344*$D237&gt;$D344-($E344+SUM($AC211:AH211)),$D344-$E344-SUM($AC211:AH211),$D344*$D237),0))</f>
        <v>0</v>
      </c>
      <c r="AJ211" s="55">
        <f>IF($D344=0,0,ROUND(IF($D344*$D237&gt;$D344-($E344+SUM($AC211:AI211)),$D344-$E344-SUM($AC211:AI211),$D344*$D237),0))</f>
        <v>0</v>
      </c>
      <c r="AK211" s="55">
        <f>IF($D344=0,0,ROUND(IF($D344*$D237&gt;$D344-($E344+SUM($AC211:AJ211)),$D344-$E344-SUM($AC211:AJ211),$D344*$D237),0))</f>
        <v>0</v>
      </c>
      <c r="AL211" s="55">
        <f>IF($D344=0,0,ROUND(IF($D344*$D237&gt;$D344-($E344+SUM($AC211:AK211)),$D344-$E344-SUM($AC211:AK211),$D344*$D237),0))</f>
        <v>0</v>
      </c>
      <c r="AM211" s="55">
        <f>IF($D344=0,0,ROUND(IF($D344*$D237&gt;$D344-($E344+SUM($AC211:AL211)),$D344-$E344-SUM($AC211:AL211),$D344*$D237),0))</f>
        <v>0</v>
      </c>
      <c r="AN211" s="55">
        <f>IF($D344=0,0,ROUND(IF($D344*$D237&gt;$D344-($E344+SUM($AC211:AM211)),$D344-$E344-SUM($AC211:AM211),$D344*$D237),0))</f>
        <v>0</v>
      </c>
      <c r="AO211" s="55">
        <f>IF($D344=0,0,ROUND(IF($D344*$D237&gt;$D344-($E344+SUM($AC211:AN211)),$D344-$E344-SUM($AC211:AN211),$D344*$D237),0))</f>
        <v>0</v>
      </c>
      <c r="AP211" s="55">
        <f>IF($D344=0,0,ROUND(IF($D344*$D237&gt;$D344-($E344+SUM($AC211:AO211)),$D344-$E344-SUM($AC211:AO211),$D344*$D237),0))</f>
        <v>0</v>
      </c>
      <c r="AQ211" s="55">
        <f>IF($D344=0,0,ROUND(IF($D344*$D237&gt;$D344-($E344+SUM($AC211:AP211)),$D344-$E344-SUM($AC211:AP211),$D344*$D237),0))</f>
        <v>0</v>
      </c>
      <c r="AR211" s="55">
        <f>IF($D344=0,0,ROUND(IF($D344*$D237&gt;$D344-($E344+SUM($AC211:AQ211)),$D344-$E344-SUM($AC211:AQ211),$D344*$D237),0))</f>
        <v>0</v>
      </c>
      <c r="AS211" s="55">
        <f>IF($D344=0,0,ROUND(IF($D344*$D237&gt;$D344-($E344+SUM($AC211:AR211)),$D344-$E344-SUM($AC211:AR211),$D344*$D237),0))</f>
        <v>0</v>
      </c>
      <c r="AT211" s="55">
        <f>IF($D344=0,0,ROUND(IF($D344*$D237&gt;$D344-($E344+SUM($AC211:AS211)),$D344-$E344-SUM($AC211:AS211),$D344*$D237),0))</f>
        <v>0</v>
      </c>
      <c r="AU211" s="55">
        <f>IF($D344=0,0,ROUND(IF($D344*$D237&gt;$D344-($E344+SUM($AC211:AT211)),$D344-$E344-SUM($AC211:AT211),$D344*$D237),0))</f>
        <v>0</v>
      </c>
      <c r="AV211" s="55">
        <f>IF($D344=0,0,ROUND(IF($D344*$D237&gt;$D344-($E344+SUM($AC211:AU211)),$D344-$E344-SUM($AC211:AU211),$D344*$D237),0))</f>
        <v>0</v>
      </c>
      <c r="AW211" s="55"/>
    </row>
    <row r="212" spans="1:49" ht="21" thickTop="1">
      <c r="C212" s="58"/>
      <c r="D212" s="58"/>
      <c r="E212" s="58"/>
      <c r="F212" s="58"/>
      <c r="G212" s="58"/>
      <c r="H212" s="58"/>
      <c r="I212" s="58"/>
      <c r="J212" s="58"/>
      <c r="K212" s="58"/>
      <c r="L212" s="58"/>
      <c r="M212" s="58"/>
      <c r="N212" s="58"/>
      <c r="U212" s="55"/>
      <c r="V212" s="55"/>
      <c r="W212" s="55"/>
      <c r="X212" s="55"/>
      <c r="Y212" s="55"/>
      <c r="Z212" s="55"/>
      <c r="AA212" s="55"/>
      <c r="AB212" s="55"/>
      <c r="AC212" s="55"/>
      <c r="AD212" s="55"/>
      <c r="AE212" s="55"/>
      <c r="AF212" s="55"/>
      <c r="AG212" s="55"/>
      <c r="AH212" s="55"/>
      <c r="AI212" s="55"/>
      <c r="AJ212" s="55"/>
      <c r="AK212" s="55"/>
      <c r="AL212" s="55"/>
      <c r="AM212" s="55"/>
      <c r="AN212" s="55"/>
      <c r="AO212" s="55"/>
      <c r="AP212" s="55"/>
      <c r="AQ212" s="55"/>
      <c r="AR212" s="55"/>
      <c r="AS212" s="55"/>
      <c r="AT212" s="55"/>
      <c r="AU212" s="55"/>
      <c r="AV212" s="55"/>
      <c r="AW212" s="55"/>
    </row>
    <row r="213" spans="1:49">
      <c r="U213" s="55"/>
      <c r="V213" s="55"/>
      <c r="W213" s="55"/>
      <c r="X213" s="55"/>
      <c r="Y213" s="55"/>
      <c r="Z213" s="55"/>
      <c r="AA213" s="55"/>
      <c r="AB213" s="55"/>
      <c r="AC213" s="55"/>
      <c r="AD213" s="55"/>
      <c r="AE213" s="55"/>
      <c r="AF213" s="55"/>
      <c r="AG213" s="55"/>
      <c r="AH213" s="55"/>
      <c r="AI213" s="55"/>
      <c r="AJ213" s="55"/>
      <c r="AK213" s="55"/>
      <c r="AL213" s="55"/>
      <c r="AM213" s="55"/>
      <c r="AN213" s="55"/>
      <c r="AO213" s="55"/>
      <c r="AP213" s="55"/>
      <c r="AQ213" s="55"/>
      <c r="AR213" s="55"/>
      <c r="AS213" s="55"/>
      <c r="AT213" s="55"/>
      <c r="AU213" s="55"/>
      <c r="AV213" s="55"/>
      <c r="AW213" s="55"/>
    </row>
    <row r="214" spans="1:49">
      <c r="U214" s="55"/>
      <c r="V214" s="55"/>
      <c r="W214" s="55"/>
      <c r="X214" s="55"/>
      <c r="Y214" s="55"/>
      <c r="Z214" s="55"/>
      <c r="AA214" s="55"/>
      <c r="AB214" s="55" t="str">
        <f>'Financial Stat.'!B318&amp;" Expenditure"</f>
        <v xml:space="preserve">  2025 Expenditure</v>
      </c>
      <c r="AC214" s="55"/>
      <c r="AD214" s="55"/>
      <c r="AE214" s="55"/>
      <c r="AF214" s="55"/>
      <c r="AG214" s="55"/>
      <c r="AH214" s="55"/>
      <c r="AI214" s="55"/>
      <c r="AJ214" s="55"/>
      <c r="AK214" s="55"/>
      <c r="AL214" s="55"/>
      <c r="AM214" s="55"/>
      <c r="AN214" s="55"/>
      <c r="AO214" s="55"/>
      <c r="AP214" s="55"/>
      <c r="AQ214" s="55"/>
      <c r="AR214" s="55"/>
      <c r="AS214" s="55"/>
      <c r="AT214" s="55"/>
      <c r="AU214" s="55"/>
      <c r="AV214" s="55"/>
      <c r="AW214" s="55"/>
    </row>
    <row r="215" spans="1:49">
      <c r="U215" s="55"/>
      <c r="V215" s="55"/>
      <c r="W215" s="55"/>
      <c r="X215" s="55"/>
      <c r="Y215" s="55"/>
      <c r="Z215" s="55"/>
      <c r="AA215" s="55"/>
      <c r="AB215" s="55" t="s">
        <v>31</v>
      </c>
      <c r="AC215" s="55"/>
      <c r="AD215" s="55">
        <f t="shared" ref="AD215:AD221" si="46">F227*D227</f>
        <v>38.5</v>
      </c>
      <c r="AE215" s="55">
        <f t="shared" ref="AE215:AE221" si="47">IF($AD215*2&gt;$F227,IF($AD215*2-$F227&lt;$AD215,$F227-$AD215*1,0),$AD215)</f>
        <v>38.5</v>
      </c>
      <c r="AF215" s="55">
        <f t="shared" ref="AF215:AF221" si="48">IF($AD215*3&gt;$F227,IF($AD215*3-$F227&lt;$AD215,$F227-$AD215*2,0),$AD215)</f>
        <v>38.5</v>
      </c>
      <c r="AG215" s="55">
        <f t="shared" ref="AG215:AG221" si="49">IF($AD215*4&gt;$F227,IF($AD215*4-$F227&lt;$AD215,$F227-$AD215*3,0),$AD215)</f>
        <v>38.5</v>
      </c>
      <c r="AH215" s="55">
        <f t="shared" ref="AH215:AH221" si="50">IF($AD215*5&gt;$F227,IF($AD215*5-$F227&lt;$AD215,$F227-$AD215*4,0),$AD215)</f>
        <v>38.5</v>
      </c>
      <c r="AI215" s="55">
        <f t="shared" ref="AI215:AI221" si="51">IF($AD215*6&gt;$F227,IF($AD215*6-$F227&lt;$AD215,$F227-$AD215*5,0),$AD215)</f>
        <v>38.5</v>
      </c>
      <c r="AJ215" s="55">
        <f t="shared" ref="AJ215:AJ221" si="52">IF($AD215*7&gt;$F227,IF($AD215*7-$F227&lt;$AD215,$F227-$AD215*6,0),$AD215)</f>
        <v>38.5</v>
      </c>
      <c r="AK215" s="55">
        <f t="shared" ref="AK215:AK221" si="53">IF($AD215*8&gt;$F227,IF($AD215*8-$F227&lt;$AD215,$F227-$AD215*7,0),$AD215)</f>
        <v>38.5</v>
      </c>
      <c r="AL215" s="55">
        <f t="shared" ref="AL215:AL221" si="54">IF($AD215*9&gt;$F227,IF($AD215*9-$F227&lt;$AD215,$F227-$AD215*8,0),$AD215)</f>
        <v>38.5</v>
      </c>
      <c r="AM215" s="55">
        <f t="shared" ref="AM215:AM221" si="55">IF($AD215*10&gt;$F227,IF($AD215*10-$F227&lt;$AD215,$F227-$AD215*9,0),$AD215)</f>
        <v>38.5</v>
      </c>
      <c r="AN215" s="55">
        <f t="shared" ref="AN215:AN221" si="56">IF($AD215*11&gt;$F227,IF($AD215*11-$F227&lt;$AD215,$F227-$AD215*10,0),$AD215)</f>
        <v>38.5</v>
      </c>
      <c r="AO215" s="55">
        <f t="shared" ref="AO215:AO221" si="57">IF($AD215*12&gt;$F227,IF($AD215*12-$F227&lt;$AD215,$F227-$AD215*11,0),$AD215)</f>
        <v>38.5</v>
      </c>
      <c r="AP215" s="55">
        <f t="shared" ref="AP215:AP221" si="58">IF($AD215*13&gt;$F227,IF($AD215*13-$F227&lt;$AD215,$F227-$AD215*12,0),$AD215)</f>
        <v>38.5</v>
      </c>
      <c r="AQ215" s="55">
        <f t="shared" ref="AQ215:AQ221" si="59">IF($AD215*14&gt;$F227,IF($AD215*14-$F227&lt;$AD215,$F227-$AD215*13,0),$AD215)</f>
        <v>38.5</v>
      </c>
      <c r="AR215" s="55">
        <f t="shared" ref="AR215:AR221" si="60">IF($AD215*15&gt;$F227,IF($AD215*15-$F227&lt;$AD215,$F227-$AD215*14,0),$AD215)</f>
        <v>38.5</v>
      </c>
      <c r="AS215" s="55">
        <f t="shared" ref="AS215:AS221" si="61">IF($AD215*16&gt;$F227,IF($AD215*16-$F227&lt;$AD215,$F227-$AD215*15,0),$AD215)</f>
        <v>38.5</v>
      </c>
      <c r="AT215" s="55">
        <f t="shared" ref="AT215:AT221" si="62">IF($AD215*17&gt;$F227,IF($AD215*17-$F227&lt;$AD215,$F227-$AD215*16,0),$AD215)</f>
        <v>38.5</v>
      </c>
      <c r="AU215" s="55">
        <f t="shared" ref="AU215:AU221" si="63">IF($AD215*18&gt;$F227,IF($AD215*18-$F227&lt;$AD215,$F227-$AD215*17,0),$AD215)</f>
        <v>38.5</v>
      </c>
      <c r="AV215" s="55">
        <f t="shared" ref="AV215:AV221" si="64">IF($AD215*19&gt;$F227,IF($AD215*19-$F227&lt;$AD215,$F227-$AD215*18,0),$AD215)</f>
        <v>38.5</v>
      </c>
      <c r="AW215" s="55"/>
    </row>
    <row r="216" spans="1:49">
      <c r="U216" s="55"/>
      <c r="V216" s="55"/>
      <c r="W216" s="55"/>
      <c r="X216" s="55"/>
      <c r="Y216" s="55"/>
      <c r="Z216" s="55"/>
      <c r="AA216" s="55"/>
      <c r="AB216" s="55" t="s">
        <v>32</v>
      </c>
      <c r="AC216" s="55"/>
      <c r="AD216" s="55">
        <f t="shared" si="46"/>
        <v>567.65</v>
      </c>
      <c r="AE216" s="55">
        <f t="shared" si="47"/>
        <v>567.65</v>
      </c>
      <c r="AF216" s="55">
        <f t="shared" si="48"/>
        <v>567.65</v>
      </c>
      <c r="AG216" s="55">
        <f t="shared" si="49"/>
        <v>567.65</v>
      </c>
      <c r="AH216" s="55">
        <f t="shared" si="50"/>
        <v>567.65</v>
      </c>
      <c r="AI216" s="55">
        <f t="shared" si="51"/>
        <v>567.65</v>
      </c>
      <c r="AJ216" s="55">
        <f t="shared" si="52"/>
        <v>567.65</v>
      </c>
      <c r="AK216" s="55">
        <f t="shared" si="53"/>
        <v>567.65</v>
      </c>
      <c r="AL216" s="55">
        <f t="shared" si="54"/>
        <v>567.65</v>
      </c>
      <c r="AM216" s="55">
        <f t="shared" si="55"/>
        <v>567.65</v>
      </c>
      <c r="AN216" s="55">
        <f t="shared" si="56"/>
        <v>567.65</v>
      </c>
      <c r="AO216" s="55">
        <f t="shared" si="57"/>
        <v>567.65</v>
      </c>
      <c r="AP216" s="55">
        <f t="shared" si="58"/>
        <v>567.65</v>
      </c>
      <c r="AQ216" s="55">
        <f t="shared" si="59"/>
        <v>567.65</v>
      </c>
      <c r="AR216" s="55">
        <f t="shared" si="60"/>
        <v>567.65</v>
      </c>
      <c r="AS216" s="55">
        <f t="shared" si="61"/>
        <v>567.65</v>
      </c>
      <c r="AT216" s="55">
        <f t="shared" si="62"/>
        <v>567.65</v>
      </c>
      <c r="AU216" s="55">
        <f t="shared" si="63"/>
        <v>567.65</v>
      </c>
      <c r="AV216" s="55">
        <f t="shared" si="64"/>
        <v>567.65</v>
      </c>
      <c r="AW216" s="55"/>
    </row>
    <row r="217" spans="1:49" ht="21" thickBot="1">
      <c r="U217" s="55"/>
      <c r="V217" s="55"/>
      <c r="W217" s="55"/>
      <c r="X217" s="55"/>
      <c r="Y217" s="55"/>
      <c r="Z217" s="55"/>
      <c r="AA217" s="55"/>
      <c r="AB217" s="55" t="s">
        <v>33</v>
      </c>
      <c r="AC217" s="55"/>
      <c r="AD217" s="55">
        <f t="shared" si="46"/>
        <v>0</v>
      </c>
      <c r="AE217" s="55">
        <f t="shared" si="47"/>
        <v>0</v>
      </c>
      <c r="AF217" s="55">
        <f t="shared" si="48"/>
        <v>0</v>
      </c>
      <c r="AG217" s="55">
        <f t="shared" si="49"/>
        <v>0</v>
      </c>
      <c r="AH217" s="55">
        <f t="shared" si="50"/>
        <v>0</v>
      </c>
      <c r="AI217" s="55">
        <f t="shared" si="51"/>
        <v>0</v>
      </c>
      <c r="AJ217" s="55">
        <f t="shared" si="52"/>
        <v>0</v>
      </c>
      <c r="AK217" s="55">
        <f t="shared" si="53"/>
        <v>0</v>
      </c>
      <c r="AL217" s="55">
        <f t="shared" si="54"/>
        <v>0</v>
      </c>
      <c r="AM217" s="55">
        <f t="shared" si="55"/>
        <v>0</v>
      </c>
      <c r="AN217" s="55">
        <f t="shared" si="56"/>
        <v>0</v>
      </c>
      <c r="AO217" s="55">
        <f t="shared" si="57"/>
        <v>0</v>
      </c>
      <c r="AP217" s="55">
        <f t="shared" si="58"/>
        <v>0</v>
      </c>
      <c r="AQ217" s="55">
        <f t="shared" si="59"/>
        <v>0</v>
      </c>
      <c r="AR217" s="55">
        <f t="shared" si="60"/>
        <v>0</v>
      </c>
      <c r="AS217" s="55">
        <f t="shared" si="61"/>
        <v>0</v>
      </c>
      <c r="AT217" s="55">
        <f t="shared" si="62"/>
        <v>0</v>
      </c>
      <c r="AU217" s="55">
        <f t="shared" si="63"/>
        <v>0</v>
      </c>
      <c r="AV217" s="55">
        <f t="shared" si="64"/>
        <v>0</v>
      </c>
      <c r="AW217" s="55"/>
    </row>
    <row r="218" spans="1:49" ht="33.75" customHeight="1" thickTop="1" thickBot="1">
      <c r="A218" s="57" t="s">
        <v>128</v>
      </c>
      <c r="B218" s="57"/>
      <c r="C218" s="197" t="s">
        <v>129</v>
      </c>
      <c r="D218" s="57"/>
      <c r="E218" s="57"/>
      <c r="F218" s="57"/>
      <c r="G218" s="57"/>
      <c r="H218" s="57"/>
      <c r="O218" s="152" t="s">
        <v>130</v>
      </c>
      <c r="P218" s="151"/>
      <c r="U218" s="55"/>
      <c r="V218" s="55"/>
      <c r="W218" s="55"/>
      <c r="X218" s="55"/>
      <c r="Y218" s="55"/>
      <c r="Z218" s="55"/>
      <c r="AA218" s="55"/>
      <c r="AB218" s="55" t="s">
        <v>34</v>
      </c>
      <c r="AC218" s="55"/>
      <c r="AD218" s="55">
        <f t="shared" si="46"/>
        <v>71.8</v>
      </c>
      <c r="AE218" s="55">
        <f t="shared" si="47"/>
        <v>71.8</v>
      </c>
      <c r="AF218" s="55">
        <f t="shared" si="48"/>
        <v>71.8</v>
      </c>
      <c r="AG218" s="55">
        <f t="shared" si="49"/>
        <v>71.8</v>
      </c>
      <c r="AH218" s="55">
        <f t="shared" si="50"/>
        <v>71.8</v>
      </c>
      <c r="AI218" s="55">
        <f t="shared" si="51"/>
        <v>0</v>
      </c>
      <c r="AJ218" s="55">
        <f t="shared" si="52"/>
        <v>0</v>
      </c>
      <c r="AK218" s="55">
        <f t="shared" si="53"/>
        <v>0</v>
      </c>
      <c r="AL218" s="55">
        <f t="shared" si="54"/>
        <v>0</v>
      </c>
      <c r="AM218" s="55">
        <f t="shared" si="55"/>
        <v>0</v>
      </c>
      <c r="AN218" s="55">
        <f t="shared" si="56"/>
        <v>0</v>
      </c>
      <c r="AO218" s="55">
        <f t="shared" si="57"/>
        <v>0</v>
      </c>
      <c r="AP218" s="55">
        <f t="shared" si="58"/>
        <v>0</v>
      </c>
      <c r="AQ218" s="55">
        <f t="shared" si="59"/>
        <v>0</v>
      </c>
      <c r="AR218" s="55">
        <f t="shared" si="60"/>
        <v>0</v>
      </c>
      <c r="AS218" s="55">
        <f t="shared" si="61"/>
        <v>0</v>
      </c>
      <c r="AT218" s="55">
        <f t="shared" si="62"/>
        <v>0</v>
      </c>
      <c r="AU218" s="55">
        <f t="shared" si="63"/>
        <v>0</v>
      </c>
      <c r="AV218" s="55">
        <f t="shared" si="64"/>
        <v>0</v>
      </c>
      <c r="AW218" s="55"/>
    </row>
    <row r="219" spans="1:49" ht="33.75" customHeight="1" thickTop="1">
      <c r="A219" s="57"/>
      <c r="B219" s="57"/>
      <c r="C219" s="54" t="s">
        <v>131</v>
      </c>
      <c r="D219" s="57"/>
      <c r="E219" s="57"/>
      <c r="F219" s="57"/>
      <c r="G219" s="57"/>
      <c r="H219" s="57"/>
      <c r="U219" s="55"/>
      <c r="V219" s="55"/>
      <c r="W219" s="55"/>
      <c r="X219" s="55"/>
      <c r="Y219" s="55"/>
      <c r="Z219" s="55"/>
      <c r="AA219" s="55"/>
      <c r="AB219" s="55" t="s">
        <v>124</v>
      </c>
      <c r="AC219" s="55"/>
      <c r="AD219" s="55">
        <f t="shared" si="46"/>
        <v>22.900000000000002</v>
      </c>
      <c r="AE219" s="55">
        <f t="shared" si="47"/>
        <v>22.900000000000002</v>
      </c>
      <c r="AF219" s="55">
        <f t="shared" si="48"/>
        <v>22.900000000000002</v>
      </c>
      <c r="AG219" s="55">
        <f t="shared" si="49"/>
        <v>22.900000000000002</v>
      </c>
      <c r="AH219" s="55">
        <f t="shared" si="50"/>
        <v>22.900000000000002</v>
      </c>
      <c r="AI219" s="55">
        <f t="shared" si="51"/>
        <v>22.900000000000002</v>
      </c>
      <c r="AJ219" s="55">
        <f t="shared" si="52"/>
        <v>22.900000000000002</v>
      </c>
      <c r="AK219" s="55">
        <f t="shared" si="53"/>
        <v>22.900000000000002</v>
      </c>
      <c r="AL219" s="55">
        <f t="shared" si="54"/>
        <v>22.900000000000002</v>
      </c>
      <c r="AM219" s="55">
        <f t="shared" si="55"/>
        <v>22.900000000000002</v>
      </c>
      <c r="AN219" s="55">
        <f t="shared" si="56"/>
        <v>22.900000000000002</v>
      </c>
      <c r="AO219" s="55">
        <f t="shared" si="57"/>
        <v>22.900000000000002</v>
      </c>
      <c r="AP219" s="55">
        <f t="shared" si="58"/>
        <v>22.900000000000002</v>
      </c>
      <c r="AQ219" s="55">
        <f t="shared" si="59"/>
        <v>22.900000000000002</v>
      </c>
      <c r="AR219" s="55">
        <f t="shared" si="60"/>
        <v>22.900000000000002</v>
      </c>
      <c r="AS219" s="55">
        <f t="shared" si="61"/>
        <v>22.900000000000002</v>
      </c>
      <c r="AT219" s="55">
        <f t="shared" si="62"/>
        <v>22.900000000000002</v>
      </c>
      <c r="AU219" s="55">
        <f t="shared" si="63"/>
        <v>22.900000000000002</v>
      </c>
      <c r="AV219" s="55">
        <f t="shared" si="64"/>
        <v>22.900000000000002</v>
      </c>
      <c r="AW219" s="55"/>
    </row>
    <row r="220" spans="1:49" ht="24" customHeight="1">
      <c r="A220" s="57"/>
      <c r="B220" s="57"/>
      <c r="D220" s="57"/>
      <c r="E220" s="57"/>
      <c r="F220" s="57"/>
      <c r="G220" s="57"/>
      <c r="H220" s="57"/>
      <c r="U220" s="55"/>
      <c r="V220" s="55"/>
      <c r="W220" s="55"/>
      <c r="X220" s="55"/>
      <c r="Y220" s="55"/>
      <c r="Z220" s="55"/>
      <c r="AA220" s="55"/>
      <c r="AB220" s="55" t="s">
        <v>123</v>
      </c>
      <c r="AC220" s="55"/>
      <c r="AD220" s="55">
        <f t="shared" si="46"/>
        <v>0</v>
      </c>
      <c r="AE220" s="55">
        <f t="shared" si="47"/>
        <v>0</v>
      </c>
      <c r="AF220" s="55">
        <f t="shared" si="48"/>
        <v>0</v>
      </c>
      <c r="AG220" s="55">
        <f t="shared" si="49"/>
        <v>0</v>
      </c>
      <c r="AH220" s="55">
        <f t="shared" si="50"/>
        <v>0</v>
      </c>
      <c r="AI220" s="55">
        <f t="shared" si="51"/>
        <v>0</v>
      </c>
      <c r="AJ220" s="55">
        <f t="shared" si="52"/>
        <v>0</v>
      </c>
      <c r="AK220" s="55">
        <f t="shared" si="53"/>
        <v>0</v>
      </c>
      <c r="AL220" s="55">
        <f t="shared" si="54"/>
        <v>0</v>
      </c>
      <c r="AM220" s="55">
        <f t="shared" si="55"/>
        <v>0</v>
      </c>
      <c r="AN220" s="55">
        <f t="shared" si="56"/>
        <v>0</v>
      </c>
      <c r="AO220" s="55">
        <f t="shared" si="57"/>
        <v>0</v>
      </c>
      <c r="AP220" s="55">
        <f t="shared" si="58"/>
        <v>0</v>
      </c>
      <c r="AQ220" s="55">
        <f t="shared" si="59"/>
        <v>0</v>
      </c>
      <c r="AR220" s="55">
        <f t="shared" si="60"/>
        <v>0</v>
      </c>
      <c r="AS220" s="55">
        <f t="shared" si="61"/>
        <v>0</v>
      </c>
      <c r="AT220" s="55">
        <f t="shared" si="62"/>
        <v>0</v>
      </c>
      <c r="AU220" s="55">
        <f t="shared" si="63"/>
        <v>0</v>
      </c>
      <c r="AV220" s="55">
        <f t="shared" si="64"/>
        <v>0</v>
      </c>
      <c r="AW220" s="55"/>
    </row>
    <row r="221" spans="1:49" ht="24" customHeight="1">
      <c r="A221" s="57"/>
      <c r="B221" s="57"/>
      <c r="C221" s="57"/>
      <c r="D221" s="57"/>
      <c r="E221" s="57"/>
      <c r="F221" s="57"/>
      <c r="G221" s="57"/>
      <c r="H221" s="57"/>
      <c r="U221" s="55"/>
      <c r="V221" s="55"/>
      <c r="W221" s="55"/>
      <c r="X221" s="55"/>
      <c r="Y221" s="55"/>
      <c r="Z221" s="55"/>
      <c r="AA221" s="55"/>
      <c r="AB221" s="55" t="s">
        <v>132</v>
      </c>
      <c r="AC221" s="55"/>
      <c r="AD221" s="55">
        <f t="shared" si="46"/>
        <v>0</v>
      </c>
      <c r="AE221" s="55">
        <f t="shared" si="47"/>
        <v>0</v>
      </c>
      <c r="AF221" s="55">
        <f t="shared" si="48"/>
        <v>0</v>
      </c>
      <c r="AG221" s="55">
        <f t="shared" si="49"/>
        <v>0</v>
      </c>
      <c r="AH221" s="55">
        <f t="shared" si="50"/>
        <v>0</v>
      </c>
      <c r="AI221" s="55">
        <f t="shared" si="51"/>
        <v>0</v>
      </c>
      <c r="AJ221" s="55">
        <f t="shared" si="52"/>
        <v>0</v>
      </c>
      <c r="AK221" s="55">
        <f t="shared" si="53"/>
        <v>0</v>
      </c>
      <c r="AL221" s="55">
        <f t="shared" si="54"/>
        <v>0</v>
      </c>
      <c r="AM221" s="55">
        <f t="shared" si="55"/>
        <v>0</v>
      </c>
      <c r="AN221" s="55">
        <f t="shared" si="56"/>
        <v>0</v>
      </c>
      <c r="AO221" s="55">
        <f t="shared" si="57"/>
        <v>0</v>
      </c>
      <c r="AP221" s="55">
        <f t="shared" si="58"/>
        <v>0</v>
      </c>
      <c r="AQ221" s="55">
        <f t="shared" si="59"/>
        <v>0</v>
      </c>
      <c r="AR221" s="55">
        <f t="shared" si="60"/>
        <v>0</v>
      </c>
      <c r="AS221" s="55">
        <f t="shared" si="61"/>
        <v>0</v>
      </c>
      <c r="AT221" s="55">
        <f t="shared" si="62"/>
        <v>0</v>
      </c>
      <c r="AU221" s="55">
        <f t="shared" si="63"/>
        <v>0</v>
      </c>
      <c r="AV221" s="55">
        <f t="shared" si="64"/>
        <v>0</v>
      </c>
      <c r="AW221" s="55"/>
    </row>
    <row r="222" spans="1:49" ht="24" customHeight="1" thickBot="1">
      <c r="A222" s="57"/>
      <c r="B222" s="57"/>
      <c r="C222" s="57"/>
      <c r="D222" s="57"/>
      <c r="E222" s="57"/>
      <c r="F222" s="57"/>
      <c r="G222" s="57"/>
      <c r="H222" s="57"/>
      <c r="U222" s="55"/>
      <c r="V222" s="55"/>
      <c r="W222" s="55"/>
      <c r="X222" s="55"/>
      <c r="Y222" s="55"/>
      <c r="Z222" s="55"/>
      <c r="AA222" s="55"/>
      <c r="AB222" s="55" t="s">
        <v>133</v>
      </c>
      <c r="AC222" s="55"/>
      <c r="AD222" s="55">
        <f>F236*D236</f>
        <v>300</v>
      </c>
      <c r="AE222" s="55">
        <f>IF($AD222*2&gt;$F236,IF($AD222*2-$F236&lt;$AD222,$F236-$AD222*1,0),$AD222)</f>
        <v>0</v>
      </c>
      <c r="AF222" s="55">
        <f>IF($AD222*3&gt;$F236,IF($AD222*3-$F236&lt;$AD222,$F236-$AD222*2,0),$AD222)</f>
        <v>0</v>
      </c>
      <c r="AG222" s="55">
        <f>IF($AD222*4&gt;$F236,IF($AD222*4-$F236&lt;$AD222,$F236-$AD222*3,0),$AD222)</f>
        <v>0</v>
      </c>
      <c r="AH222" s="55">
        <f>IF($AD222*5&gt;$F236,IF($AD222*5-$F236&lt;$AD222,$F236-$AD222*4,0),$AD222)</f>
        <v>0</v>
      </c>
      <c r="AI222" s="55">
        <f>IF($AD222*6&gt;$F236,IF($AD222*6-$F236&lt;$AD222,$F236-$AD222*5,0),$AD222)</f>
        <v>0</v>
      </c>
      <c r="AJ222" s="55">
        <f>IF($AD222*7&gt;$F236,IF($AD222*7-$F236&lt;$AD222,$F236-$AD222*6,0),$AD222)</f>
        <v>0</v>
      </c>
      <c r="AK222" s="55">
        <f>IF($AD222*8&gt;$F236,IF($AD222*8-$F236&lt;$AD222,$F236-$AD222*7,0),$AD222)</f>
        <v>0</v>
      </c>
      <c r="AL222" s="55">
        <f>IF($AD222*9&gt;$F236,IF($AD222*9-$F236&lt;$AD222,$F236-$AD222*8,0),$AD222)</f>
        <v>0</v>
      </c>
      <c r="AM222" s="55">
        <f>IF($AD222*10&gt;$F236,IF($AD222*10-$F236&lt;$AD222,$F236-$AD222*9,0),$AD222)</f>
        <v>0</v>
      </c>
      <c r="AN222" s="55">
        <f>IF($AD222*11&gt;$F236,IF($AD222*11-$F236&lt;$AD222,$F236-$AD222*10,0),$AD222)</f>
        <v>0</v>
      </c>
      <c r="AO222" s="55">
        <f>IF($AD222*12&gt;$F236,IF($AD222*12-$F236&lt;$AD222,$F236-$AD222*11,0),$AD222)</f>
        <v>0</v>
      </c>
      <c r="AP222" s="55">
        <f>IF($AD222*13&gt;$F236,IF($AD222*13-$F236&lt;$AD222,$F236-$AD222*12,0),$AD222)</f>
        <v>0</v>
      </c>
      <c r="AQ222" s="55">
        <f>IF($AD222*14&gt;$F236,IF($AD222*14-$F236&lt;$AD222,$F236-$AD222*13,0),$AD222)</f>
        <v>0</v>
      </c>
      <c r="AR222" s="55">
        <f>IF($AD222*15&gt;$F236,IF($AD222*15-$F236&lt;$AD222,$F236-$AD222*14,0),$AD222)</f>
        <v>0</v>
      </c>
      <c r="AS222" s="55">
        <f>IF($AD222*16&gt;$F236,IF($AD222*16-$F236&lt;$AD222,$F236-$AD222*15,0),$AD222)</f>
        <v>0</v>
      </c>
      <c r="AT222" s="55">
        <f>IF($AD222*17&gt;$F236,IF($AD222*17-$F236&lt;$AD222,$F236-$AD222*16,0),$AD222)</f>
        <v>0</v>
      </c>
      <c r="AU222" s="55">
        <f>IF($AD222*18&gt;$F236,IF($AD222*18-$F236&lt;$AD222,$F236-$AD222*17,0),$AD222)</f>
        <v>0</v>
      </c>
      <c r="AV222" s="55">
        <f>IF($AD222*19&gt;$F236,IF($AD222*19-$F236&lt;$AD222,$F236-$AD222*18,0),$AD222)</f>
        <v>0</v>
      </c>
      <c r="AW222" s="55"/>
    </row>
    <row r="223" spans="1:49" ht="33.75" customHeight="1" thickTop="1">
      <c r="A223" s="57"/>
      <c r="B223" s="57"/>
      <c r="D223" s="196" t="s">
        <v>134</v>
      </c>
      <c r="E223" s="195" t="s">
        <v>135</v>
      </c>
      <c r="F223" s="632" t="s">
        <v>136</v>
      </c>
      <c r="G223" s="633"/>
      <c r="H223" s="633"/>
      <c r="I223" s="633"/>
      <c r="J223" s="633"/>
      <c r="K223" s="633"/>
      <c r="L223" s="633"/>
      <c r="M223" s="633"/>
      <c r="N223" s="633"/>
      <c r="O223" s="633"/>
      <c r="P223" s="633"/>
      <c r="Q223" s="633"/>
      <c r="R223" s="633"/>
      <c r="S223" s="633"/>
      <c r="T223" s="633"/>
      <c r="U223" s="634"/>
      <c r="V223" s="55"/>
      <c r="W223" s="55"/>
      <c r="X223" s="55"/>
      <c r="Y223" s="55"/>
      <c r="Z223" s="55"/>
      <c r="AA223" s="55"/>
      <c r="AB223" s="55"/>
      <c r="AC223" s="55"/>
      <c r="AD223" s="55">
        <f>F237*D237</f>
        <v>99</v>
      </c>
      <c r="AE223" s="55">
        <f>IF($AD223*2&gt;$F237,IF($AD223*2-$F237&lt;$AD223,$F237-$AD223*1,0),$AD223)</f>
        <v>0</v>
      </c>
      <c r="AF223" s="55">
        <f>IF($AD223*3&gt;$F237,IF($AD223*3-$F237&lt;$AD223,$F237-$AD223*2,0),$AD223)</f>
        <v>0</v>
      </c>
      <c r="AG223" s="55">
        <f>IF($AD223*4&gt;$F237,IF($AD223*4-$F237&lt;$AD223,$F237-$AD223*3,0),$AD223)</f>
        <v>0</v>
      </c>
      <c r="AH223" s="55">
        <f>IF($AD223*5&gt;$F237,IF($AD223*5-$F237&lt;$AD223,$F237-$AD223*4,0),$AD223)</f>
        <v>0</v>
      </c>
      <c r="AI223" s="55">
        <f>IF($AD223*6&gt;$F237,IF($AD223*6-$F237&lt;$AD223,$F237-$AD223*5,0),$AD223)</f>
        <v>0</v>
      </c>
      <c r="AJ223" s="55">
        <f>IF($AD223*7&gt;$F237,IF($AD223*7-$F237&lt;$AD223,$F237-$AD223*6,0),$AD223)</f>
        <v>0</v>
      </c>
      <c r="AK223" s="55">
        <f>IF($AD223*8&gt;$F237,IF($AD223*8-$F237&lt;$AD223,$F237-$AD223*7,0),$AD223)</f>
        <v>0</v>
      </c>
      <c r="AL223" s="55">
        <f>IF($AD223*9&gt;$F237,IF($AD223*9-$F237&lt;$AD223,$F237-$AD223*8,0),$AD223)</f>
        <v>0</v>
      </c>
      <c r="AM223" s="55">
        <f>IF($AD223*10&gt;$F237,IF($AD223*10-$F237&lt;$AD223,$F237-$AD223*9,0),$AD223)</f>
        <v>0</v>
      </c>
      <c r="AN223" s="55">
        <f>IF($AD223*11&gt;$F237,IF($AD223*11-$F237&lt;$AD223,$F237-$AD223*10,0),$AD223)</f>
        <v>0</v>
      </c>
      <c r="AO223" s="55">
        <f>IF($AD223*12&gt;$F237,IF($AD223*12-$F237&lt;$AD223,$F237-$AD223*11,0),$AD223)</f>
        <v>0</v>
      </c>
      <c r="AP223" s="55">
        <f>IF($AD223*13&gt;$F237,IF($AD223*13-$F237&lt;$AD223,$F237-$AD223*12,0),$AD223)</f>
        <v>0</v>
      </c>
      <c r="AQ223" s="55">
        <f>IF($AD223*14&gt;$F237,IF($AD223*14-$F237&lt;$AD223,$F237-$AD223*13,0),$AD223)</f>
        <v>0</v>
      </c>
      <c r="AR223" s="55">
        <f>IF($AD223*15&gt;$F237,IF($AD223*15-$F237&lt;$AD223,$F237-$AD223*14,0),$AD223)</f>
        <v>0</v>
      </c>
      <c r="AS223" s="55">
        <f>IF($AD223*16&gt;$F237,IF($AD223*16-$F237&lt;$AD223,$F237-$AD223*15,0),$AD223)</f>
        <v>0</v>
      </c>
      <c r="AT223" s="55">
        <f>IF($AD223*17&gt;$F237,IF($AD223*17-$F237&lt;$AD223,$F237-$AD223*16,0),$AD223)</f>
        <v>0</v>
      </c>
      <c r="AU223" s="55">
        <f>IF($AD223*18&gt;$F237,IF($AD223*18-$F237&lt;$AD223,$F237-$AD223*17,0),$AD223)</f>
        <v>0</v>
      </c>
      <c r="AV223" s="55">
        <f>IF($AD223*19&gt;$F237,IF($AD223*19-$F237&lt;$AD223,$F237-$AD223*18,0),$AD223)</f>
        <v>0</v>
      </c>
      <c r="AW223" s="55"/>
    </row>
    <row r="224" spans="1:49" ht="33.75" customHeight="1" thickBot="1">
      <c r="A224" s="57"/>
      <c r="B224" s="57"/>
      <c r="D224" s="194" t="s">
        <v>137</v>
      </c>
      <c r="E224" s="193" t="s">
        <v>137</v>
      </c>
      <c r="F224" s="505" t="str">
        <f>""&amp;'Financial Stat.'!B318</f>
        <v xml:space="preserve">  2025</v>
      </c>
      <c r="G224" s="503" t="str">
        <f>""&amp;'Financial Stat.'!C318</f>
        <v xml:space="preserve">  2026</v>
      </c>
      <c r="H224" s="503" t="str">
        <f>""&amp;'Financial Stat.'!D318</f>
        <v xml:space="preserve">  2027</v>
      </c>
      <c r="I224" s="503" t="str">
        <f>""&amp;'Financial Stat.'!E318</f>
        <v xml:space="preserve">  2028</v>
      </c>
      <c r="J224" s="503" t="str">
        <f>""&amp;'Financial Stat.'!F318</f>
        <v xml:space="preserve">  2029</v>
      </c>
      <c r="K224" s="503" t="str">
        <f>""&amp;'Financial Stat.'!G318</f>
        <v xml:space="preserve">  2030</v>
      </c>
      <c r="L224" s="503" t="str">
        <f>""&amp;'Financial Stat.'!H318</f>
        <v xml:space="preserve">  2031</v>
      </c>
      <c r="M224" s="503" t="str">
        <f>""&amp;'Financial Stat.'!I318</f>
        <v xml:space="preserve">  2032</v>
      </c>
      <c r="N224" s="503" t="str">
        <f>""&amp;'Financial Stat.'!J318</f>
        <v xml:space="preserve">  2033</v>
      </c>
      <c r="O224" s="503" t="str">
        <f>""&amp;'Financial Stat.'!K318</f>
        <v xml:space="preserve">  2034</v>
      </c>
      <c r="P224" s="503" t="str">
        <f>""&amp;'Financial Stat.'!L318</f>
        <v xml:space="preserve">  2035</v>
      </c>
      <c r="Q224" s="503" t="str">
        <f>""&amp;'Financial Stat.'!M318</f>
        <v xml:space="preserve">  2036</v>
      </c>
      <c r="R224" s="503" t="str">
        <f>""&amp;'Financial Stat.'!N318</f>
        <v xml:space="preserve">  2037</v>
      </c>
      <c r="S224" s="503" t="str">
        <f>""&amp;'Financial Stat.'!O318</f>
        <v xml:space="preserve">  2038</v>
      </c>
      <c r="T224" s="503" t="str">
        <f>""&amp;'Financial Stat.'!P318</f>
        <v xml:space="preserve">  2039</v>
      </c>
      <c r="U224" s="501" t="str">
        <f>""&amp;'Financial Stat.'!Q318</f>
        <v xml:space="preserve">  2040</v>
      </c>
      <c r="V224" s="55"/>
      <c r="W224" s="55"/>
      <c r="X224" s="55"/>
      <c r="Y224" s="55"/>
      <c r="Z224" s="55"/>
      <c r="AA224" s="55"/>
      <c r="AB224" s="55"/>
      <c r="AC224" s="55"/>
      <c r="AD224" s="55"/>
      <c r="AE224" s="55"/>
      <c r="AF224" s="55"/>
      <c r="AG224" s="55"/>
      <c r="AH224" s="55"/>
      <c r="AI224" s="55"/>
      <c r="AJ224" s="55"/>
      <c r="AK224" s="55"/>
      <c r="AL224" s="55"/>
      <c r="AM224" s="55"/>
      <c r="AN224" s="55"/>
      <c r="AO224" s="55"/>
      <c r="AP224" s="55"/>
      <c r="AQ224" s="55"/>
      <c r="AR224" s="55"/>
      <c r="AS224" s="55"/>
      <c r="AT224" s="55"/>
      <c r="AU224" s="55"/>
      <c r="AV224" s="55"/>
      <c r="AW224" s="55"/>
    </row>
    <row r="225" spans="1:49" ht="33.75" customHeight="1" thickTop="1">
      <c r="A225" s="57"/>
      <c r="B225" s="57"/>
      <c r="C225" s="192" t="s">
        <v>138</v>
      </c>
      <c r="D225" s="85"/>
      <c r="E225" s="147"/>
      <c r="F225" s="191"/>
      <c r="G225" s="147"/>
      <c r="H225" s="147"/>
      <c r="I225" s="147"/>
      <c r="J225" s="147"/>
      <c r="K225" s="147"/>
      <c r="L225" s="147"/>
      <c r="M225" s="147"/>
      <c r="N225" s="147"/>
      <c r="O225" s="147"/>
      <c r="P225" s="147"/>
      <c r="Q225" s="147"/>
      <c r="R225" s="147"/>
      <c r="S225" s="147"/>
      <c r="T225" s="147"/>
      <c r="U225" s="146"/>
      <c r="V225" s="55"/>
      <c r="W225" s="55"/>
      <c r="X225" s="55"/>
      <c r="Y225" s="55"/>
      <c r="Z225" s="55"/>
      <c r="AA225" s="55"/>
      <c r="AB225" s="55"/>
      <c r="AC225" s="55"/>
      <c r="AD225" s="55"/>
      <c r="AE225" s="55">
        <f t="shared" ref="AE225:AE231" si="65">G227*D227</f>
        <v>0</v>
      </c>
      <c r="AF225" s="55">
        <f t="shared" ref="AF225:AF231" si="66">IF($AE225*2&gt;$G227,IF($AE225*2-$G227&lt;$AE225,$G227-$AE225*1,0),$AE225)</f>
        <v>0</v>
      </c>
      <c r="AG225" s="55">
        <f t="shared" ref="AG225:AG231" si="67">IF($AE225*3&gt;$G227,IF($AE225*3-$G227&lt;$AE225,$G227-$AE225*2,0),$AE225)</f>
        <v>0</v>
      </c>
      <c r="AH225" s="55">
        <f t="shared" ref="AH225:AH231" si="68">IF($AE225*4&gt;$G227,IF($AE225*4-$G227&lt;$AE225,$G227-$AE225*3,0),$AE225)</f>
        <v>0</v>
      </c>
      <c r="AI225" s="55">
        <f t="shared" ref="AI225:AI231" si="69">IF($AE225*5&gt;$G227,IF($AE225*5-$G227&lt;$AE225,$G227-$AE225*4,0),$AE225)</f>
        <v>0</v>
      </c>
      <c r="AJ225" s="55">
        <f t="shared" ref="AJ225:AJ231" si="70">IF($AE225*6&gt;$G227,IF($AE225*6-$G227&lt;$AE225,$G227-$AE225*5,0),$AE225)</f>
        <v>0</v>
      </c>
      <c r="AK225" s="55">
        <f t="shared" ref="AK225:AK231" si="71">IF($AE225*7&gt;$G227,IF($AE225*7-$G227&lt;$AE225,$G227-$AE225*6,0),$AE225)</f>
        <v>0</v>
      </c>
      <c r="AL225" s="55">
        <f t="shared" ref="AL225:AL231" si="72">IF($AE225*8&gt;$G227,IF($AE225*8-$G227&lt;$AE225,$G227-$AE225*7,0),$AE225)</f>
        <v>0</v>
      </c>
      <c r="AM225" s="55">
        <f t="shared" ref="AM225:AM231" si="73">IF($AE225*9&gt;$G227,IF($AE225*9-$G227&lt;$AE225,$G227-$AE225*8,0),$AE225)</f>
        <v>0</v>
      </c>
      <c r="AN225" s="55">
        <f t="shared" ref="AN225:AN231" si="74">IF($AE225*10&gt;$G227,IF($AE225*10-$G227&lt;$AE225,$G227-$AE225*9,0),$AE225)</f>
        <v>0</v>
      </c>
      <c r="AO225" s="55">
        <f t="shared" ref="AO225:AO231" si="75">IF($AE225*11&gt;$G227,IF($AE225*11-$G227&lt;$AE225,$G227-$AE225*10,0),$AE225)</f>
        <v>0</v>
      </c>
      <c r="AP225" s="55">
        <f t="shared" ref="AP225:AP231" si="76">IF($AE225*12&gt;$G227,IF($AE225*12-$G227&lt;$AE225,$G227-$AE225*11,0),$AE225)</f>
        <v>0</v>
      </c>
      <c r="AQ225" s="55">
        <f t="shared" ref="AQ225:AQ231" si="77">IF($AE225*13&gt;$G227,IF($AE225*13-$G227&lt;$AE225,$G227-$AE225*12,0),$AE225)</f>
        <v>0</v>
      </c>
      <c r="AR225" s="55">
        <f t="shared" ref="AR225:AR231" si="78">IF($AE225*14&gt;$G227,IF($AE225*14-$G227&lt;$AE225,$G227-$AE225*13,0),$AE225)</f>
        <v>0</v>
      </c>
      <c r="AS225" s="55">
        <f t="shared" ref="AS225:AS231" si="79">IF($AE225*15&gt;$G227,IF($AE225*15-$G227&lt;$AE225,$G227-$AE225*14,0),$AE225)</f>
        <v>0</v>
      </c>
      <c r="AT225" s="55">
        <f t="shared" ref="AT225:AT231" si="80">IF($AE225*16&gt;$G227,IF($AE225*16-$G227&lt;$AE225,$G227-$AE225*15,0),$AE225)</f>
        <v>0</v>
      </c>
      <c r="AU225" s="55">
        <f t="shared" ref="AU225:AU231" si="81">IF($AE225*17&gt;$G227,IF($AE225*17-$G227&lt;$AE225,$G227-$AE225*16,0),$AE225)</f>
        <v>0</v>
      </c>
      <c r="AV225" s="55">
        <f t="shared" ref="AV225:AV231" si="82">IF($AE225*18&gt;$G227,IF($AE225*18-$G227&lt;$AE225,$G227-$AE225*17,0),$AE225)</f>
        <v>0</v>
      </c>
      <c r="AW225" s="55"/>
    </row>
    <row r="226" spans="1:49" ht="33.75" customHeight="1">
      <c r="A226" s="57"/>
      <c r="B226" s="57"/>
      <c r="C226" s="76" t="s">
        <v>30</v>
      </c>
      <c r="D226" s="74" t="s">
        <v>139</v>
      </c>
      <c r="E226" s="74" t="s">
        <v>139</v>
      </c>
      <c r="F226" s="181"/>
      <c r="G226" s="101"/>
      <c r="H226" s="101"/>
      <c r="I226" s="101"/>
      <c r="J226" s="101"/>
      <c r="K226" s="101"/>
      <c r="L226" s="101"/>
      <c r="M226" s="101"/>
      <c r="N226" s="101"/>
      <c r="O226" s="101"/>
      <c r="P226" s="101"/>
      <c r="Q226" s="101"/>
      <c r="R226" s="101"/>
      <c r="S226" s="101"/>
      <c r="T226" s="101"/>
      <c r="U226" s="180"/>
      <c r="V226" s="55"/>
      <c r="W226" s="55"/>
      <c r="X226" s="55"/>
      <c r="Y226" s="55"/>
      <c r="Z226" s="55"/>
      <c r="AA226" s="55"/>
      <c r="AB226" s="55"/>
      <c r="AC226" s="55"/>
      <c r="AD226" s="55"/>
      <c r="AE226" s="55">
        <f t="shared" si="65"/>
        <v>0</v>
      </c>
      <c r="AF226" s="55">
        <f t="shared" si="66"/>
        <v>0</v>
      </c>
      <c r="AG226" s="55">
        <f t="shared" si="67"/>
        <v>0</v>
      </c>
      <c r="AH226" s="55">
        <f t="shared" si="68"/>
        <v>0</v>
      </c>
      <c r="AI226" s="55">
        <f t="shared" si="69"/>
        <v>0</v>
      </c>
      <c r="AJ226" s="55">
        <f t="shared" si="70"/>
        <v>0</v>
      </c>
      <c r="AK226" s="55">
        <f t="shared" si="71"/>
        <v>0</v>
      </c>
      <c r="AL226" s="55">
        <f t="shared" si="72"/>
        <v>0</v>
      </c>
      <c r="AM226" s="55">
        <f t="shared" si="73"/>
        <v>0</v>
      </c>
      <c r="AN226" s="55">
        <f t="shared" si="74"/>
        <v>0</v>
      </c>
      <c r="AO226" s="55">
        <f t="shared" si="75"/>
        <v>0</v>
      </c>
      <c r="AP226" s="55">
        <f t="shared" si="76"/>
        <v>0</v>
      </c>
      <c r="AQ226" s="55">
        <f t="shared" si="77"/>
        <v>0</v>
      </c>
      <c r="AR226" s="55">
        <f t="shared" si="78"/>
        <v>0</v>
      </c>
      <c r="AS226" s="55">
        <f t="shared" si="79"/>
        <v>0</v>
      </c>
      <c r="AT226" s="55">
        <f t="shared" si="80"/>
        <v>0</v>
      </c>
      <c r="AU226" s="55">
        <f t="shared" si="81"/>
        <v>0</v>
      </c>
      <c r="AV226" s="55">
        <f t="shared" si="82"/>
        <v>0</v>
      </c>
      <c r="AW226" s="55"/>
    </row>
    <row r="227" spans="1:49" ht="33.75" customHeight="1">
      <c r="C227" s="76" t="s">
        <v>31</v>
      </c>
      <c r="D227" s="143">
        <v>0.05</v>
      </c>
      <c r="E227" s="190">
        <v>0.02</v>
      </c>
      <c r="F227" s="181">
        <v>770</v>
      </c>
      <c r="G227" s="101"/>
      <c r="H227" s="101"/>
      <c r="I227" s="101"/>
      <c r="J227" s="101"/>
      <c r="K227" s="101"/>
      <c r="L227" s="101"/>
      <c r="M227" s="101"/>
      <c r="N227" s="101"/>
      <c r="O227" s="101"/>
      <c r="P227" s="101"/>
      <c r="Q227" s="101"/>
      <c r="R227" s="101"/>
      <c r="S227" s="101"/>
      <c r="T227" s="101"/>
      <c r="U227" s="180"/>
      <c r="V227" s="55"/>
      <c r="W227" s="55"/>
      <c r="X227" s="55"/>
      <c r="Y227" s="55"/>
      <c r="Z227" s="55"/>
      <c r="AA227" s="55"/>
      <c r="AB227" s="55"/>
      <c r="AC227" s="55"/>
      <c r="AD227" s="55"/>
      <c r="AE227" s="55">
        <f t="shared" si="65"/>
        <v>0</v>
      </c>
      <c r="AF227" s="55">
        <f t="shared" si="66"/>
        <v>0</v>
      </c>
      <c r="AG227" s="55">
        <f t="shared" si="67"/>
        <v>0</v>
      </c>
      <c r="AH227" s="55">
        <f t="shared" si="68"/>
        <v>0</v>
      </c>
      <c r="AI227" s="55">
        <f t="shared" si="69"/>
        <v>0</v>
      </c>
      <c r="AJ227" s="55">
        <f t="shared" si="70"/>
        <v>0</v>
      </c>
      <c r="AK227" s="55">
        <f t="shared" si="71"/>
        <v>0</v>
      </c>
      <c r="AL227" s="55">
        <f t="shared" si="72"/>
        <v>0</v>
      </c>
      <c r="AM227" s="55">
        <f t="shared" si="73"/>
        <v>0</v>
      </c>
      <c r="AN227" s="55">
        <f t="shared" si="74"/>
        <v>0</v>
      </c>
      <c r="AO227" s="55">
        <f t="shared" si="75"/>
        <v>0</v>
      </c>
      <c r="AP227" s="55">
        <f t="shared" si="76"/>
        <v>0</v>
      </c>
      <c r="AQ227" s="55">
        <f t="shared" si="77"/>
        <v>0</v>
      </c>
      <c r="AR227" s="55">
        <f t="shared" si="78"/>
        <v>0</v>
      </c>
      <c r="AS227" s="55">
        <f t="shared" si="79"/>
        <v>0</v>
      </c>
      <c r="AT227" s="55">
        <f t="shared" si="80"/>
        <v>0</v>
      </c>
      <c r="AU227" s="55">
        <f t="shared" si="81"/>
        <v>0</v>
      </c>
      <c r="AV227" s="55">
        <f t="shared" si="82"/>
        <v>0</v>
      </c>
      <c r="AW227" s="55"/>
    </row>
    <row r="228" spans="1:49" ht="33.75" customHeight="1">
      <c r="C228" s="76" t="s">
        <v>32</v>
      </c>
      <c r="D228" s="143">
        <v>0.05</v>
      </c>
      <c r="E228" s="189">
        <v>0.05</v>
      </c>
      <c r="F228" s="181">
        <v>11353</v>
      </c>
      <c r="G228" s="101"/>
      <c r="H228" s="101"/>
      <c r="I228" s="101"/>
      <c r="J228" s="101"/>
      <c r="K228" s="101"/>
      <c r="L228" s="101"/>
      <c r="M228" s="101"/>
      <c r="N228" s="101"/>
      <c r="O228" s="101"/>
      <c r="P228" s="101"/>
      <c r="Q228" s="101"/>
      <c r="R228" s="101"/>
      <c r="S228" s="101"/>
      <c r="T228" s="101"/>
      <c r="U228" s="180"/>
      <c r="V228" s="55"/>
      <c r="W228" s="55"/>
      <c r="X228" s="55"/>
      <c r="Y228" s="55"/>
      <c r="Z228" s="55"/>
      <c r="AA228" s="55"/>
      <c r="AB228" s="55"/>
      <c r="AC228" s="55"/>
      <c r="AD228" s="55"/>
      <c r="AE228" s="55">
        <f t="shared" si="65"/>
        <v>0</v>
      </c>
      <c r="AF228" s="55">
        <f t="shared" si="66"/>
        <v>0</v>
      </c>
      <c r="AG228" s="55">
        <f t="shared" si="67"/>
        <v>0</v>
      </c>
      <c r="AH228" s="55">
        <f t="shared" si="68"/>
        <v>0</v>
      </c>
      <c r="AI228" s="55">
        <f t="shared" si="69"/>
        <v>0</v>
      </c>
      <c r="AJ228" s="55">
        <f t="shared" si="70"/>
        <v>0</v>
      </c>
      <c r="AK228" s="55">
        <f t="shared" si="71"/>
        <v>0</v>
      </c>
      <c r="AL228" s="55">
        <f t="shared" si="72"/>
        <v>0</v>
      </c>
      <c r="AM228" s="55">
        <f t="shared" si="73"/>
        <v>0</v>
      </c>
      <c r="AN228" s="55">
        <f t="shared" si="74"/>
        <v>0</v>
      </c>
      <c r="AO228" s="55">
        <f t="shared" si="75"/>
        <v>0</v>
      </c>
      <c r="AP228" s="55">
        <f t="shared" si="76"/>
        <v>0</v>
      </c>
      <c r="AQ228" s="55">
        <f t="shared" si="77"/>
        <v>0</v>
      </c>
      <c r="AR228" s="55">
        <f t="shared" si="78"/>
        <v>0</v>
      </c>
      <c r="AS228" s="55">
        <f t="shared" si="79"/>
        <v>0</v>
      </c>
      <c r="AT228" s="55">
        <f t="shared" si="80"/>
        <v>0</v>
      </c>
      <c r="AU228" s="55">
        <f t="shared" si="81"/>
        <v>0</v>
      </c>
      <c r="AV228" s="55">
        <f t="shared" si="82"/>
        <v>0</v>
      </c>
      <c r="AW228" s="55"/>
    </row>
    <row r="229" spans="1:49" ht="33.75" customHeight="1">
      <c r="C229" s="76" t="s">
        <v>33</v>
      </c>
      <c r="D229" s="143">
        <v>0.1</v>
      </c>
      <c r="E229" s="189">
        <v>0.05</v>
      </c>
      <c r="F229" s="181">
        <v>0</v>
      </c>
      <c r="G229" s="101"/>
      <c r="H229" s="101"/>
      <c r="I229" s="101"/>
      <c r="J229" s="101"/>
      <c r="K229" s="101"/>
      <c r="L229" s="101"/>
      <c r="M229" s="101"/>
      <c r="N229" s="101"/>
      <c r="O229" s="101"/>
      <c r="P229" s="101"/>
      <c r="Q229" s="101"/>
      <c r="R229" s="101"/>
      <c r="S229" s="101"/>
      <c r="T229" s="101"/>
      <c r="U229" s="180"/>
      <c r="V229" s="55"/>
      <c r="W229" s="55"/>
      <c r="X229" s="55"/>
      <c r="Y229" s="55"/>
      <c r="Z229" s="55"/>
      <c r="AA229" s="55"/>
      <c r="AB229" s="55"/>
      <c r="AC229" s="55"/>
      <c r="AD229" s="55"/>
      <c r="AE229" s="55">
        <f t="shared" si="65"/>
        <v>0</v>
      </c>
      <c r="AF229" s="55">
        <f t="shared" si="66"/>
        <v>0</v>
      </c>
      <c r="AG229" s="55">
        <f t="shared" si="67"/>
        <v>0</v>
      </c>
      <c r="AH229" s="55">
        <f t="shared" si="68"/>
        <v>0</v>
      </c>
      <c r="AI229" s="55">
        <f t="shared" si="69"/>
        <v>0</v>
      </c>
      <c r="AJ229" s="55">
        <f t="shared" si="70"/>
        <v>0</v>
      </c>
      <c r="AK229" s="55">
        <f t="shared" si="71"/>
        <v>0</v>
      </c>
      <c r="AL229" s="55">
        <f t="shared" si="72"/>
        <v>0</v>
      </c>
      <c r="AM229" s="55">
        <f t="shared" si="73"/>
        <v>0</v>
      </c>
      <c r="AN229" s="55">
        <f t="shared" si="74"/>
        <v>0</v>
      </c>
      <c r="AO229" s="55">
        <f t="shared" si="75"/>
        <v>0</v>
      </c>
      <c r="AP229" s="55">
        <f t="shared" si="76"/>
        <v>0</v>
      </c>
      <c r="AQ229" s="55">
        <f t="shared" si="77"/>
        <v>0</v>
      </c>
      <c r="AR229" s="55">
        <f t="shared" si="78"/>
        <v>0</v>
      </c>
      <c r="AS229" s="55">
        <f t="shared" si="79"/>
        <v>0</v>
      </c>
      <c r="AT229" s="55">
        <f t="shared" si="80"/>
        <v>0</v>
      </c>
      <c r="AU229" s="55">
        <f t="shared" si="81"/>
        <v>0</v>
      </c>
      <c r="AV229" s="55">
        <f t="shared" si="82"/>
        <v>0</v>
      </c>
      <c r="AW229" s="55"/>
    </row>
    <row r="230" spans="1:49" ht="33.75" customHeight="1">
      <c r="C230" s="76" t="s">
        <v>34</v>
      </c>
      <c r="D230" s="143">
        <v>0.2</v>
      </c>
      <c r="E230" s="189">
        <v>0.05</v>
      </c>
      <c r="F230" s="181">
        <v>359</v>
      </c>
      <c r="G230" s="101"/>
      <c r="H230" s="101"/>
      <c r="I230" s="101"/>
      <c r="J230" s="101"/>
      <c r="K230" s="101"/>
      <c r="L230" s="101"/>
      <c r="M230" s="101"/>
      <c r="N230" s="101"/>
      <c r="O230" s="101"/>
      <c r="P230" s="101"/>
      <c r="Q230" s="101"/>
      <c r="R230" s="101"/>
      <c r="S230" s="101"/>
      <c r="T230" s="101"/>
      <c r="U230" s="180"/>
      <c r="V230" s="55"/>
      <c r="W230" s="55"/>
      <c r="X230" s="55"/>
      <c r="Y230" s="55"/>
      <c r="Z230" s="55"/>
      <c r="AA230" s="55"/>
      <c r="AB230" s="55"/>
      <c r="AC230" s="55"/>
      <c r="AD230" s="55"/>
      <c r="AE230" s="55">
        <f t="shared" si="65"/>
        <v>0</v>
      </c>
      <c r="AF230" s="55">
        <f t="shared" si="66"/>
        <v>0</v>
      </c>
      <c r="AG230" s="55">
        <f t="shared" si="67"/>
        <v>0</v>
      </c>
      <c r="AH230" s="55">
        <f t="shared" si="68"/>
        <v>0</v>
      </c>
      <c r="AI230" s="55">
        <f t="shared" si="69"/>
        <v>0</v>
      </c>
      <c r="AJ230" s="55">
        <f t="shared" si="70"/>
        <v>0</v>
      </c>
      <c r="AK230" s="55">
        <f t="shared" si="71"/>
        <v>0</v>
      </c>
      <c r="AL230" s="55">
        <f t="shared" si="72"/>
        <v>0</v>
      </c>
      <c r="AM230" s="55">
        <f t="shared" si="73"/>
        <v>0</v>
      </c>
      <c r="AN230" s="55">
        <f t="shared" si="74"/>
        <v>0</v>
      </c>
      <c r="AO230" s="55">
        <f t="shared" si="75"/>
        <v>0</v>
      </c>
      <c r="AP230" s="55">
        <f t="shared" si="76"/>
        <v>0</v>
      </c>
      <c r="AQ230" s="55">
        <f t="shared" si="77"/>
        <v>0</v>
      </c>
      <c r="AR230" s="55">
        <f t="shared" si="78"/>
        <v>0</v>
      </c>
      <c r="AS230" s="55">
        <f t="shared" si="79"/>
        <v>0</v>
      </c>
      <c r="AT230" s="55">
        <f t="shared" si="80"/>
        <v>0</v>
      </c>
      <c r="AU230" s="55">
        <f t="shared" si="81"/>
        <v>0</v>
      </c>
      <c r="AV230" s="55">
        <f t="shared" si="82"/>
        <v>0</v>
      </c>
      <c r="AW230" s="55"/>
    </row>
    <row r="231" spans="1:49" ht="33.75" customHeight="1">
      <c r="C231" s="76" t="s">
        <v>531</v>
      </c>
      <c r="D231" s="143">
        <v>0.05</v>
      </c>
      <c r="E231" s="189">
        <v>0.02</v>
      </c>
      <c r="F231" s="181">
        <v>458</v>
      </c>
      <c r="G231" s="101"/>
      <c r="H231" s="101"/>
      <c r="I231" s="101"/>
      <c r="J231" s="101"/>
      <c r="K231" s="101"/>
      <c r="L231" s="101"/>
      <c r="M231" s="101"/>
      <c r="N231" s="101"/>
      <c r="O231" s="101"/>
      <c r="P231" s="101"/>
      <c r="Q231" s="101"/>
      <c r="R231" s="101"/>
      <c r="S231" s="101"/>
      <c r="T231" s="101"/>
      <c r="U231" s="180"/>
      <c r="V231" s="55"/>
      <c r="W231" s="55"/>
      <c r="X231" s="55"/>
      <c r="Y231" s="55"/>
      <c r="Z231" s="55"/>
      <c r="AA231" s="55"/>
      <c r="AB231" s="55"/>
      <c r="AC231" s="55"/>
      <c r="AD231" s="55"/>
      <c r="AE231" s="55">
        <f t="shared" si="65"/>
        <v>0</v>
      </c>
      <c r="AF231" s="55">
        <f t="shared" si="66"/>
        <v>0</v>
      </c>
      <c r="AG231" s="55">
        <f t="shared" si="67"/>
        <v>0</v>
      </c>
      <c r="AH231" s="55">
        <f t="shared" si="68"/>
        <v>0</v>
      </c>
      <c r="AI231" s="55">
        <f t="shared" si="69"/>
        <v>0</v>
      </c>
      <c r="AJ231" s="55">
        <f t="shared" si="70"/>
        <v>0</v>
      </c>
      <c r="AK231" s="55">
        <f t="shared" si="71"/>
        <v>0</v>
      </c>
      <c r="AL231" s="55">
        <f t="shared" si="72"/>
        <v>0</v>
      </c>
      <c r="AM231" s="55">
        <f t="shared" si="73"/>
        <v>0</v>
      </c>
      <c r="AN231" s="55">
        <f t="shared" si="74"/>
        <v>0</v>
      </c>
      <c r="AO231" s="55">
        <f t="shared" si="75"/>
        <v>0</v>
      </c>
      <c r="AP231" s="55">
        <f t="shared" si="76"/>
        <v>0</v>
      </c>
      <c r="AQ231" s="55">
        <f t="shared" si="77"/>
        <v>0</v>
      </c>
      <c r="AR231" s="55">
        <f t="shared" si="78"/>
        <v>0</v>
      </c>
      <c r="AS231" s="55">
        <f t="shared" si="79"/>
        <v>0</v>
      </c>
      <c r="AT231" s="55">
        <f t="shared" si="80"/>
        <v>0</v>
      </c>
      <c r="AU231" s="55">
        <f t="shared" si="81"/>
        <v>0</v>
      </c>
      <c r="AV231" s="55">
        <f t="shared" si="82"/>
        <v>0</v>
      </c>
      <c r="AW231" s="55"/>
    </row>
    <row r="232" spans="1:49" ht="33.75" customHeight="1">
      <c r="C232" s="188" t="s">
        <v>530</v>
      </c>
      <c r="D232" s="143">
        <v>0.2</v>
      </c>
      <c r="E232" s="143">
        <v>0.05</v>
      </c>
      <c r="F232" s="181">
        <v>0</v>
      </c>
      <c r="G232" s="101"/>
      <c r="H232" s="101"/>
      <c r="I232" s="101"/>
      <c r="J232" s="101"/>
      <c r="K232" s="101"/>
      <c r="L232" s="101"/>
      <c r="M232" s="101"/>
      <c r="N232" s="101"/>
      <c r="O232" s="101"/>
      <c r="P232" s="101"/>
      <c r="Q232" s="101"/>
      <c r="R232" s="101"/>
      <c r="S232" s="101"/>
      <c r="T232" s="101"/>
      <c r="U232" s="180"/>
      <c r="V232" s="55"/>
      <c r="W232" s="55"/>
      <c r="X232" s="55"/>
      <c r="Y232" s="55"/>
      <c r="Z232" s="55"/>
      <c r="AA232" s="55"/>
      <c r="AB232" s="55"/>
      <c r="AC232" s="55"/>
      <c r="AD232" s="55"/>
      <c r="AE232" s="55"/>
      <c r="AF232" s="55">
        <f>H233*D233</f>
        <v>0</v>
      </c>
      <c r="AG232" s="55">
        <f>IF($AF232*2&gt;$H233,IF($AF232*2-$H233&lt;$AF232,$H233-$AF232*1,0),$AF232)</f>
        <v>0</v>
      </c>
      <c r="AH232" s="55">
        <f>IF($AF232*3&gt;$H233,IF($AF232*3-$H233&lt;$AF232,$H233-$AF232*2,0),$AF232)</f>
        <v>0</v>
      </c>
      <c r="AI232" s="55">
        <f>IF($AF232*4&gt;$H233,IF($AF232*4-$H233&lt;$AF232,$H233-$AF232*3,0),$AF232)</f>
        <v>0</v>
      </c>
      <c r="AJ232" s="55">
        <f>IF($AF232*5&gt;$H233,IF($AF232*5-$H233&lt;$AF232,$H233-$AF232*4,0),$AF232)</f>
        <v>0</v>
      </c>
      <c r="AK232" s="55">
        <f>IF($AF232*6&gt;$H233,IF($AF232*6-$H233&lt;$AF232,$H233-$AF232*5,0),$AF232)</f>
        <v>0</v>
      </c>
      <c r="AL232" s="55">
        <f>IF($AF232*7&gt;$H233,IF($AF232*7-$H233&lt;$AF232,$H233-$AF232*6,0),$AF232)</f>
        <v>0</v>
      </c>
      <c r="AM232" s="55">
        <f>IF($AF232*8&gt;$H233,IF($AF232*8-$H233&lt;$AF232,$H233-$AF232*7,0),$AF232)</f>
        <v>0</v>
      </c>
      <c r="AN232" s="55">
        <f>IF($AF232*9&gt;$H233,IF($AF232*9-$H233&lt;$AF232,$H233-$AF232*8,0),$AF232)</f>
        <v>0</v>
      </c>
      <c r="AO232" s="55">
        <f>IF($AF232*10&gt;$H233,IF($AF232*10-$H233&lt;$AF232,$H233-$AF232*9,0),$AF232)</f>
        <v>0</v>
      </c>
      <c r="AP232" s="55">
        <f>IF($AF232*11&gt;$H233,IF($AF232*11-$H233&lt;$AF232,$H233-$AF232*10,0),$AF232)</f>
        <v>0</v>
      </c>
      <c r="AQ232" s="55">
        <f>IF($AF232*12&gt;$H233,IF($AF232*12-$H233&lt;$AF232,$H233-$AF232*11,0),$AF232)</f>
        <v>0</v>
      </c>
      <c r="AR232" s="55">
        <f>IF($AF232*13&gt;$H233,IF($AF232*13-$H233&lt;$AF232,$H233-$AF232*12,0),$AF232)</f>
        <v>0</v>
      </c>
      <c r="AS232" s="55">
        <f>IF($AF232*14&gt;$H233,IF($AF232*14-$H233&lt;$AF232,$H233-$AF232*13,0),$AF232)</f>
        <v>0</v>
      </c>
      <c r="AT232" s="55">
        <f>IF($AF232*15&gt;$H233,IF($AF232*15-$H233&lt;$AF232,$H233-$AF232*14,0),$AF232)</f>
        <v>0</v>
      </c>
      <c r="AU232" s="55">
        <f>IF($AF232*16&gt;$H233,IF($AF232*16-$H233&lt;$AF232,$H233-$AF232*15,0),$AF232)</f>
        <v>0</v>
      </c>
      <c r="AV232" s="55">
        <f>IF($AF232*17&gt;$H233,IF($AF232*17-$H233&lt;$AF232,$H233-$AF232*16,0),$AF232)</f>
        <v>0</v>
      </c>
      <c r="AW232" s="55"/>
    </row>
    <row r="233" spans="1:49" ht="33.75" customHeight="1" thickBot="1">
      <c r="C233" s="76" t="s">
        <v>132</v>
      </c>
      <c r="D233" s="143"/>
      <c r="E233" s="143"/>
      <c r="F233" s="181"/>
      <c r="G233" s="101"/>
      <c r="H233" s="101"/>
      <c r="I233" s="101"/>
      <c r="J233" s="101"/>
      <c r="K233" s="101"/>
      <c r="L233" s="101"/>
      <c r="M233" s="101"/>
      <c r="N233" s="101"/>
      <c r="O233" s="101"/>
      <c r="P233" s="101"/>
      <c r="Q233" s="101"/>
      <c r="R233" s="101"/>
      <c r="S233" s="101"/>
      <c r="T233" s="101"/>
      <c r="U233" s="180"/>
      <c r="V233" s="55"/>
      <c r="W233" s="55"/>
      <c r="X233" s="55"/>
      <c r="Y233" s="55"/>
      <c r="Z233" s="55"/>
      <c r="AA233" s="55"/>
      <c r="AB233" s="55"/>
      <c r="AC233" s="55"/>
      <c r="AD233" s="55"/>
      <c r="AE233" s="55">
        <f>G236*D236</f>
        <v>0</v>
      </c>
      <c r="AF233" s="55">
        <f>IF($AE233*2&gt;$G236,IF($AE233*2-$G236&lt;$AE233,$G236-$AE233*1,0),$AE233)</f>
        <v>0</v>
      </c>
      <c r="AG233" s="55">
        <f>IF($AE233*3&gt;$G236,IF($AE233*3-$G236&lt;$AE233,$G236-$AE233*2,0),$AE233)</f>
        <v>0</v>
      </c>
      <c r="AH233" s="55">
        <f>IF($AE233*4&gt;$G236,IF($AE233*4-$G236&lt;$AE233,$G236-$AE233*3,0),$AE233)</f>
        <v>0</v>
      </c>
      <c r="AI233" s="55">
        <f>IF($AE233*5&gt;$G236,IF($AE233*5-$G236&lt;$AE233,$G236-$AE233*4,0),$AE233)</f>
        <v>0</v>
      </c>
      <c r="AJ233" s="55">
        <f>IF($AE233*6&gt;$G236,IF($AE233*6-$G236&lt;$AE233,$G236-$AE233*5,0),$AE233)</f>
        <v>0</v>
      </c>
      <c r="AK233" s="55">
        <f>IF($AE233*7&gt;$G236,IF($AE233*7-$G236&lt;$AE233,$G236-$AE233*6,0),$AE233)</f>
        <v>0</v>
      </c>
      <c r="AL233" s="55">
        <f>IF($AE233*8&gt;$G236,IF($AE233*8-$G236&lt;$AE233,$G236-$AE233*7,0),$AE233)</f>
        <v>0</v>
      </c>
      <c r="AM233" s="55">
        <f>IF($AE233*9&gt;$G236,IF($AE233*9-$G236&lt;$AE233,$G236-$AE233*8,0),$AE233)</f>
        <v>0</v>
      </c>
      <c r="AN233" s="55">
        <f>IF($AE233*10&gt;$G236,IF($AE233*10-$G236&lt;$AE233,$G236-$AE233*9,0),$AE233)</f>
        <v>0</v>
      </c>
      <c r="AO233" s="55">
        <f>IF($AE233*11&gt;$G236,IF($AE233*11-$G236&lt;$AE233,$G236-$AE233*10,0),$AE233)</f>
        <v>0</v>
      </c>
      <c r="AP233" s="55">
        <f>IF($AE233*12&gt;$G236,IF($AE233*12-$G236&lt;$AE233,$G236-$AE233*11,0),$AE233)</f>
        <v>0</v>
      </c>
      <c r="AQ233" s="55">
        <f>IF($AE233*13&gt;$G236,IF($AE233*13-$G236&lt;$AE233,$G236-$AE233*12,0),$AE233)</f>
        <v>0</v>
      </c>
      <c r="AR233" s="55">
        <f>IF($AE233*14&gt;$G236,IF($AE233*14-$G236&lt;$AE233,$G236-$AE233*13,0),$AE233)</f>
        <v>0</v>
      </c>
      <c r="AS233" s="55">
        <f>IF($AE233*15&gt;$G236,IF($AE233*15-$G236&lt;$AE233,$G236-$AE233*14,0),$AE233)</f>
        <v>0</v>
      </c>
      <c r="AT233" s="55">
        <f>IF($AE233*16&gt;$G236,IF($AE233*16-$G236&lt;$AE233,$G236-$AE233*15,0),$AE233)</f>
        <v>0</v>
      </c>
      <c r="AU233" s="55">
        <f>IF($AE233*17&gt;$G236,IF($AE233*17-$G236&lt;$AE233,$G236-$AE233*16,0),$AE233)</f>
        <v>0</v>
      </c>
      <c r="AV233" s="55">
        <f>IF($AE233*18&gt;$G236,IF($AE233*18-$G236&lt;$AE233,$G236-$AE233*17,0),$AE233)</f>
        <v>0</v>
      </c>
      <c r="AW233" s="55"/>
    </row>
    <row r="234" spans="1:49" ht="33.75" customHeight="1" thickTop="1" thickBot="1">
      <c r="C234" s="159" t="s">
        <v>140</v>
      </c>
      <c r="D234" s="158"/>
      <c r="E234" s="158"/>
      <c r="F234" s="187">
        <f t="shared" ref="F234:U234" si="83">SUM(F226:F233)</f>
        <v>12940</v>
      </c>
      <c r="G234" s="178">
        <f t="shared" si="83"/>
        <v>0</v>
      </c>
      <c r="H234" s="178">
        <f t="shared" si="83"/>
        <v>0</v>
      </c>
      <c r="I234" s="178">
        <f t="shared" si="83"/>
        <v>0</v>
      </c>
      <c r="J234" s="178">
        <f t="shared" si="83"/>
        <v>0</v>
      </c>
      <c r="K234" s="178">
        <f t="shared" si="83"/>
        <v>0</v>
      </c>
      <c r="L234" s="178">
        <f t="shared" si="83"/>
        <v>0</v>
      </c>
      <c r="M234" s="178">
        <f t="shared" si="83"/>
        <v>0</v>
      </c>
      <c r="N234" s="178">
        <f t="shared" si="83"/>
        <v>0</v>
      </c>
      <c r="O234" s="178">
        <f t="shared" si="83"/>
        <v>0</v>
      </c>
      <c r="P234" s="178">
        <f t="shared" si="83"/>
        <v>0</v>
      </c>
      <c r="Q234" s="178">
        <f t="shared" si="83"/>
        <v>0</v>
      </c>
      <c r="R234" s="178">
        <f t="shared" si="83"/>
        <v>0</v>
      </c>
      <c r="S234" s="178">
        <f t="shared" si="83"/>
        <v>0</v>
      </c>
      <c r="T234" s="178">
        <f t="shared" si="83"/>
        <v>0</v>
      </c>
      <c r="U234" s="177">
        <f t="shared" si="83"/>
        <v>0</v>
      </c>
      <c r="V234" s="55"/>
      <c r="W234" s="55"/>
      <c r="X234" s="55"/>
      <c r="Y234" s="55"/>
      <c r="Z234" s="55"/>
      <c r="AA234" s="55"/>
      <c r="AB234" s="55"/>
      <c r="AC234" s="55"/>
      <c r="AD234" s="55"/>
      <c r="AE234" s="55">
        <f>G237*D237</f>
        <v>0</v>
      </c>
      <c r="AF234" s="55">
        <f>IF($AE234*2&gt;$G237,IF($AE234*2-$G237&lt;$AE234,$G237-$AE234*1,0),$AE234)</f>
        <v>0</v>
      </c>
      <c r="AG234" s="55">
        <f>IF($AE234*3&gt;$G237,IF($AE234*3-$G237&lt;$AE234,$G237-$AE234*2,0),$AE234)</f>
        <v>0</v>
      </c>
      <c r="AH234" s="55">
        <f>IF($AE234*4&gt;$G237,IF($AE234*4-$G237&lt;$AE234,$G237-$AE234*3,0),$AE234)</f>
        <v>0</v>
      </c>
      <c r="AI234" s="55">
        <f>IF($AE234*5&gt;$G237,IF($AE234*5-$G237&lt;$AE234,$G237-$AE234*4,0),$AE234)</f>
        <v>0</v>
      </c>
      <c r="AJ234" s="55">
        <f>IF($AE234*6&gt;$G237,IF($AE234*6-$G237&lt;$AE234,$G237-$AE234*5,0),$AE234)</f>
        <v>0</v>
      </c>
      <c r="AK234" s="55">
        <f>IF($AE234*7&gt;$G237,IF($AE234*7-$G237&lt;$AE234,$G237-$AE234*6,0),$AE234)</f>
        <v>0</v>
      </c>
      <c r="AL234" s="55">
        <f>IF($AE234*8&gt;$G237,IF($AE234*8-$G237&lt;$AE234,$G237-$AE234*7,0),$AE234)</f>
        <v>0</v>
      </c>
      <c r="AM234" s="55">
        <f>IF($AE234*9&gt;$G237,IF($AE234*9-$G237&lt;$AE234,$G237-$AE234*8,0),$AE234)</f>
        <v>0</v>
      </c>
      <c r="AN234" s="55">
        <f>IF($AE234*10&gt;$G237,IF($AE234*10-$G237&lt;$AE234,$G237-$AE234*9,0),$AE234)</f>
        <v>0</v>
      </c>
      <c r="AO234" s="55">
        <f>IF($AE234*11&gt;$G237,IF($AE234*11-$G237&lt;$AE234,$G237-$AE234*10,0),$AE234)</f>
        <v>0</v>
      </c>
      <c r="AP234" s="55">
        <f>IF($AE234*12&gt;$G237,IF($AE234*12-$G237&lt;$AE234,$G237-$AE234*11,0),$AE234)</f>
        <v>0</v>
      </c>
      <c r="AQ234" s="55">
        <f>IF($AE234*13&gt;$G237,IF($AE234*13-$G237&lt;$AE234,$G237-$AE234*12,0),$AE234)</f>
        <v>0</v>
      </c>
      <c r="AR234" s="55">
        <f>IF($AE234*14&gt;$G237,IF($AE234*14-$G237&lt;$AE234,$G237-$AE234*13,0),$AE234)</f>
        <v>0</v>
      </c>
      <c r="AS234" s="55">
        <f>IF($AE234*15&gt;$G237,IF($AE234*15-$G237&lt;$AE234,$G237-$AE234*14,0),$AE234)</f>
        <v>0</v>
      </c>
      <c r="AT234" s="55">
        <f>IF($AE234*16&gt;$G237,IF($AE234*16-$G237&lt;$AE234,$G237-$AE234*15,0),$AE234)</f>
        <v>0</v>
      </c>
      <c r="AU234" s="55">
        <f>IF($AE234*17&gt;$G237,IF($AE234*17-$G237&lt;$AE234,$G237-$AE234*16,0),$AE234)</f>
        <v>0</v>
      </c>
      <c r="AV234" s="55">
        <f>IF($AE234*18&gt;$G237,IF($AE234*18-$G237&lt;$AE234,$G237-$AE234*17,0),$AE234)</f>
        <v>0</v>
      </c>
      <c r="AW234" s="55"/>
    </row>
    <row r="235" spans="1:49" ht="33.75" customHeight="1" thickTop="1">
      <c r="C235" s="110" t="s">
        <v>141</v>
      </c>
      <c r="D235" s="186" t="s">
        <v>142</v>
      </c>
      <c r="E235" s="186"/>
      <c r="F235" s="185"/>
      <c r="G235" s="184"/>
      <c r="H235" s="184"/>
      <c r="I235" s="184"/>
      <c r="J235" s="184"/>
      <c r="K235" s="184"/>
      <c r="L235" s="184"/>
      <c r="M235" s="184"/>
      <c r="N235" s="184"/>
      <c r="O235" s="184"/>
      <c r="P235" s="184"/>
      <c r="Q235" s="184"/>
      <c r="R235" s="184"/>
      <c r="S235" s="184"/>
      <c r="T235" s="184"/>
      <c r="U235" s="183"/>
      <c r="V235" s="55"/>
      <c r="W235" s="55"/>
      <c r="X235" s="55"/>
      <c r="Y235" s="55"/>
      <c r="Z235" s="55"/>
      <c r="AA235" s="55"/>
      <c r="AB235" s="55"/>
      <c r="AC235" s="55"/>
      <c r="AD235" s="55"/>
      <c r="AE235" s="55"/>
      <c r="AF235" s="55"/>
      <c r="AG235" s="55"/>
      <c r="AH235" s="55"/>
      <c r="AI235" s="55"/>
      <c r="AJ235" s="55"/>
      <c r="AK235" s="55"/>
      <c r="AL235" s="55"/>
      <c r="AM235" s="55"/>
      <c r="AN235" s="55"/>
      <c r="AO235" s="55"/>
      <c r="AP235" s="55"/>
      <c r="AQ235" s="55"/>
      <c r="AR235" s="55"/>
      <c r="AS235" s="55"/>
      <c r="AT235" s="55"/>
      <c r="AU235" s="55"/>
      <c r="AV235" s="55"/>
      <c r="AW235" s="55"/>
    </row>
    <row r="236" spans="1:49" ht="33.75" customHeight="1">
      <c r="C236" s="76" t="s">
        <v>133</v>
      </c>
      <c r="D236" s="143">
        <v>1</v>
      </c>
      <c r="E236" s="182" t="s">
        <v>143</v>
      </c>
      <c r="F236" s="181">
        <v>300</v>
      </c>
      <c r="G236" s="101"/>
      <c r="H236" s="101"/>
      <c r="I236" s="101"/>
      <c r="J236" s="101"/>
      <c r="K236" s="101"/>
      <c r="L236" s="101"/>
      <c r="M236" s="101"/>
      <c r="N236" s="101"/>
      <c r="O236" s="101"/>
      <c r="P236" s="101"/>
      <c r="Q236" s="101"/>
      <c r="R236" s="101"/>
      <c r="S236" s="101"/>
      <c r="T236" s="101"/>
      <c r="U236" s="180"/>
      <c r="V236" s="55"/>
      <c r="W236" s="55"/>
      <c r="X236" s="55"/>
      <c r="Y236" s="55"/>
      <c r="Z236" s="55"/>
      <c r="AA236" s="55"/>
      <c r="AB236" s="55"/>
      <c r="AC236" s="55"/>
      <c r="AD236" s="55"/>
      <c r="AE236" s="55"/>
      <c r="AF236" s="55">
        <f t="shared" ref="AF236:AF241" si="84">H227*D227</f>
        <v>0</v>
      </c>
      <c r="AG236" s="55">
        <f t="shared" ref="AG236:AG241" si="85">IF($AF236*2&gt;$H227,IF($AF236*2-$H227&lt;$AF236,$H227-$AF236*1,0),$AF236)</f>
        <v>0</v>
      </c>
      <c r="AH236" s="55">
        <f t="shared" ref="AH236:AH241" si="86">IF($AF236*3&gt;$H227,IF($AF236*3-$H227&lt;$AF236,$H227-$AF236*2,0),$AF236)</f>
        <v>0</v>
      </c>
      <c r="AI236" s="55">
        <f t="shared" ref="AI236:AI241" si="87">IF($AF236*4&gt;$H227,IF($AF236*4-$H227&lt;$AF236,$H227-$AF236*3,0),$AF236)</f>
        <v>0</v>
      </c>
      <c r="AJ236" s="55">
        <f t="shared" ref="AJ236:AJ241" si="88">IF($AF236*5&gt;$H227,IF($AF236*5-$H227&lt;$AF236,$H227-$AF236*4,0),$AF236)</f>
        <v>0</v>
      </c>
      <c r="AK236" s="55">
        <f t="shared" ref="AK236:AK241" si="89">IF($AF236*6&gt;$H227,IF($AF236*6-$H227&lt;$AF236,$H227-$AF236*5,0),$AF236)</f>
        <v>0</v>
      </c>
      <c r="AL236" s="55">
        <f t="shared" ref="AL236:AL241" si="90">IF($AF236*7&gt;$H227,IF($AF236*7-$H227&lt;$AF236,$H227-$AF236*6,0),$AF236)</f>
        <v>0</v>
      </c>
      <c r="AM236" s="55">
        <f t="shared" ref="AM236:AM241" si="91">IF($AF236*8&gt;$H227,IF($AF236*8-$H227&lt;$AF236,$H227-$AF236*7,0),$AF236)</f>
        <v>0</v>
      </c>
      <c r="AN236" s="55">
        <f t="shared" ref="AN236:AN241" si="92">IF($AF236*9&gt;$H227,IF($AF236*9-$H227&lt;$AF236,$H227-$AF236*8,0),$AF236)</f>
        <v>0</v>
      </c>
      <c r="AO236" s="55">
        <f t="shared" ref="AO236:AO241" si="93">IF($AF236*10&gt;$H227,IF($AF236*10-$H227&lt;$AF236,$H227-$AF236*9,0),$AF236)</f>
        <v>0</v>
      </c>
      <c r="AP236" s="55">
        <f t="shared" ref="AP236:AP241" si="94">IF($AF236*11&gt;$H227,IF($AF236*11-$H227&lt;$AF236,$H227-$AF236*10,0),$AF236)</f>
        <v>0</v>
      </c>
      <c r="AQ236" s="55">
        <f t="shared" ref="AQ236:AQ241" si="95">IF($AF236*12&gt;$H227,IF($AF236*12-$H227&lt;$AF236,$H227-$AF236*11,0),$AF236)</f>
        <v>0</v>
      </c>
      <c r="AR236" s="55">
        <f t="shared" ref="AR236:AR241" si="96">IF($AF236*13&gt;$H227,IF($AF236*13-$H227&lt;$AF236,$H227-$AF236*12,0),$AF236)</f>
        <v>0</v>
      </c>
      <c r="AS236" s="55">
        <f t="shared" ref="AS236:AS241" si="97">IF($AF236*14&gt;$H227,IF($AF236*14-$H227&lt;$AF236,$H227-$AF236*13,0),$AF236)</f>
        <v>0</v>
      </c>
      <c r="AT236" s="55">
        <f t="shared" ref="AT236:AT241" si="98">IF($AF236*15&gt;$H227,IF($AF236*15-$H227&lt;$AF236,$H227-$AF236*14,0),$AF236)</f>
        <v>0</v>
      </c>
      <c r="AU236" s="55">
        <f t="shared" ref="AU236:AU241" si="99">IF($AF236*16&gt;$H227,IF($AF236*16-$H227&lt;$AF236,$H227-$AF236*15,0),$AF236)</f>
        <v>0</v>
      </c>
      <c r="AV236" s="55">
        <f t="shared" ref="AV236:AV241" si="100">IF($AF236*17&gt;$H227,IF($AF236*17-$H227&lt;$AF236,$H227-$AF236*16,0),$AF236)</f>
        <v>0</v>
      </c>
      <c r="AW236" s="55"/>
    </row>
    <row r="237" spans="1:49" ht="33.75" customHeight="1" thickBot="1">
      <c r="C237" s="76" t="s">
        <v>144</v>
      </c>
      <c r="D237" s="143">
        <v>1</v>
      </c>
      <c r="E237" s="182" t="s">
        <v>143</v>
      </c>
      <c r="F237" s="181">
        <v>99</v>
      </c>
      <c r="G237" s="101"/>
      <c r="H237" s="101"/>
      <c r="I237" s="101"/>
      <c r="J237" s="101"/>
      <c r="K237" s="101"/>
      <c r="L237" s="101"/>
      <c r="M237" s="101"/>
      <c r="N237" s="101"/>
      <c r="O237" s="101"/>
      <c r="P237" s="101"/>
      <c r="Q237" s="101"/>
      <c r="R237" s="101"/>
      <c r="S237" s="101"/>
      <c r="T237" s="101"/>
      <c r="U237" s="180"/>
      <c r="V237" s="55"/>
      <c r="W237" s="55"/>
      <c r="X237" s="55"/>
      <c r="Y237" s="55"/>
      <c r="Z237" s="55"/>
      <c r="AA237" s="55"/>
      <c r="AB237" s="55"/>
      <c r="AC237" s="55"/>
      <c r="AD237" s="55"/>
      <c r="AE237" s="55"/>
      <c r="AF237" s="55">
        <f t="shared" si="84"/>
        <v>0</v>
      </c>
      <c r="AG237" s="55">
        <f t="shared" si="85"/>
        <v>0</v>
      </c>
      <c r="AH237" s="55">
        <f t="shared" si="86"/>
        <v>0</v>
      </c>
      <c r="AI237" s="55">
        <f t="shared" si="87"/>
        <v>0</v>
      </c>
      <c r="AJ237" s="55">
        <f t="shared" si="88"/>
        <v>0</v>
      </c>
      <c r="AK237" s="55">
        <f t="shared" si="89"/>
        <v>0</v>
      </c>
      <c r="AL237" s="55">
        <f t="shared" si="90"/>
        <v>0</v>
      </c>
      <c r="AM237" s="55">
        <f t="shared" si="91"/>
        <v>0</v>
      </c>
      <c r="AN237" s="55">
        <f t="shared" si="92"/>
        <v>0</v>
      </c>
      <c r="AO237" s="55">
        <f t="shared" si="93"/>
        <v>0</v>
      </c>
      <c r="AP237" s="55">
        <f t="shared" si="94"/>
        <v>0</v>
      </c>
      <c r="AQ237" s="55">
        <f t="shared" si="95"/>
        <v>0</v>
      </c>
      <c r="AR237" s="55">
        <f t="shared" si="96"/>
        <v>0</v>
      </c>
      <c r="AS237" s="55">
        <f t="shared" si="97"/>
        <v>0</v>
      </c>
      <c r="AT237" s="55">
        <f t="shared" si="98"/>
        <v>0</v>
      </c>
      <c r="AU237" s="55">
        <f t="shared" si="99"/>
        <v>0</v>
      </c>
      <c r="AV237" s="55">
        <f t="shared" si="100"/>
        <v>0</v>
      </c>
      <c r="AW237" s="55"/>
    </row>
    <row r="238" spans="1:49" ht="33.75" customHeight="1" thickTop="1" thickBot="1">
      <c r="C238" s="159" t="s">
        <v>145</v>
      </c>
      <c r="D238" s="158"/>
      <c r="E238" s="158"/>
      <c r="F238" s="179">
        <f t="shared" ref="F238:U238" si="101">SUM(F236:F237)</f>
        <v>399</v>
      </c>
      <c r="G238" s="178">
        <f t="shared" si="101"/>
        <v>0</v>
      </c>
      <c r="H238" s="178">
        <f t="shared" si="101"/>
        <v>0</v>
      </c>
      <c r="I238" s="178">
        <f t="shared" si="101"/>
        <v>0</v>
      </c>
      <c r="J238" s="178">
        <f t="shared" si="101"/>
        <v>0</v>
      </c>
      <c r="K238" s="178">
        <f t="shared" si="101"/>
        <v>0</v>
      </c>
      <c r="L238" s="178">
        <f t="shared" si="101"/>
        <v>0</v>
      </c>
      <c r="M238" s="178">
        <f t="shared" si="101"/>
        <v>0</v>
      </c>
      <c r="N238" s="178">
        <f t="shared" si="101"/>
        <v>0</v>
      </c>
      <c r="O238" s="178">
        <f t="shared" si="101"/>
        <v>0</v>
      </c>
      <c r="P238" s="178">
        <f t="shared" si="101"/>
        <v>0</v>
      </c>
      <c r="Q238" s="178">
        <f t="shared" si="101"/>
        <v>0</v>
      </c>
      <c r="R238" s="178">
        <f t="shared" si="101"/>
        <v>0</v>
      </c>
      <c r="S238" s="178">
        <f t="shared" si="101"/>
        <v>0</v>
      </c>
      <c r="T238" s="178">
        <f t="shared" si="101"/>
        <v>0</v>
      </c>
      <c r="U238" s="177">
        <f t="shared" si="101"/>
        <v>0</v>
      </c>
      <c r="V238" s="55"/>
      <c r="W238" s="55"/>
      <c r="X238" s="55"/>
      <c r="Y238" s="55"/>
      <c r="Z238" s="55"/>
      <c r="AA238" s="55"/>
      <c r="AB238" s="55"/>
      <c r="AC238" s="55"/>
      <c r="AD238" s="55"/>
      <c r="AE238" s="55"/>
      <c r="AF238" s="55">
        <f t="shared" si="84"/>
        <v>0</v>
      </c>
      <c r="AG238" s="55">
        <f t="shared" si="85"/>
        <v>0</v>
      </c>
      <c r="AH238" s="55">
        <f t="shared" si="86"/>
        <v>0</v>
      </c>
      <c r="AI238" s="55">
        <f t="shared" si="87"/>
        <v>0</v>
      </c>
      <c r="AJ238" s="55">
        <f t="shared" si="88"/>
        <v>0</v>
      </c>
      <c r="AK238" s="55">
        <f t="shared" si="89"/>
        <v>0</v>
      </c>
      <c r="AL238" s="55">
        <f t="shared" si="90"/>
        <v>0</v>
      </c>
      <c r="AM238" s="55">
        <f t="shared" si="91"/>
        <v>0</v>
      </c>
      <c r="AN238" s="55">
        <f t="shared" si="92"/>
        <v>0</v>
      </c>
      <c r="AO238" s="55">
        <f t="shared" si="93"/>
        <v>0</v>
      </c>
      <c r="AP238" s="55">
        <f t="shared" si="94"/>
        <v>0</v>
      </c>
      <c r="AQ238" s="55">
        <f t="shared" si="95"/>
        <v>0</v>
      </c>
      <c r="AR238" s="55">
        <f t="shared" si="96"/>
        <v>0</v>
      </c>
      <c r="AS238" s="55">
        <f t="shared" si="97"/>
        <v>0</v>
      </c>
      <c r="AT238" s="55">
        <f t="shared" si="98"/>
        <v>0</v>
      </c>
      <c r="AU238" s="55">
        <f t="shared" si="99"/>
        <v>0</v>
      </c>
      <c r="AV238" s="55">
        <f t="shared" si="100"/>
        <v>0</v>
      </c>
      <c r="AW238" s="55"/>
    </row>
    <row r="239" spans="1:49" ht="33.75" customHeight="1" thickTop="1" thickBot="1">
      <c r="C239" s="98"/>
      <c r="D239" s="91" t="s">
        <v>146</v>
      </c>
      <c r="E239" s="90"/>
      <c r="F239" s="176">
        <f t="shared" ref="F239:U239" si="102">F234+F238</f>
        <v>13339</v>
      </c>
      <c r="G239" s="175">
        <f t="shared" si="102"/>
        <v>0</v>
      </c>
      <c r="H239" s="175">
        <f t="shared" si="102"/>
        <v>0</v>
      </c>
      <c r="I239" s="175">
        <f t="shared" si="102"/>
        <v>0</v>
      </c>
      <c r="J239" s="175">
        <f t="shared" si="102"/>
        <v>0</v>
      </c>
      <c r="K239" s="175">
        <f t="shared" si="102"/>
        <v>0</v>
      </c>
      <c r="L239" s="175">
        <f t="shared" si="102"/>
        <v>0</v>
      </c>
      <c r="M239" s="175">
        <f t="shared" si="102"/>
        <v>0</v>
      </c>
      <c r="N239" s="175">
        <f t="shared" si="102"/>
        <v>0</v>
      </c>
      <c r="O239" s="175">
        <f t="shared" si="102"/>
        <v>0</v>
      </c>
      <c r="P239" s="175">
        <f t="shared" si="102"/>
        <v>0</v>
      </c>
      <c r="Q239" s="175">
        <f t="shared" si="102"/>
        <v>0</v>
      </c>
      <c r="R239" s="175">
        <f t="shared" si="102"/>
        <v>0</v>
      </c>
      <c r="S239" s="175">
        <f t="shared" si="102"/>
        <v>0</v>
      </c>
      <c r="T239" s="175">
        <f t="shared" si="102"/>
        <v>0</v>
      </c>
      <c r="U239" s="174">
        <f t="shared" si="102"/>
        <v>0</v>
      </c>
      <c r="V239" s="55"/>
      <c r="W239" s="55"/>
      <c r="X239" s="55"/>
      <c r="Y239" s="55"/>
      <c r="Z239" s="55"/>
      <c r="AA239" s="55"/>
      <c r="AB239" s="55"/>
      <c r="AC239" s="55"/>
      <c r="AD239" s="55"/>
      <c r="AE239" s="55"/>
      <c r="AF239" s="55">
        <f t="shared" si="84"/>
        <v>0</v>
      </c>
      <c r="AG239" s="55">
        <f t="shared" si="85"/>
        <v>0</v>
      </c>
      <c r="AH239" s="55">
        <f t="shared" si="86"/>
        <v>0</v>
      </c>
      <c r="AI239" s="55">
        <f t="shared" si="87"/>
        <v>0</v>
      </c>
      <c r="AJ239" s="55">
        <f t="shared" si="88"/>
        <v>0</v>
      </c>
      <c r="AK239" s="55">
        <f t="shared" si="89"/>
        <v>0</v>
      </c>
      <c r="AL239" s="55">
        <f t="shared" si="90"/>
        <v>0</v>
      </c>
      <c r="AM239" s="55">
        <f t="shared" si="91"/>
        <v>0</v>
      </c>
      <c r="AN239" s="55">
        <f t="shared" si="92"/>
        <v>0</v>
      </c>
      <c r="AO239" s="55">
        <f t="shared" si="93"/>
        <v>0</v>
      </c>
      <c r="AP239" s="55">
        <f t="shared" si="94"/>
        <v>0</v>
      </c>
      <c r="AQ239" s="55">
        <f t="shared" si="95"/>
        <v>0</v>
      </c>
      <c r="AR239" s="55">
        <f t="shared" si="96"/>
        <v>0</v>
      </c>
      <c r="AS239" s="55">
        <f t="shared" si="97"/>
        <v>0</v>
      </c>
      <c r="AT239" s="55">
        <f t="shared" si="98"/>
        <v>0</v>
      </c>
      <c r="AU239" s="55">
        <f t="shared" si="99"/>
        <v>0</v>
      </c>
      <c r="AV239" s="55">
        <f t="shared" si="100"/>
        <v>0</v>
      </c>
      <c r="AW239" s="55"/>
    </row>
    <row r="240" spans="1:49" ht="33.75" customHeight="1" thickTop="1">
      <c r="C240" s="58"/>
      <c r="D240" s="58"/>
      <c r="E240" s="58"/>
      <c r="U240" s="55"/>
      <c r="V240" s="55"/>
      <c r="W240" s="55"/>
      <c r="X240" s="55"/>
      <c r="Y240" s="55"/>
      <c r="Z240" s="55"/>
      <c r="AA240" s="55"/>
      <c r="AB240" s="55" t="s">
        <v>124</v>
      </c>
      <c r="AC240" s="55"/>
      <c r="AD240" s="55"/>
      <c r="AE240" s="55"/>
      <c r="AF240" s="55">
        <f t="shared" si="84"/>
        <v>0</v>
      </c>
      <c r="AG240" s="55">
        <f t="shared" si="85"/>
        <v>0</v>
      </c>
      <c r="AH240" s="55">
        <f t="shared" si="86"/>
        <v>0</v>
      </c>
      <c r="AI240" s="55">
        <f t="shared" si="87"/>
        <v>0</v>
      </c>
      <c r="AJ240" s="55">
        <f t="shared" si="88"/>
        <v>0</v>
      </c>
      <c r="AK240" s="55">
        <f t="shared" si="89"/>
        <v>0</v>
      </c>
      <c r="AL240" s="55">
        <f t="shared" si="90"/>
        <v>0</v>
      </c>
      <c r="AM240" s="55">
        <f t="shared" si="91"/>
        <v>0</v>
      </c>
      <c r="AN240" s="55">
        <f t="shared" si="92"/>
        <v>0</v>
      </c>
      <c r="AO240" s="55">
        <f t="shared" si="93"/>
        <v>0</v>
      </c>
      <c r="AP240" s="55">
        <f t="shared" si="94"/>
        <v>0</v>
      </c>
      <c r="AQ240" s="55">
        <f t="shared" si="95"/>
        <v>0</v>
      </c>
      <c r="AR240" s="55">
        <f t="shared" si="96"/>
        <v>0</v>
      </c>
      <c r="AS240" s="55">
        <f t="shared" si="97"/>
        <v>0</v>
      </c>
      <c r="AT240" s="55">
        <f t="shared" si="98"/>
        <v>0</v>
      </c>
      <c r="AU240" s="55">
        <f t="shared" si="99"/>
        <v>0</v>
      </c>
      <c r="AV240" s="55">
        <f t="shared" si="100"/>
        <v>0</v>
      </c>
      <c r="AW240" s="55"/>
    </row>
    <row r="241" spans="1:49" ht="33.75" customHeight="1" thickBot="1">
      <c r="D241" s="54" t="s">
        <v>70</v>
      </c>
      <c r="F241" s="54" t="s">
        <v>70</v>
      </c>
      <c r="H241" s="54" t="s">
        <v>70</v>
      </c>
      <c r="I241" s="54" t="s">
        <v>70</v>
      </c>
      <c r="J241" s="54" t="s">
        <v>70</v>
      </c>
      <c r="K241" s="54" t="s">
        <v>70</v>
      </c>
      <c r="L241" s="54" t="s">
        <v>70</v>
      </c>
      <c r="M241" s="54" t="s">
        <v>70</v>
      </c>
      <c r="N241" s="54" t="s">
        <v>70</v>
      </c>
      <c r="O241" s="54" t="s">
        <v>70</v>
      </c>
      <c r="P241" s="54" t="s">
        <v>70</v>
      </c>
      <c r="U241" s="55"/>
      <c r="V241" s="55"/>
      <c r="W241" s="55"/>
      <c r="X241" s="55"/>
      <c r="Y241" s="55"/>
      <c r="Z241" s="55"/>
      <c r="AA241" s="55"/>
      <c r="AB241" s="55"/>
      <c r="AC241" s="55"/>
      <c r="AD241" s="55"/>
      <c r="AE241" s="55"/>
      <c r="AF241" s="55">
        <f t="shared" si="84"/>
        <v>0</v>
      </c>
      <c r="AG241" s="55">
        <f t="shared" si="85"/>
        <v>0</v>
      </c>
      <c r="AH241" s="55">
        <f t="shared" si="86"/>
        <v>0</v>
      </c>
      <c r="AI241" s="55">
        <f t="shared" si="87"/>
        <v>0</v>
      </c>
      <c r="AJ241" s="55">
        <f t="shared" si="88"/>
        <v>0</v>
      </c>
      <c r="AK241" s="55">
        <f t="shared" si="89"/>
        <v>0</v>
      </c>
      <c r="AL241" s="55">
        <f t="shared" si="90"/>
        <v>0</v>
      </c>
      <c r="AM241" s="55">
        <f t="shared" si="91"/>
        <v>0</v>
      </c>
      <c r="AN241" s="55">
        <f t="shared" si="92"/>
        <v>0</v>
      </c>
      <c r="AO241" s="55">
        <f t="shared" si="93"/>
        <v>0</v>
      </c>
      <c r="AP241" s="55">
        <f t="shared" si="94"/>
        <v>0</v>
      </c>
      <c r="AQ241" s="55">
        <f t="shared" si="95"/>
        <v>0</v>
      </c>
      <c r="AR241" s="55">
        <f t="shared" si="96"/>
        <v>0</v>
      </c>
      <c r="AS241" s="55">
        <f t="shared" si="97"/>
        <v>0</v>
      </c>
      <c r="AT241" s="55">
        <f t="shared" si="98"/>
        <v>0</v>
      </c>
      <c r="AU241" s="55">
        <f t="shared" si="99"/>
        <v>0</v>
      </c>
      <c r="AV241" s="55">
        <f t="shared" si="100"/>
        <v>0</v>
      </c>
      <c r="AW241" s="55"/>
    </row>
    <row r="242" spans="1:49" ht="33.75" customHeight="1" thickTop="1">
      <c r="C242" s="173" t="s">
        <v>147</v>
      </c>
      <c r="D242" s="172"/>
      <c r="E242" s="172"/>
      <c r="F242" s="635" t="s">
        <v>148</v>
      </c>
      <c r="G242" s="636"/>
      <c r="H242" s="636"/>
      <c r="I242" s="636"/>
      <c r="J242" s="636"/>
      <c r="K242" s="636"/>
      <c r="L242" s="636"/>
      <c r="M242" s="636"/>
      <c r="N242" s="636"/>
      <c r="O242" s="636"/>
      <c r="P242" s="636"/>
      <c r="Q242" s="636"/>
      <c r="R242" s="636"/>
      <c r="S242" s="636"/>
      <c r="T242" s="636"/>
      <c r="U242" s="637"/>
      <c r="V242" s="55"/>
      <c r="W242" s="55"/>
      <c r="X242" s="55"/>
      <c r="Y242" s="55"/>
      <c r="Z242" s="55"/>
      <c r="AA242" s="55"/>
      <c r="AB242" s="55"/>
      <c r="AC242" s="55"/>
      <c r="AD242" s="55"/>
      <c r="AE242" s="55"/>
      <c r="AF242" s="55">
        <f>H236*D236</f>
        <v>0</v>
      </c>
      <c r="AG242" s="55">
        <f>IF($AF242*2&gt;$H236,IF($AF242*2-$H236&lt;$AF242,$H236-$AF242*1,0),$AF242)</f>
        <v>0</v>
      </c>
      <c r="AH242" s="55">
        <f>IF($AF242*3&gt;$H236,IF($AF242*3-$H236&lt;$AF242,$H236-$AF242*2,0),$AF242)</f>
        <v>0</v>
      </c>
      <c r="AI242" s="55">
        <f>IF($AF242*4&gt;$H236,IF($AF242*4-$H236&lt;$AF242,$H236-$AF242*3,0),$AF242)</f>
        <v>0</v>
      </c>
      <c r="AJ242" s="55">
        <f>IF($AF242*5&gt;$H236,IF($AF242*5-$H236&lt;$AF242,$H236-$AF242*4,0),$AF242)</f>
        <v>0</v>
      </c>
      <c r="AK242" s="55">
        <f>IF($AF242*6&gt;$H236,IF($AF242*6-$H236&lt;$AF242,$H236-$AF242*5,0),$AF242)</f>
        <v>0</v>
      </c>
      <c r="AL242" s="55">
        <f>IF($AF242*7&gt;$H236,IF($AF242*7-$H236&lt;$AF242,$H236-$AF242*6,0),$AF242)</f>
        <v>0</v>
      </c>
      <c r="AM242" s="55">
        <f>IF($AF242*8&gt;$H236,IF($AF242*8-$H236&lt;$AF242,$H236-$AF242*7,0),$AF242)</f>
        <v>0</v>
      </c>
      <c r="AN242" s="55">
        <f>IF($AF242*9&gt;$H236,IF($AF242*9-$H236&lt;$AF242,$H236-$AF242*8,0),$AF242)</f>
        <v>0</v>
      </c>
      <c r="AO242" s="55">
        <f>IF($AF242*10&gt;$H236,IF($AF242*10-$H236&lt;$AF242,$H236-$AF242*9,0),$AF242)</f>
        <v>0</v>
      </c>
      <c r="AP242" s="55">
        <f>IF($AF242*11&gt;$H236,IF($AF242*11-$H236&lt;$AF242,$H236-$AF242*10,0),$AF242)</f>
        <v>0</v>
      </c>
      <c r="AQ242" s="55">
        <f>IF($AF242*12&gt;$H236,IF($AF242*12-$H236&lt;$AF242,$H236-$AF242*11,0),$AF242)</f>
        <v>0</v>
      </c>
      <c r="AR242" s="55">
        <f>IF($AF242*13&gt;$H236,IF($AF242*13-$H236&lt;$AF242,$H236-$AF242*12,0),$AF242)</f>
        <v>0</v>
      </c>
      <c r="AS242" s="55">
        <f>IF($AF242*14&gt;$H236,IF($AF242*14-$H236&lt;$AF242,$H236-$AF242*13,0),$AF242)</f>
        <v>0</v>
      </c>
      <c r="AT242" s="55">
        <f>IF($AF242*15&gt;$H236,IF($AF242*15-$H236&lt;$AF242,$H236-$AF242*14,0),$AF242)</f>
        <v>0</v>
      </c>
      <c r="AU242" s="55">
        <f>IF($AF242*16&gt;$H236,IF($AF242*16-$H236&lt;$AF242,$H236-$AF242*15,0),$AF242)</f>
        <v>0</v>
      </c>
      <c r="AV242" s="55">
        <f>IF($AF242*17&gt;$H236,IF($AF242*17-$H236&lt;$AF242,$H236-$AF242*16,0),$AF242)</f>
        <v>0</v>
      </c>
      <c r="AW242" s="55"/>
    </row>
    <row r="243" spans="1:49" ht="33.75" customHeight="1" thickBot="1">
      <c r="C243" s="171" t="s">
        <v>149</v>
      </c>
      <c r="D243" s="170"/>
      <c r="E243" s="170"/>
      <c r="F243" s="506" t="str">
        <f>""&amp;'Financial Stat.'!B318</f>
        <v xml:space="preserve">  2025</v>
      </c>
      <c r="G243" s="503" t="str">
        <f>""&amp;'Financial Stat.'!C318</f>
        <v xml:space="preserve">  2026</v>
      </c>
      <c r="H243" s="503" t="str">
        <f>""&amp;'Financial Stat.'!D318</f>
        <v xml:space="preserve">  2027</v>
      </c>
      <c r="I243" s="503" t="str">
        <f>""&amp;'Financial Stat.'!E318</f>
        <v xml:space="preserve">  2028</v>
      </c>
      <c r="J243" s="503" t="str">
        <f>""&amp;'Financial Stat.'!F318</f>
        <v xml:space="preserve">  2029</v>
      </c>
      <c r="K243" s="503" t="str">
        <f>""&amp;'Financial Stat.'!G318</f>
        <v xml:space="preserve">  2030</v>
      </c>
      <c r="L243" s="503" t="str">
        <f>""&amp;'Financial Stat.'!H318</f>
        <v xml:space="preserve">  2031</v>
      </c>
      <c r="M243" s="503" t="str">
        <f>""&amp;'Financial Stat.'!I318</f>
        <v xml:space="preserve">  2032</v>
      </c>
      <c r="N243" s="503" t="str">
        <f>""&amp;'Financial Stat.'!J318</f>
        <v xml:space="preserve">  2033</v>
      </c>
      <c r="O243" s="503" t="str">
        <f>""&amp;'Financial Stat.'!K318</f>
        <v xml:space="preserve">  2034</v>
      </c>
      <c r="P243" s="503" t="str">
        <f>""&amp;'Financial Stat.'!L318</f>
        <v xml:space="preserve">  2035</v>
      </c>
      <c r="Q243" s="503" t="str">
        <f>""&amp;'Financial Stat.'!M318</f>
        <v xml:space="preserve">  2036</v>
      </c>
      <c r="R243" s="503" t="str">
        <f>""&amp;'Financial Stat.'!N318</f>
        <v xml:space="preserve">  2037</v>
      </c>
      <c r="S243" s="503" t="str">
        <f>""&amp;'Financial Stat.'!O318</f>
        <v xml:space="preserve">  2038</v>
      </c>
      <c r="T243" s="503" t="str">
        <f>""&amp;'Financial Stat.'!P318</f>
        <v xml:space="preserve">  2039</v>
      </c>
      <c r="U243" s="501" t="str">
        <f>""&amp;'Financial Stat.'!Q318</f>
        <v xml:space="preserve">  2040</v>
      </c>
      <c r="V243" s="55"/>
      <c r="W243" s="55"/>
      <c r="X243" s="55"/>
      <c r="Y243" s="55"/>
      <c r="Z243" s="55"/>
      <c r="AA243" s="55"/>
      <c r="AB243" s="55"/>
      <c r="AC243" s="55"/>
      <c r="AD243" s="55"/>
      <c r="AE243" s="55"/>
      <c r="AF243" s="55">
        <f>H237*D237</f>
        <v>0</v>
      </c>
      <c r="AG243" s="55">
        <f>IF($AF243*2&gt;$H237,IF($AF243*2-$H237&lt;$AF243,$H237-$AF243*1,0),$AF243)</f>
        <v>0</v>
      </c>
      <c r="AH243" s="55">
        <f>IF($AF243*3&gt;$H237,IF($AF243*3-$H237&lt;$AF243,$H237-$AF243*2,0),$AF243)</f>
        <v>0</v>
      </c>
      <c r="AI243" s="55">
        <f>IF($AF243*4&gt;$H237,IF($AF243*4-$H237&lt;$AF243,$H237-$AF243*3,0),$AF243)</f>
        <v>0</v>
      </c>
      <c r="AJ243" s="55">
        <f>IF($AF243*5&gt;$H237,IF($AF243*5-$H237&lt;$AF243,$H237-$AF243*4,0),$AF243)</f>
        <v>0</v>
      </c>
      <c r="AK243" s="55">
        <f>IF($AF243*6&gt;$H237,IF($AF243*6-$H237&lt;$AF243,$H237-$AF243*5,0),$AF243)</f>
        <v>0</v>
      </c>
      <c r="AL243" s="55">
        <f>IF($AF243*7&gt;$H237,IF($AF243*7-$H237&lt;$AF243,$H237-$AF243*6,0),$AF243)</f>
        <v>0</v>
      </c>
      <c r="AM243" s="55">
        <f>IF($AF243*8&gt;$H237,IF($AF243*8-$H237&lt;$AF243,$H237-$AF243*7,0),$AF243)</f>
        <v>0</v>
      </c>
      <c r="AN243" s="55">
        <f>IF($AF243*9&gt;$H237,IF($AF243*9-$H237&lt;$AF243,$H237-$AF243*8,0),$AF243)</f>
        <v>0</v>
      </c>
      <c r="AO243" s="55">
        <f>IF($AF243*10&gt;$H237,IF($AF243*10-$H237&lt;$AF243,$H237-$AF243*9,0),$AF243)</f>
        <v>0</v>
      </c>
      <c r="AP243" s="55">
        <f>IF($AF243*11&gt;$H237,IF($AF243*11-$H237&lt;$AF243,$H237-$AF243*10,0),$AF243)</f>
        <v>0</v>
      </c>
      <c r="AQ243" s="55">
        <f>IF($AF243*12&gt;$H237,IF($AF243*12-$H237&lt;$AF243,$H237-$AF243*11,0),$AF243)</f>
        <v>0</v>
      </c>
      <c r="AR243" s="55">
        <f>IF($AF243*13&gt;$H237,IF($AF243*13-$H237&lt;$AF243,$H237-$AF243*12,0),$AF243)</f>
        <v>0</v>
      </c>
      <c r="AS243" s="55">
        <f>IF($AF243*14&gt;$H237,IF($AF243*14-$H237&lt;$AF243,$H237-$AF243*13,0),$AF243)</f>
        <v>0</v>
      </c>
      <c r="AT243" s="55">
        <f>IF($AF243*15&gt;$H237,IF($AF243*15-$H237&lt;$AF243,$H237-$AF243*14,0),$AF243)</f>
        <v>0</v>
      </c>
      <c r="AU243" s="55">
        <f>IF($AF243*16&gt;$H237,IF($AF243*16-$H237&lt;$AF243,$H237-$AF243*15,0),$AF243)</f>
        <v>0</v>
      </c>
      <c r="AV243" s="55">
        <f>IF($AF243*17&gt;$H237,IF($AF243*17-$H237&lt;$AF243,$H237-$AF243*16,0),$AF243)</f>
        <v>0</v>
      </c>
      <c r="AW243" s="55"/>
    </row>
    <row r="244" spans="1:49" ht="33.75" customHeight="1" thickTop="1">
      <c r="A244" s="57"/>
      <c r="C244" s="169" t="s">
        <v>138</v>
      </c>
      <c r="D244" s="88"/>
      <c r="E244" s="88"/>
      <c r="F244" s="168"/>
      <c r="G244" s="147"/>
      <c r="H244" s="147"/>
      <c r="I244" s="147"/>
      <c r="J244" s="147"/>
      <c r="K244" s="147"/>
      <c r="L244" s="147"/>
      <c r="M244" s="147"/>
      <c r="N244" s="147"/>
      <c r="O244" s="147"/>
      <c r="P244" s="147"/>
      <c r="Q244" s="147"/>
      <c r="R244" s="147"/>
      <c r="S244" s="147"/>
      <c r="T244" s="147"/>
      <c r="U244" s="146"/>
      <c r="V244" s="55"/>
      <c r="W244" s="55"/>
      <c r="X244" s="55"/>
      <c r="Y244" s="55"/>
      <c r="Z244" s="55"/>
      <c r="AA244" s="55"/>
      <c r="AB244" s="55"/>
      <c r="AC244" s="55"/>
      <c r="AD244" s="55"/>
      <c r="AE244" s="55"/>
      <c r="AF244" s="55"/>
      <c r="AG244" s="55"/>
      <c r="AH244" s="55"/>
      <c r="AI244" s="55"/>
      <c r="AJ244" s="55"/>
      <c r="AK244" s="55"/>
      <c r="AL244" s="55"/>
      <c r="AM244" s="55"/>
      <c r="AN244" s="55"/>
      <c r="AO244" s="55"/>
      <c r="AP244" s="55"/>
      <c r="AQ244" s="55"/>
      <c r="AR244" s="55"/>
      <c r="AS244" s="55"/>
      <c r="AT244" s="55"/>
      <c r="AU244" s="55"/>
      <c r="AV244" s="55"/>
      <c r="AW244" s="55"/>
    </row>
    <row r="245" spans="1:49" ht="33.75" customHeight="1">
      <c r="A245" s="57"/>
      <c r="C245" s="167" t="s">
        <v>31</v>
      </c>
      <c r="D245" s="162"/>
      <c r="E245" s="162"/>
      <c r="F245" s="161">
        <f t="shared" ref="F245:F250" si="103">AC204</f>
        <v>0</v>
      </c>
      <c r="G245" s="105">
        <f t="shared" ref="G245:U250" si="104">ROUND(AD204+AD215+AD225+AD236+AD245+AD256+AD266+AD276+AD286+AD296+AD306+AD316,0)</f>
        <v>39</v>
      </c>
      <c r="H245" s="105">
        <f t="shared" si="104"/>
        <v>39</v>
      </c>
      <c r="I245" s="105">
        <f t="shared" si="104"/>
        <v>39</v>
      </c>
      <c r="J245" s="105">
        <f t="shared" si="104"/>
        <v>39</v>
      </c>
      <c r="K245" s="105">
        <f t="shared" si="104"/>
        <v>39</v>
      </c>
      <c r="L245" s="105">
        <f t="shared" si="104"/>
        <v>39</v>
      </c>
      <c r="M245" s="105">
        <f t="shared" si="104"/>
        <v>39</v>
      </c>
      <c r="N245" s="105">
        <f t="shared" si="104"/>
        <v>39</v>
      </c>
      <c r="O245" s="105">
        <f t="shared" si="104"/>
        <v>39</v>
      </c>
      <c r="P245" s="105">
        <f t="shared" si="104"/>
        <v>39</v>
      </c>
      <c r="Q245" s="105">
        <f t="shared" si="104"/>
        <v>39</v>
      </c>
      <c r="R245" s="105">
        <f t="shared" si="104"/>
        <v>39</v>
      </c>
      <c r="S245" s="105">
        <f t="shared" si="104"/>
        <v>39</v>
      </c>
      <c r="T245" s="105">
        <f t="shared" si="104"/>
        <v>39</v>
      </c>
      <c r="U245" s="160">
        <f t="shared" si="104"/>
        <v>39</v>
      </c>
      <c r="V245" s="55"/>
      <c r="W245" s="55"/>
      <c r="X245" s="55"/>
      <c r="Y245" s="55"/>
      <c r="Z245" s="55"/>
      <c r="AA245" s="55"/>
      <c r="AB245" s="55"/>
      <c r="AC245" s="55"/>
      <c r="AD245" s="55"/>
      <c r="AE245" s="55"/>
      <c r="AF245" s="55"/>
      <c r="AG245" s="55">
        <f t="shared" ref="AG245:AG251" si="105">I227*D227</f>
        <v>0</v>
      </c>
      <c r="AH245" s="55">
        <f t="shared" ref="AH245:AH251" si="106">IF($AG245*2&gt;$I227,IF($AG245*2-$I227&lt;$AG245,$I227-$AG245*1,0),$AG245)</f>
        <v>0</v>
      </c>
      <c r="AI245" s="55">
        <f t="shared" ref="AI245:AI251" si="107">IF($AG245*3&gt;$I227,IF($AG245*3-$I227&lt;$AG245,$I227-$AG245*2,0),$AG245)</f>
        <v>0</v>
      </c>
      <c r="AJ245" s="55">
        <f t="shared" ref="AJ245:AJ251" si="108">IF($AG245*4&gt;$I227,IF($AG245*4-$I227&lt;$AG245,$I227-$AG245*3,0),$AG245)</f>
        <v>0</v>
      </c>
      <c r="AK245" s="55">
        <f t="shared" ref="AK245:AK251" si="109">IF($AG245*5&gt;$I227,IF($AG245*5-$I227&lt;$AG245,$I227-$AG245*4,0),$AG245)</f>
        <v>0</v>
      </c>
      <c r="AL245" s="55">
        <f t="shared" ref="AL245:AL251" si="110">IF($AG245*6&gt;$I227,IF($AG245*6-$I227&lt;$AG245,$I227-$AG245*5,0),$AG245)</f>
        <v>0</v>
      </c>
      <c r="AM245" s="55">
        <f t="shared" ref="AM245:AM251" si="111">IF($AG245*7&gt;$I227,IF($AG245*7-$I227&lt;$AG245,$I227-$AG245*6,0),$AG245)</f>
        <v>0</v>
      </c>
      <c r="AN245" s="55">
        <f t="shared" ref="AN245:AN251" si="112">IF($AG245*8&gt;$I227,IF($AG245*8-$I227&lt;$AG245,$I227-$AG245*7,0),$AG245)</f>
        <v>0</v>
      </c>
      <c r="AO245" s="55">
        <f t="shared" ref="AO245:AO251" si="113">IF($AG245*9&gt;$I227,IF($AG245*9-$I227&lt;$AG245,$I227-$AG245*8,0),$AG245)</f>
        <v>0</v>
      </c>
      <c r="AP245" s="55">
        <f t="shared" ref="AP245:AP251" si="114">IF($AG245*10&gt;$I227,IF($AG245*10-$I227&lt;$AG245,$I227-$AG245*9,0),$AG245)</f>
        <v>0</v>
      </c>
      <c r="AQ245" s="55">
        <f t="shared" ref="AQ245:AQ251" si="115">IF($AG245*11&gt;$I227,IF($AG245*11-$I227&lt;$AG245,$I227-$AG245*10,0),$AG245)</f>
        <v>0</v>
      </c>
      <c r="AR245" s="55">
        <f t="shared" ref="AR245:AR251" si="116">IF($AG245*12&gt;$I227,IF($AG245*12-$I227&lt;$AG245,$I227-$AG245*11,0),$AG245)</f>
        <v>0</v>
      </c>
      <c r="AS245" s="55">
        <f t="shared" ref="AS245:AS251" si="117">IF($AG245*13&gt;$I227,IF($AG245*13-$I227&lt;$AG245,$I227-$AG245*12,0),$AG245)</f>
        <v>0</v>
      </c>
      <c r="AT245" s="55">
        <f t="shared" ref="AT245:AT251" si="118">IF($AG245*14&gt;$I227,IF($AG245*14-$I227&lt;$AG245,$I227-$AG245*13,0),$AG245)</f>
        <v>0</v>
      </c>
      <c r="AU245" s="55">
        <f t="shared" ref="AU245:AU251" si="119">IF($AG245*15&gt;$I227,IF($AG245*15-$I227&lt;$AG245,$I227-$AG245*14,0),$AG245)</f>
        <v>0</v>
      </c>
      <c r="AV245" s="55">
        <f t="shared" ref="AV245:AV251" si="120">IF($AG245*16&gt;$I227,IF($AG245*16-$I227&lt;$AG245,$I227-$AG245*15,0),$AG245)</f>
        <v>0</v>
      </c>
      <c r="AW245" s="55"/>
    </row>
    <row r="246" spans="1:49" ht="33.75" customHeight="1">
      <c r="A246" s="57"/>
      <c r="C246" s="167" t="s">
        <v>32</v>
      </c>
      <c r="D246" s="162"/>
      <c r="E246" s="162"/>
      <c r="F246" s="161">
        <f t="shared" si="103"/>
        <v>0</v>
      </c>
      <c r="G246" s="105">
        <f t="shared" si="104"/>
        <v>568</v>
      </c>
      <c r="H246" s="105">
        <f t="shared" si="104"/>
        <v>568</v>
      </c>
      <c r="I246" s="105">
        <f t="shared" si="104"/>
        <v>568</v>
      </c>
      <c r="J246" s="105">
        <f t="shared" si="104"/>
        <v>568</v>
      </c>
      <c r="K246" s="105">
        <f t="shared" si="104"/>
        <v>568</v>
      </c>
      <c r="L246" s="105">
        <f t="shared" si="104"/>
        <v>568</v>
      </c>
      <c r="M246" s="105">
        <f t="shared" si="104"/>
        <v>568</v>
      </c>
      <c r="N246" s="105">
        <f t="shared" si="104"/>
        <v>568</v>
      </c>
      <c r="O246" s="105">
        <f t="shared" si="104"/>
        <v>568</v>
      </c>
      <c r="P246" s="105">
        <f t="shared" si="104"/>
        <v>568</v>
      </c>
      <c r="Q246" s="105">
        <f t="shared" si="104"/>
        <v>568</v>
      </c>
      <c r="R246" s="105">
        <f t="shared" si="104"/>
        <v>568</v>
      </c>
      <c r="S246" s="105">
        <f t="shared" si="104"/>
        <v>568</v>
      </c>
      <c r="T246" s="105">
        <f t="shared" si="104"/>
        <v>568</v>
      </c>
      <c r="U246" s="160">
        <f t="shared" si="104"/>
        <v>568</v>
      </c>
      <c r="V246" s="55"/>
      <c r="W246" s="55"/>
      <c r="X246" s="55"/>
      <c r="Y246" s="55"/>
      <c r="Z246" s="55"/>
      <c r="AA246" s="55"/>
      <c r="AB246" s="55"/>
      <c r="AC246" s="55"/>
      <c r="AD246" s="55"/>
      <c r="AE246" s="55"/>
      <c r="AF246" s="55"/>
      <c r="AG246" s="55">
        <f t="shared" si="105"/>
        <v>0</v>
      </c>
      <c r="AH246" s="55">
        <f t="shared" si="106"/>
        <v>0</v>
      </c>
      <c r="AI246" s="55">
        <f t="shared" si="107"/>
        <v>0</v>
      </c>
      <c r="AJ246" s="55">
        <f t="shared" si="108"/>
        <v>0</v>
      </c>
      <c r="AK246" s="55">
        <f t="shared" si="109"/>
        <v>0</v>
      </c>
      <c r="AL246" s="55">
        <f t="shared" si="110"/>
        <v>0</v>
      </c>
      <c r="AM246" s="55">
        <f t="shared" si="111"/>
        <v>0</v>
      </c>
      <c r="AN246" s="55">
        <f t="shared" si="112"/>
        <v>0</v>
      </c>
      <c r="AO246" s="55">
        <f t="shared" si="113"/>
        <v>0</v>
      </c>
      <c r="AP246" s="55">
        <f t="shared" si="114"/>
        <v>0</v>
      </c>
      <c r="AQ246" s="55">
        <f t="shared" si="115"/>
        <v>0</v>
      </c>
      <c r="AR246" s="55">
        <f t="shared" si="116"/>
        <v>0</v>
      </c>
      <c r="AS246" s="55">
        <f t="shared" si="117"/>
        <v>0</v>
      </c>
      <c r="AT246" s="55">
        <f t="shared" si="118"/>
        <v>0</v>
      </c>
      <c r="AU246" s="55">
        <f t="shared" si="119"/>
        <v>0</v>
      </c>
      <c r="AV246" s="55">
        <f t="shared" si="120"/>
        <v>0</v>
      </c>
      <c r="AW246" s="55"/>
    </row>
    <row r="247" spans="1:49" ht="33.75" customHeight="1">
      <c r="A247" s="57"/>
      <c r="C247" s="167" t="s">
        <v>33</v>
      </c>
      <c r="D247" s="162"/>
      <c r="E247" s="162"/>
      <c r="F247" s="161">
        <f t="shared" si="103"/>
        <v>0</v>
      </c>
      <c r="G247" s="105">
        <f t="shared" si="104"/>
        <v>0</v>
      </c>
      <c r="H247" s="105">
        <f t="shared" si="104"/>
        <v>0</v>
      </c>
      <c r="I247" s="105">
        <f t="shared" si="104"/>
        <v>0</v>
      </c>
      <c r="J247" s="105">
        <f t="shared" si="104"/>
        <v>0</v>
      </c>
      <c r="K247" s="105">
        <f t="shared" si="104"/>
        <v>0</v>
      </c>
      <c r="L247" s="105">
        <f t="shared" si="104"/>
        <v>0</v>
      </c>
      <c r="M247" s="105">
        <f t="shared" si="104"/>
        <v>0</v>
      </c>
      <c r="N247" s="105">
        <f t="shared" si="104"/>
        <v>0</v>
      </c>
      <c r="O247" s="105">
        <f t="shared" si="104"/>
        <v>0</v>
      </c>
      <c r="P247" s="105">
        <f t="shared" si="104"/>
        <v>0</v>
      </c>
      <c r="Q247" s="105">
        <f t="shared" si="104"/>
        <v>0</v>
      </c>
      <c r="R247" s="105">
        <f t="shared" si="104"/>
        <v>0</v>
      </c>
      <c r="S247" s="105">
        <f t="shared" si="104"/>
        <v>0</v>
      </c>
      <c r="T247" s="105">
        <f t="shared" si="104"/>
        <v>0</v>
      </c>
      <c r="U247" s="160">
        <f t="shared" si="104"/>
        <v>0</v>
      </c>
      <c r="V247" s="55"/>
      <c r="W247" s="55"/>
      <c r="X247" s="55"/>
      <c r="Y247" s="55"/>
      <c r="Z247" s="55"/>
      <c r="AA247" s="55"/>
      <c r="AB247" s="55"/>
      <c r="AC247" s="55"/>
      <c r="AD247" s="55"/>
      <c r="AE247" s="55"/>
      <c r="AF247" s="55"/>
      <c r="AG247" s="55">
        <f t="shared" si="105"/>
        <v>0</v>
      </c>
      <c r="AH247" s="55">
        <f t="shared" si="106"/>
        <v>0</v>
      </c>
      <c r="AI247" s="55">
        <f t="shared" si="107"/>
        <v>0</v>
      </c>
      <c r="AJ247" s="55">
        <f t="shared" si="108"/>
        <v>0</v>
      </c>
      <c r="AK247" s="55">
        <f t="shared" si="109"/>
        <v>0</v>
      </c>
      <c r="AL247" s="55">
        <f t="shared" si="110"/>
        <v>0</v>
      </c>
      <c r="AM247" s="55">
        <f t="shared" si="111"/>
        <v>0</v>
      </c>
      <c r="AN247" s="55">
        <f t="shared" si="112"/>
        <v>0</v>
      </c>
      <c r="AO247" s="55">
        <f t="shared" si="113"/>
        <v>0</v>
      </c>
      <c r="AP247" s="55">
        <f t="shared" si="114"/>
        <v>0</v>
      </c>
      <c r="AQ247" s="55">
        <f t="shared" si="115"/>
        <v>0</v>
      </c>
      <c r="AR247" s="55">
        <f t="shared" si="116"/>
        <v>0</v>
      </c>
      <c r="AS247" s="55">
        <f t="shared" si="117"/>
        <v>0</v>
      </c>
      <c r="AT247" s="55">
        <f t="shared" si="118"/>
        <v>0</v>
      </c>
      <c r="AU247" s="55">
        <f t="shared" si="119"/>
        <v>0</v>
      </c>
      <c r="AV247" s="55">
        <f t="shared" si="120"/>
        <v>0</v>
      </c>
      <c r="AW247" s="55"/>
    </row>
    <row r="248" spans="1:49" ht="33.75" customHeight="1">
      <c r="C248" s="167" t="s">
        <v>34</v>
      </c>
      <c r="D248" s="162"/>
      <c r="E248" s="162"/>
      <c r="F248" s="161">
        <f t="shared" si="103"/>
        <v>0</v>
      </c>
      <c r="G248" s="105">
        <f t="shared" si="104"/>
        <v>72</v>
      </c>
      <c r="H248" s="105">
        <f t="shared" si="104"/>
        <v>72</v>
      </c>
      <c r="I248" s="105">
        <f t="shared" si="104"/>
        <v>72</v>
      </c>
      <c r="J248" s="105">
        <f t="shared" si="104"/>
        <v>72</v>
      </c>
      <c r="K248" s="105">
        <f t="shared" si="104"/>
        <v>72</v>
      </c>
      <c r="L248" s="105">
        <f t="shared" si="104"/>
        <v>0</v>
      </c>
      <c r="M248" s="105">
        <f t="shared" si="104"/>
        <v>0</v>
      </c>
      <c r="N248" s="105">
        <f t="shared" si="104"/>
        <v>0</v>
      </c>
      <c r="O248" s="105">
        <f t="shared" si="104"/>
        <v>0</v>
      </c>
      <c r="P248" s="105">
        <f t="shared" si="104"/>
        <v>0</v>
      </c>
      <c r="Q248" s="105">
        <f t="shared" si="104"/>
        <v>0</v>
      </c>
      <c r="R248" s="105">
        <f t="shared" si="104"/>
        <v>0</v>
      </c>
      <c r="S248" s="105">
        <f t="shared" si="104"/>
        <v>0</v>
      </c>
      <c r="T248" s="105">
        <f t="shared" si="104"/>
        <v>0</v>
      </c>
      <c r="U248" s="160">
        <f t="shared" si="104"/>
        <v>0</v>
      </c>
      <c r="V248" s="55"/>
      <c r="W248" s="55"/>
      <c r="X248" s="55"/>
      <c r="Y248" s="55"/>
      <c r="Z248" s="55"/>
      <c r="AA248" s="55"/>
      <c r="AB248" s="55"/>
      <c r="AC248" s="55"/>
      <c r="AD248" s="55"/>
      <c r="AE248" s="55"/>
      <c r="AF248" s="55"/>
      <c r="AG248" s="55">
        <f t="shared" si="105"/>
        <v>0</v>
      </c>
      <c r="AH248" s="55">
        <f t="shared" si="106"/>
        <v>0</v>
      </c>
      <c r="AI248" s="55">
        <f t="shared" si="107"/>
        <v>0</v>
      </c>
      <c r="AJ248" s="55">
        <f t="shared" si="108"/>
        <v>0</v>
      </c>
      <c r="AK248" s="55">
        <f t="shared" si="109"/>
        <v>0</v>
      </c>
      <c r="AL248" s="55">
        <f t="shared" si="110"/>
        <v>0</v>
      </c>
      <c r="AM248" s="55">
        <f t="shared" si="111"/>
        <v>0</v>
      </c>
      <c r="AN248" s="55">
        <f t="shared" si="112"/>
        <v>0</v>
      </c>
      <c r="AO248" s="55">
        <f t="shared" si="113"/>
        <v>0</v>
      </c>
      <c r="AP248" s="55">
        <f t="shared" si="114"/>
        <v>0</v>
      </c>
      <c r="AQ248" s="55">
        <f t="shared" si="115"/>
        <v>0</v>
      </c>
      <c r="AR248" s="55">
        <f t="shared" si="116"/>
        <v>0</v>
      </c>
      <c r="AS248" s="55">
        <f t="shared" si="117"/>
        <v>0</v>
      </c>
      <c r="AT248" s="55">
        <f t="shared" si="118"/>
        <v>0</v>
      </c>
      <c r="AU248" s="55">
        <f t="shared" si="119"/>
        <v>0</v>
      </c>
      <c r="AV248" s="55">
        <f t="shared" si="120"/>
        <v>0</v>
      </c>
      <c r="AW248" s="55"/>
    </row>
    <row r="249" spans="1:49" ht="33.75" customHeight="1">
      <c r="C249" s="167" t="s">
        <v>124</v>
      </c>
      <c r="D249" s="162"/>
      <c r="E249" s="162"/>
      <c r="F249" s="161">
        <f t="shared" si="103"/>
        <v>0</v>
      </c>
      <c r="G249" s="105">
        <f t="shared" si="104"/>
        <v>23</v>
      </c>
      <c r="H249" s="105">
        <f t="shared" si="104"/>
        <v>23</v>
      </c>
      <c r="I249" s="105">
        <f t="shared" si="104"/>
        <v>23</v>
      </c>
      <c r="J249" s="105">
        <f t="shared" si="104"/>
        <v>23</v>
      </c>
      <c r="K249" s="105">
        <f t="shared" si="104"/>
        <v>23</v>
      </c>
      <c r="L249" s="105">
        <f t="shared" si="104"/>
        <v>23</v>
      </c>
      <c r="M249" s="105">
        <f t="shared" si="104"/>
        <v>23</v>
      </c>
      <c r="N249" s="105">
        <f t="shared" si="104"/>
        <v>23</v>
      </c>
      <c r="O249" s="105">
        <f t="shared" si="104"/>
        <v>23</v>
      </c>
      <c r="P249" s="105">
        <f t="shared" si="104"/>
        <v>23</v>
      </c>
      <c r="Q249" s="105">
        <f t="shared" si="104"/>
        <v>23</v>
      </c>
      <c r="R249" s="105">
        <f t="shared" si="104"/>
        <v>23</v>
      </c>
      <c r="S249" s="105">
        <f t="shared" si="104"/>
        <v>23</v>
      </c>
      <c r="T249" s="105">
        <f t="shared" si="104"/>
        <v>23</v>
      </c>
      <c r="U249" s="160">
        <f t="shared" si="104"/>
        <v>23</v>
      </c>
      <c r="V249" s="55"/>
      <c r="W249" s="55"/>
      <c r="X249" s="55"/>
      <c r="Y249" s="55"/>
      <c r="Z249" s="55"/>
      <c r="AA249" s="55"/>
      <c r="AB249" s="55"/>
      <c r="AC249" s="55"/>
      <c r="AD249" s="55"/>
      <c r="AE249" s="55"/>
      <c r="AF249" s="55"/>
      <c r="AG249" s="55">
        <f t="shared" si="105"/>
        <v>0</v>
      </c>
      <c r="AH249" s="55">
        <f t="shared" si="106"/>
        <v>0</v>
      </c>
      <c r="AI249" s="55">
        <f t="shared" si="107"/>
        <v>0</v>
      </c>
      <c r="AJ249" s="55">
        <f t="shared" si="108"/>
        <v>0</v>
      </c>
      <c r="AK249" s="55">
        <f t="shared" si="109"/>
        <v>0</v>
      </c>
      <c r="AL249" s="55">
        <f t="shared" si="110"/>
        <v>0</v>
      </c>
      <c r="AM249" s="55">
        <f t="shared" si="111"/>
        <v>0</v>
      </c>
      <c r="AN249" s="55">
        <f t="shared" si="112"/>
        <v>0</v>
      </c>
      <c r="AO249" s="55">
        <f t="shared" si="113"/>
        <v>0</v>
      </c>
      <c r="AP249" s="55">
        <f t="shared" si="114"/>
        <v>0</v>
      </c>
      <c r="AQ249" s="55">
        <f t="shared" si="115"/>
        <v>0</v>
      </c>
      <c r="AR249" s="55">
        <f t="shared" si="116"/>
        <v>0</v>
      </c>
      <c r="AS249" s="55">
        <f t="shared" si="117"/>
        <v>0</v>
      </c>
      <c r="AT249" s="55">
        <f t="shared" si="118"/>
        <v>0</v>
      </c>
      <c r="AU249" s="55">
        <f t="shared" si="119"/>
        <v>0</v>
      </c>
      <c r="AV249" s="55">
        <f t="shared" si="120"/>
        <v>0</v>
      </c>
      <c r="AW249" s="55"/>
    </row>
    <row r="250" spans="1:49" ht="33.75" customHeight="1">
      <c r="C250" s="167" t="s">
        <v>123</v>
      </c>
      <c r="D250" s="162"/>
      <c r="E250" s="162"/>
      <c r="F250" s="161">
        <f t="shared" si="103"/>
        <v>0</v>
      </c>
      <c r="G250" s="105">
        <f t="shared" si="104"/>
        <v>0</v>
      </c>
      <c r="H250" s="105">
        <f t="shared" si="104"/>
        <v>0</v>
      </c>
      <c r="I250" s="105">
        <f t="shared" si="104"/>
        <v>0</v>
      </c>
      <c r="J250" s="105">
        <f t="shared" si="104"/>
        <v>0</v>
      </c>
      <c r="K250" s="105">
        <f t="shared" si="104"/>
        <v>0</v>
      </c>
      <c r="L250" s="105">
        <f t="shared" si="104"/>
        <v>0</v>
      </c>
      <c r="M250" s="105">
        <f t="shared" si="104"/>
        <v>0</v>
      </c>
      <c r="N250" s="105">
        <f t="shared" si="104"/>
        <v>0</v>
      </c>
      <c r="O250" s="105">
        <f t="shared" si="104"/>
        <v>0</v>
      </c>
      <c r="P250" s="105">
        <f t="shared" si="104"/>
        <v>0</v>
      </c>
      <c r="Q250" s="105">
        <f t="shared" si="104"/>
        <v>0</v>
      </c>
      <c r="R250" s="105">
        <f t="shared" si="104"/>
        <v>0</v>
      </c>
      <c r="S250" s="105">
        <f t="shared" si="104"/>
        <v>0</v>
      </c>
      <c r="T250" s="105">
        <f t="shared" si="104"/>
        <v>0</v>
      </c>
      <c r="U250" s="160">
        <f t="shared" si="104"/>
        <v>0</v>
      </c>
      <c r="V250" s="55"/>
      <c r="W250" s="55"/>
      <c r="X250" s="55"/>
      <c r="Y250" s="55"/>
      <c r="Z250" s="55"/>
      <c r="AA250" s="55"/>
      <c r="AB250" s="55"/>
      <c r="AC250" s="55"/>
      <c r="AD250" s="55"/>
      <c r="AE250" s="55"/>
      <c r="AF250" s="55"/>
      <c r="AG250" s="55">
        <f t="shared" si="105"/>
        <v>0</v>
      </c>
      <c r="AH250" s="55">
        <f t="shared" si="106"/>
        <v>0</v>
      </c>
      <c r="AI250" s="55">
        <f t="shared" si="107"/>
        <v>0</v>
      </c>
      <c r="AJ250" s="55">
        <f t="shared" si="108"/>
        <v>0</v>
      </c>
      <c r="AK250" s="55">
        <f t="shared" si="109"/>
        <v>0</v>
      </c>
      <c r="AL250" s="55">
        <f t="shared" si="110"/>
        <v>0</v>
      </c>
      <c r="AM250" s="55">
        <f t="shared" si="111"/>
        <v>0</v>
      </c>
      <c r="AN250" s="55">
        <f t="shared" si="112"/>
        <v>0</v>
      </c>
      <c r="AO250" s="55">
        <f t="shared" si="113"/>
        <v>0</v>
      </c>
      <c r="AP250" s="55">
        <f t="shared" si="114"/>
        <v>0</v>
      </c>
      <c r="AQ250" s="55">
        <f t="shared" si="115"/>
        <v>0</v>
      </c>
      <c r="AR250" s="55">
        <f t="shared" si="116"/>
        <v>0</v>
      </c>
      <c r="AS250" s="55">
        <f t="shared" si="117"/>
        <v>0</v>
      </c>
      <c r="AT250" s="55">
        <f t="shared" si="118"/>
        <v>0</v>
      </c>
      <c r="AU250" s="55">
        <f t="shared" si="119"/>
        <v>0</v>
      </c>
      <c r="AV250" s="55">
        <f t="shared" si="120"/>
        <v>0</v>
      </c>
      <c r="AW250" s="55"/>
    </row>
    <row r="251" spans="1:49" ht="33.75" customHeight="1" thickBot="1">
      <c r="C251" s="167" t="s">
        <v>132</v>
      </c>
      <c r="D251" s="162"/>
      <c r="E251" s="162"/>
      <c r="F251" s="161"/>
      <c r="G251" s="105">
        <f>ROUND(AD221+AD231+AD232+AD251+AD262+AD272+AD282+AD292+AD302+AD312+AD322,0)</f>
        <v>0</v>
      </c>
      <c r="H251" s="105">
        <f>ROUND(AE221+AE231+AE232+AE251+AE262+AE272+AE282+AE292+AE302+AE312+AE322,0)</f>
        <v>0</v>
      </c>
      <c r="I251" s="105">
        <f t="shared" ref="I251:U251" si="121">ROUND(AF221+AF231+AF232+AF252+AF262+AF272+AF282+AF292+AF302+AF312+AF322,0)</f>
        <v>0</v>
      </c>
      <c r="J251" s="105">
        <f t="shared" si="121"/>
        <v>0</v>
      </c>
      <c r="K251" s="105">
        <f t="shared" si="121"/>
        <v>0</v>
      </c>
      <c r="L251" s="105">
        <f t="shared" si="121"/>
        <v>0</v>
      </c>
      <c r="M251" s="105">
        <f t="shared" si="121"/>
        <v>0</v>
      </c>
      <c r="N251" s="105">
        <f t="shared" si="121"/>
        <v>0</v>
      </c>
      <c r="O251" s="105">
        <f t="shared" si="121"/>
        <v>0</v>
      </c>
      <c r="P251" s="105">
        <f t="shared" si="121"/>
        <v>0</v>
      </c>
      <c r="Q251" s="105">
        <f t="shared" si="121"/>
        <v>0</v>
      </c>
      <c r="R251" s="105">
        <f t="shared" si="121"/>
        <v>0</v>
      </c>
      <c r="S251" s="105">
        <f t="shared" si="121"/>
        <v>0</v>
      </c>
      <c r="T251" s="105">
        <f t="shared" si="121"/>
        <v>0</v>
      </c>
      <c r="U251" s="160">
        <f t="shared" si="121"/>
        <v>0</v>
      </c>
      <c r="V251" s="55"/>
      <c r="W251" s="55"/>
      <c r="X251" s="55"/>
      <c r="Y251" s="55"/>
      <c r="Z251" s="55"/>
      <c r="AA251" s="55"/>
      <c r="AB251" s="55"/>
      <c r="AC251" s="55"/>
      <c r="AD251" s="55"/>
      <c r="AE251" s="55"/>
      <c r="AF251" s="55"/>
      <c r="AG251" s="55">
        <f t="shared" si="105"/>
        <v>0</v>
      </c>
      <c r="AH251" s="55">
        <f t="shared" si="106"/>
        <v>0</v>
      </c>
      <c r="AI251" s="55">
        <f t="shared" si="107"/>
        <v>0</v>
      </c>
      <c r="AJ251" s="55">
        <f t="shared" si="108"/>
        <v>0</v>
      </c>
      <c r="AK251" s="55">
        <f t="shared" si="109"/>
        <v>0</v>
      </c>
      <c r="AL251" s="55">
        <f t="shared" si="110"/>
        <v>0</v>
      </c>
      <c r="AM251" s="55">
        <f t="shared" si="111"/>
        <v>0</v>
      </c>
      <c r="AN251" s="55">
        <f t="shared" si="112"/>
        <v>0</v>
      </c>
      <c r="AO251" s="55">
        <f t="shared" si="113"/>
        <v>0</v>
      </c>
      <c r="AP251" s="55">
        <f t="shared" si="114"/>
        <v>0</v>
      </c>
      <c r="AQ251" s="55">
        <f t="shared" si="115"/>
        <v>0</v>
      </c>
      <c r="AR251" s="55">
        <f t="shared" si="116"/>
        <v>0</v>
      </c>
      <c r="AS251" s="55">
        <f t="shared" si="117"/>
        <v>0</v>
      </c>
      <c r="AT251" s="55">
        <f t="shared" si="118"/>
        <v>0</v>
      </c>
      <c r="AU251" s="55">
        <f t="shared" si="119"/>
        <v>0</v>
      </c>
      <c r="AV251" s="55">
        <f t="shared" si="120"/>
        <v>0</v>
      </c>
      <c r="AW251" s="55"/>
    </row>
    <row r="252" spans="1:49" ht="33.75" customHeight="1" thickTop="1" thickBot="1">
      <c r="C252" s="159" t="s">
        <v>140</v>
      </c>
      <c r="D252" s="158"/>
      <c r="E252" s="158"/>
      <c r="F252" s="157">
        <f t="shared" ref="F252:U252" si="122">SUM(F244:F251)</f>
        <v>0</v>
      </c>
      <c r="G252" s="125">
        <f t="shared" si="122"/>
        <v>702</v>
      </c>
      <c r="H252" s="125">
        <f t="shared" si="122"/>
        <v>702</v>
      </c>
      <c r="I252" s="125">
        <f t="shared" si="122"/>
        <v>702</v>
      </c>
      <c r="J252" s="125">
        <f t="shared" si="122"/>
        <v>702</v>
      </c>
      <c r="K252" s="125">
        <f t="shared" si="122"/>
        <v>702</v>
      </c>
      <c r="L252" s="125">
        <f t="shared" si="122"/>
        <v>630</v>
      </c>
      <c r="M252" s="125">
        <f t="shared" si="122"/>
        <v>630</v>
      </c>
      <c r="N252" s="125">
        <f t="shared" si="122"/>
        <v>630</v>
      </c>
      <c r="O252" s="125">
        <f t="shared" si="122"/>
        <v>630</v>
      </c>
      <c r="P252" s="125">
        <f t="shared" si="122"/>
        <v>630</v>
      </c>
      <c r="Q252" s="125">
        <f t="shared" si="122"/>
        <v>630</v>
      </c>
      <c r="R252" s="125">
        <f t="shared" si="122"/>
        <v>630</v>
      </c>
      <c r="S252" s="125">
        <f t="shared" si="122"/>
        <v>630</v>
      </c>
      <c r="T252" s="125">
        <f t="shared" si="122"/>
        <v>630</v>
      </c>
      <c r="U252" s="156">
        <f t="shared" si="122"/>
        <v>630</v>
      </c>
      <c r="V252" s="55"/>
      <c r="W252" s="55"/>
      <c r="X252" s="55"/>
      <c r="Y252" s="55"/>
      <c r="Z252" s="55"/>
      <c r="AA252" s="55"/>
      <c r="AB252" s="55"/>
      <c r="AC252" s="55"/>
      <c r="AD252" s="55"/>
      <c r="AE252" s="55"/>
      <c r="AF252" s="55"/>
      <c r="AG252" s="55"/>
      <c r="AH252" s="55"/>
      <c r="AI252" s="55"/>
      <c r="AJ252" s="55"/>
      <c r="AK252" s="55"/>
      <c r="AL252" s="55"/>
      <c r="AM252" s="55"/>
      <c r="AN252" s="55"/>
      <c r="AO252" s="55"/>
      <c r="AP252" s="55"/>
      <c r="AQ252" s="55"/>
      <c r="AR252" s="55"/>
      <c r="AS252" s="55"/>
      <c r="AT252" s="55"/>
      <c r="AU252" s="55"/>
      <c r="AV252" s="55"/>
      <c r="AW252" s="55"/>
    </row>
    <row r="253" spans="1:49" ht="33.75" customHeight="1" thickTop="1">
      <c r="C253" s="81" t="s">
        <v>133</v>
      </c>
      <c r="D253" s="166"/>
      <c r="E253" s="166"/>
      <c r="F253" s="165">
        <f>AC210</f>
        <v>0</v>
      </c>
      <c r="G253" s="164">
        <f t="shared" ref="G253:U254" si="123">ROUND(AD210+AD222+AD233+AD242+AD253+AD263+AD273+AD283+AD293+AD303+AD313+AD323,0)</f>
        <v>300</v>
      </c>
      <c r="H253" s="164">
        <f t="shared" si="123"/>
        <v>0</v>
      </c>
      <c r="I253" s="164">
        <f t="shared" si="123"/>
        <v>0</v>
      </c>
      <c r="J253" s="164">
        <f t="shared" si="123"/>
        <v>0</v>
      </c>
      <c r="K253" s="164">
        <f t="shared" si="123"/>
        <v>0</v>
      </c>
      <c r="L253" s="164">
        <f t="shared" si="123"/>
        <v>0</v>
      </c>
      <c r="M253" s="164">
        <f t="shared" si="123"/>
        <v>0</v>
      </c>
      <c r="N253" s="164">
        <f t="shared" si="123"/>
        <v>0</v>
      </c>
      <c r="O253" s="164">
        <f t="shared" si="123"/>
        <v>0</v>
      </c>
      <c r="P253" s="164">
        <f t="shared" si="123"/>
        <v>0</v>
      </c>
      <c r="Q253" s="164">
        <f t="shared" si="123"/>
        <v>0</v>
      </c>
      <c r="R253" s="164">
        <f t="shared" si="123"/>
        <v>0</v>
      </c>
      <c r="S253" s="164">
        <f t="shared" si="123"/>
        <v>0</v>
      </c>
      <c r="T253" s="164">
        <f t="shared" si="123"/>
        <v>0</v>
      </c>
      <c r="U253" s="163">
        <f t="shared" si="123"/>
        <v>0</v>
      </c>
      <c r="V253" s="55"/>
      <c r="W253" s="55"/>
      <c r="X253" s="55"/>
      <c r="Y253" s="55"/>
      <c r="Z253" s="55"/>
      <c r="AA253" s="55"/>
      <c r="AB253" s="55"/>
      <c r="AC253" s="55"/>
      <c r="AD253" s="55"/>
      <c r="AE253" s="55"/>
      <c r="AF253" s="55"/>
      <c r="AG253" s="55">
        <f>I236*D236</f>
        <v>0</v>
      </c>
      <c r="AH253" s="55">
        <f>IF($AG253*2&gt;$I236,IF($AG253*2-$I236&lt;$AG253,$I236-$AG253*1,0),$AG253)</f>
        <v>0</v>
      </c>
      <c r="AI253" s="55">
        <f>IF($AG253*3&gt;$I236,IF($AG253*3-$I236&lt;$AG253,$I236-$AG253*2,0),$AG253)</f>
        <v>0</v>
      </c>
      <c r="AJ253" s="55">
        <f>IF($AG253*4&gt;$I236,IF($AG253*4-$I236&lt;$AG253,$I236-$AG253*3,0),$AG253)</f>
        <v>0</v>
      </c>
      <c r="AK253" s="55">
        <f>IF($AG253*5&gt;$I236,IF($AG253*5-$I236&lt;$AG253,$I236-$AG253*4,0),$AG253)</f>
        <v>0</v>
      </c>
      <c r="AL253" s="55">
        <f>IF($AG253*6&gt;$I236,IF($AG253*6-$I236&lt;$AG253,$I236-$AG253*5,0),$AG253)</f>
        <v>0</v>
      </c>
      <c r="AM253" s="55">
        <f>IF($AG253*7&gt;$I236,IF($AG253*7-$I236&lt;$AG253,$I236-$AG253*6,0),$AG253)</f>
        <v>0</v>
      </c>
      <c r="AN253" s="55">
        <f>IF($AG253*8&gt;$I236,IF($AG253*8-$I236&lt;$AG253,$I236-$AG253*7,0),$AG253)</f>
        <v>0</v>
      </c>
      <c r="AO253" s="55">
        <f>IF($AG253*9&gt;$I236,IF($AG253*9-$I236&lt;$AG253,$I236-$AG253*8,0),$AG253)</f>
        <v>0</v>
      </c>
      <c r="AP253" s="55">
        <f>IF($AG253*10&gt;$I236,IF($AG253*10-$I236&lt;$AG253,$I236-$AG253*9,0),$AG253)</f>
        <v>0</v>
      </c>
      <c r="AQ253" s="55">
        <f>IF($AG253*11&gt;$I236,IF($AG253*11-$I236&lt;$AG253,$I236-$AG253*10,0),$AG253)</f>
        <v>0</v>
      </c>
      <c r="AR253" s="55">
        <f>IF($AG253*12&gt;$I236,IF($AG253*12-$I236&lt;$AG253,$I236-$AG253*11,0),$AG253)</f>
        <v>0</v>
      </c>
      <c r="AS253" s="55">
        <f>IF($AG253*13&gt;$I236,IF($AG253*13-$I236&lt;$AG253,$I236-$AG253*12,0),$AG253)</f>
        <v>0</v>
      </c>
      <c r="AT253" s="55">
        <f>IF($AG253*14&gt;$I236,IF($AG253*14-$I236&lt;$AG253,$I236-$AG253*13,0),$AG253)</f>
        <v>0</v>
      </c>
      <c r="AU253" s="55">
        <f>IF($AG253*15&gt;$I236,IF($AG253*15-$I236&lt;$AG253,$I236-$AG253*14,0),$AG253)</f>
        <v>0</v>
      </c>
      <c r="AV253" s="55">
        <f>IF($AG253*16&gt;$I236,IF($AG253*16-$I236&lt;$AG253,$I236-$AG253*15,0),$AG253)</f>
        <v>0</v>
      </c>
      <c r="AW253" s="55"/>
    </row>
    <row r="254" spans="1:49" ht="33.75" customHeight="1" thickBot="1">
      <c r="C254" s="76" t="s">
        <v>144</v>
      </c>
      <c r="D254" s="162"/>
      <c r="E254" s="162"/>
      <c r="F254" s="161">
        <f>AC211</f>
        <v>0</v>
      </c>
      <c r="G254" s="105">
        <f t="shared" si="123"/>
        <v>99</v>
      </c>
      <c r="H254" s="105">
        <f t="shared" si="123"/>
        <v>0</v>
      </c>
      <c r="I254" s="105">
        <f t="shared" si="123"/>
        <v>0</v>
      </c>
      <c r="J254" s="105">
        <f t="shared" si="123"/>
        <v>0</v>
      </c>
      <c r="K254" s="105">
        <f t="shared" si="123"/>
        <v>0</v>
      </c>
      <c r="L254" s="105">
        <f t="shared" si="123"/>
        <v>0</v>
      </c>
      <c r="M254" s="105">
        <f t="shared" si="123"/>
        <v>0</v>
      </c>
      <c r="N254" s="105">
        <f t="shared" si="123"/>
        <v>0</v>
      </c>
      <c r="O254" s="105">
        <f t="shared" si="123"/>
        <v>0</v>
      </c>
      <c r="P254" s="105">
        <f t="shared" si="123"/>
        <v>0</v>
      </c>
      <c r="Q254" s="105">
        <f t="shared" si="123"/>
        <v>0</v>
      </c>
      <c r="R254" s="105">
        <f t="shared" si="123"/>
        <v>0</v>
      </c>
      <c r="S254" s="105">
        <f t="shared" si="123"/>
        <v>0</v>
      </c>
      <c r="T254" s="105">
        <f t="shared" si="123"/>
        <v>0</v>
      </c>
      <c r="U254" s="160">
        <f t="shared" si="123"/>
        <v>0</v>
      </c>
      <c r="V254" s="55"/>
      <c r="W254" s="55"/>
      <c r="X254" s="55"/>
      <c r="Y254" s="55"/>
      <c r="Z254" s="55"/>
      <c r="AA254" s="55"/>
      <c r="AB254" s="55"/>
      <c r="AC254" s="55"/>
      <c r="AD254" s="55"/>
      <c r="AE254" s="55"/>
      <c r="AF254" s="55"/>
      <c r="AG254" s="55">
        <f>I237*D237</f>
        <v>0</v>
      </c>
      <c r="AH254" s="55">
        <f>IF($AG254*2&gt;$I237,IF($AG254*2-$I237&lt;$AG254,$I237-$AG254*1,0),$AG254)</f>
        <v>0</v>
      </c>
      <c r="AI254" s="55">
        <f>IF($AG254*3&gt;$I237,IF($AG254*3-$I237&lt;$AG254,$I237-$AG254*2,0),$AG254)</f>
        <v>0</v>
      </c>
      <c r="AJ254" s="55">
        <f>IF($AG254*4&gt;$I237,IF($AG254*4-$I237&lt;$AG254,$I237-$AG254*3,0),$AG254)</f>
        <v>0</v>
      </c>
      <c r="AK254" s="55">
        <f>IF($AG254*5&gt;$I237,IF($AG254*5-$I237&lt;$AG254,$I237-$AG254*4,0),$AG254)</f>
        <v>0</v>
      </c>
      <c r="AL254" s="55">
        <f>IF($AG254*6&gt;$I237,IF($AG254*6-$I237&lt;$AG254,$I237-$AG254*5,0),$AG254)</f>
        <v>0</v>
      </c>
      <c r="AM254" s="55">
        <f>IF($AG254*7&gt;$I237,IF($AG254*7-$I237&lt;$AG254,$I237-$AG254*6,0),$AG254)</f>
        <v>0</v>
      </c>
      <c r="AN254" s="55">
        <f>IF($AG254*8&gt;$I237,IF($AG254*8-$I237&lt;$AG254,$I237-$AG254*7,0),$AG254)</f>
        <v>0</v>
      </c>
      <c r="AO254" s="55">
        <f>IF($AG254*9&gt;$I237,IF($AG254*9-$I237&lt;$AG254,$I237-$AG254*8,0),$AG254)</f>
        <v>0</v>
      </c>
      <c r="AP254" s="55">
        <f>IF($AG254*10&gt;$I237,IF($AG254*10-$I237&lt;$AG254,$I237-$AG254*9,0),$AG254)</f>
        <v>0</v>
      </c>
      <c r="AQ254" s="55">
        <f>IF($AG254*11&gt;$I237,IF($AG254*11-$I237&lt;$AG254,$I237-$AG254*10,0),$AG254)</f>
        <v>0</v>
      </c>
      <c r="AR254" s="55">
        <f>IF($AG254*12&gt;$I237,IF($AG254*12-$I237&lt;$AG254,$I237-$AG254*11,0),$AG254)</f>
        <v>0</v>
      </c>
      <c r="AS254" s="55">
        <f>IF($AG254*13&gt;$I237,IF($AG254*13-$I237&lt;$AG254,$I237-$AG254*12,0),$AG254)</f>
        <v>0</v>
      </c>
      <c r="AT254" s="55">
        <f>IF($AG254*14&gt;$I237,IF($AG254*14-$I237&lt;$AG254,$I237-$AG254*13,0),$AG254)</f>
        <v>0</v>
      </c>
      <c r="AU254" s="55">
        <f>IF($AG254*15&gt;$I237,IF($AG254*15-$I237&lt;$AG254,$I237-$AG254*14,0),$AG254)</f>
        <v>0</v>
      </c>
      <c r="AV254" s="55">
        <f>IF($AG254*16&gt;$I237,IF($AG254*16-$I237&lt;$AG254,$I237-$AG254*15,0),$AG254)</f>
        <v>0</v>
      </c>
      <c r="AW254" s="55"/>
    </row>
    <row r="255" spans="1:49" ht="33.75" customHeight="1" thickTop="1" thickBot="1">
      <c r="C255" s="159" t="s">
        <v>145</v>
      </c>
      <c r="D255" s="158"/>
      <c r="E255" s="158"/>
      <c r="F255" s="157">
        <f t="shared" ref="F255:U255" si="124">SUM(F253:F254)</f>
        <v>0</v>
      </c>
      <c r="G255" s="125">
        <f t="shared" si="124"/>
        <v>399</v>
      </c>
      <c r="H255" s="125">
        <f t="shared" si="124"/>
        <v>0</v>
      </c>
      <c r="I255" s="125">
        <f t="shared" si="124"/>
        <v>0</v>
      </c>
      <c r="J255" s="125">
        <f t="shared" si="124"/>
        <v>0</v>
      </c>
      <c r="K255" s="125">
        <f t="shared" si="124"/>
        <v>0</v>
      </c>
      <c r="L255" s="125">
        <f t="shared" si="124"/>
        <v>0</v>
      </c>
      <c r="M255" s="125">
        <f t="shared" si="124"/>
        <v>0</v>
      </c>
      <c r="N255" s="125">
        <f t="shared" si="124"/>
        <v>0</v>
      </c>
      <c r="O255" s="125">
        <f t="shared" si="124"/>
        <v>0</v>
      </c>
      <c r="P255" s="125">
        <f t="shared" si="124"/>
        <v>0</v>
      </c>
      <c r="Q255" s="125">
        <f t="shared" si="124"/>
        <v>0</v>
      </c>
      <c r="R255" s="125">
        <f t="shared" si="124"/>
        <v>0</v>
      </c>
      <c r="S255" s="125">
        <f t="shared" si="124"/>
        <v>0</v>
      </c>
      <c r="T255" s="125">
        <f t="shared" si="124"/>
        <v>0</v>
      </c>
      <c r="U255" s="156">
        <f t="shared" si="124"/>
        <v>0</v>
      </c>
      <c r="V255" s="55"/>
      <c r="W255" s="55"/>
      <c r="X255" s="55"/>
      <c r="Y255" s="55"/>
      <c r="Z255" s="55"/>
      <c r="AA255" s="55"/>
      <c r="AB255" s="55"/>
      <c r="AC255" s="55"/>
      <c r="AD255" s="55"/>
      <c r="AE255" s="55"/>
      <c r="AF255" s="55"/>
      <c r="AG255" s="55"/>
      <c r="AH255" s="55"/>
      <c r="AI255" s="55"/>
      <c r="AJ255" s="55"/>
      <c r="AK255" s="55"/>
      <c r="AL255" s="55"/>
      <c r="AM255" s="55"/>
      <c r="AN255" s="55"/>
      <c r="AO255" s="55"/>
      <c r="AP255" s="55"/>
      <c r="AQ255" s="55"/>
      <c r="AR255" s="55"/>
      <c r="AS255" s="55"/>
      <c r="AT255" s="55"/>
      <c r="AU255" s="55"/>
      <c r="AV255" s="55"/>
      <c r="AW255" s="55"/>
    </row>
    <row r="256" spans="1:49" ht="33.75" customHeight="1" thickTop="1" thickBot="1">
      <c r="C256" s="98"/>
      <c r="D256" s="91" t="s">
        <v>146</v>
      </c>
      <c r="E256" s="90"/>
      <c r="F256" s="155">
        <f t="shared" ref="F256:U256" si="125">F252+F255</f>
        <v>0</v>
      </c>
      <c r="G256" s="97">
        <f t="shared" si="125"/>
        <v>1101</v>
      </c>
      <c r="H256" s="97">
        <f t="shared" si="125"/>
        <v>702</v>
      </c>
      <c r="I256" s="97">
        <f t="shared" si="125"/>
        <v>702</v>
      </c>
      <c r="J256" s="97">
        <f t="shared" si="125"/>
        <v>702</v>
      </c>
      <c r="K256" s="97">
        <f t="shared" si="125"/>
        <v>702</v>
      </c>
      <c r="L256" s="97">
        <f t="shared" si="125"/>
        <v>630</v>
      </c>
      <c r="M256" s="97">
        <f t="shared" si="125"/>
        <v>630</v>
      </c>
      <c r="N256" s="97">
        <f t="shared" si="125"/>
        <v>630</v>
      </c>
      <c r="O256" s="97">
        <f t="shared" si="125"/>
        <v>630</v>
      </c>
      <c r="P256" s="97">
        <f t="shared" si="125"/>
        <v>630</v>
      </c>
      <c r="Q256" s="154">
        <f t="shared" si="125"/>
        <v>630</v>
      </c>
      <c r="R256" s="154">
        <f t="shared" si="125"/>
        <v>630</v>
      </c>
      <c r="S256" s="154">
        <f t="shared" si="125"/>
        <v>630</v>
      </c>
      <c r="T256" s="154">
        <f t="shared" si="125"/>
        <v>630</v>
      </c>
      <c r="U256" s="153">
        <f t="shared" si="125"/>
        <v>630</v>
      </c>
      <c r="V256" s="55"/>
      <c r="W256" s="55"/>
      <c r="X256" s="55"/>
      <c r="Y256" s="55"/>
      <c r="Z256" s="55"/>
      <c r="AA256" s="55"/>
      <c r="AB256" s="55"/>
      <c r="AC256" s="55"/>
      <c r="AD256" s="55"/>
      <c r="AE256" s="55"/>
      <c r="AF256" s="55"/>
      <c r="AG256" s="55"/>
      <c r="AH256" s="55">
        <f t="shared" ref="AH256:AH262" si="126">J227*D227</f>
        <v>0</v>
      </c>
      <c r="AI256" s="55">
        <f t="shared" ref="AI256:AI262" si="127">IF($AH256*2&gt;$J227,IF($AH256*2-$J227&lt;$AH256,$J227-$AH256*1,0),$AH256)</f>
        <v>0</v>
      </c>
      <c r="AJ256" s="55">
        <f t="shared" ref="AJ256:AJ262" si="128">IF($AH256*3&gt;$J227,IF($AH256*3-$J227&lt;$AH256,$J227-$AH256*2,0),$AH256)</f>
        <v>0</v>
      </c>
      <c r="AK256" s="55">
        <f t="shared" ref="AK256:AK262" si="129">IF($AH256*4&gt;$J227,IF($AH256*4-$J227&lt;$AH256,$J227-$AH256*3,0),$AH256)</f>
        <v>0</v>
      </c>
      <c r="AL256" s="55">
        <f t="shared" ref="AL256:AL262" si="130">IF($AH256*5&gt;$J227,IF($AH256*5-$J227&lt;$AH256,$J227-$AH256*4,0),$AH256)</f>
        <v>0</v>
      </c>
      <c r="AM256" s="55">
        <f t="shared" ref="AM256:AM262" si="131">IF($AH256*6&gt;$J227,IF($AH256*6-$J227&lt;$AH256,$J227-$AH256*5,0),$AH256)</f>
        <v>0</v>
      </c>
      <c r="AN256" s="55">
        <f t="shared" ref="AN256:AN262" si="132">IF($AH256*7&gt;$J227,IF($AH256*7-$J227&lt;$AH256,$J227-$AH256*6,0),$AH256)</f>
        <v>0</v>
      </c>
      <c r="AO256" s="55">
        <f t="shared" ref="AO256:AO262" si="133">IF($AH256*8&gt;$J227,IF($AH256*8-$J227&lt;$AH256,$J227-$AH256*7,0),$AH256)</f>
        <v>0</v>
      </c>
      <c r="AP256" s="55">
        <f t="shared" ref="AP256:AP262" si="134">IF($AH256*9&gt;$J227,IF($AH256*9-$J227&lt;$AH256,$J227-$AH256*8,0),$AH256)</f>
        <v>0</v>
      </c>
      <c r="AQ256" s="55">
        <f t="shared" ref="AQ256:AR262" si="135">IF($AH256*10&gt;$J227,IF($AH256*10-$J227&lt;$AH256,$J227-$AH256*9,0),$AH256)</f>
        <v>0</v>
      </c>
      <c r="AR256" s="55">
        <f t="shared" si="135"/>
        <v>0</v>
      </c>
      <c r="AS256" s="55">
        <f t="shared" ref="AS256:AS262" si="136">IF($AH256*11&gt;$J227,IF($AH256*11-$J227&lt;$AH256,$J227-$AH256*10,0),$AH256)</f>
        <v>0</v>
      </c>
      <c r="AT256" s="55">
        <f t="shared" ref="AT256:AT262" si="137">IF($AH256*12&gt;$J227,IF($AH256*12-$J227&lt;$AH256,$J227-$AH256*11,0),$AH256)</f>
        <v>0</v>
      </c>
      <c r="AU256" s="55">
        <f t="shared" ref="AU256:AU262" si="138">IF($AH256*13&gt;$J227,IF($AH256*13-$J227&lt;$AH256,$J227-$AH256*12,0),$AH256)</f>
        <v>0</v>
      </c>
      <c r="AV256" s="55">
        <f t="shared" ref="AV256:AV262" si="139">IF($AH256*14&gt;$J227,IF($AH256*14-$J227&lt;$AH256,$J227-$AH256*13,0),$AH256)</f>
        <v>0</v>
      </c>
      <c r="AW256" s="55"/>
    </row>
    <row r="257" spans="1:53" ht="25.5" customHeight="1" thickTop="1">
      <c r="C257" s="58"/>
      <c r="D257" s="58"/>
      <c r="E257" s="58"/>
      <c r="F257" s="58"/>
      <c r="G257" s="58"/>
      <c r="H257" s="58"/>
      <c r="I257" s="58"/>
      <c r="J257" s="58"/>
      <c r="K257" s="58"/>
      <c r="L257" s="58"/>
      <c r="M257" s="58"/>
      <c r="N257" s="58"/>
      <c r="O257" s="58"/>
      <c r="P257" s="58"/>
      <c r="U257" s="55"/>
      <c r="V257" s="55"/>
      <c r="W257" s="55"/>
      <c r="X257" s="55"/>
      <c r="Y257" s="55"/>
      <c r="Z257" s="55"/>
      <c r="AA257" s="55"/>
      <c r="AB257" s="55"/>
      <c r="AC257" s="55"/>
      <c r="AD257" s="55"/>
      <c r="AE257" s="55"/>
      <c r="AF257" s="55"/>
      <c r="AG257" s="55"/>
      <c r="AH257" s="55">
        <f t="shared" si="126"/>
        <v>0</v>
      </c>
      <c r="AI257" s="55">
        <f t="shared" si="127"/>
        <v>0</v>
      </c>
      <c r="AJ257" s="55">
        <f t="shared" si="128"/>
        <v>0</v>
      </c>
      <c r="AK257" s="55">
        <f t="shared" si="129"/>
        <v>0</v>
      </c>
      <c r="AL257" s="55">
        <f t="shared" si="130"/>
        <v>0</v>
      </c>
      <c r="AM257" s="55">
        <f t="shared" si="131"/>
        <v>0</v>
      </c>
      <c r="AN257" s="55">
        <f t="shared" si="132"/>
        <v>0</v>
      </c>
      <c r="AO257" s="55">
        <f t="shared" si="133"/>
        <v>0</v>
      </c>
      <c r="AP257" s="55">
        <f t="shared" si="134"/>
        <v>0</v>
      </c>
      <c r="AQ257" s="55">
        <f t="shared" si="135"/>
        <v>0</v>
      </c>
      <c r="AR257" s="55">
        <f t="shared" si="135"/>
        <v>0</v>
      </c>
      <c r="AS257" s="55">
        <f t="shared" si="136"/>
        <v>0</v>
      </c>
      <c r="AT257" s="55">
        <f t="shared" si="137"/>
        <v>0</v>
      </c>
      <c r="AU257" s="55">
        <f t="shared" si="138"/>
        <v>0</v>
      </c>
      <c r="AV257" s="55">
        <f t="shared" si="139"/>
        <v>0</v>
      </c>
      <c r="AW257" s="55"/>
    </row>
    <row r="258" spans="1:53" ht="20.100000000000001" customHeight="1">
      <c r="U258" s="55"/>
      <c r="V258" s="55"/>
      <c r="W258" s="55"/>
      <c r="X258" s="55"/>
      <c r="Y258" s="55"/>
      <c r="Z258" s="55"/>
      <c r="AA258" s="55"/>
      <c r="AB258" s="55"/>
      <c r="AC258" s="55"/>
      <c r="AD258" s="55"/>
      <c r="AE258" s="55"/>
      <c r="AF258" s="55"/>
      <c r="AG258" s="55"/>
      <c r="AH258" s="55">
        <f t="shared" si="126"/>
        <v>0</v>
      </c>
      <c r="AI258" s="55">
        <f t="shared" si="127"/>
        <v>0</v>
      </c>
      <c r="AJ258" s="55">
        <f t="shared" si="128"/>
        <v>0</v>
      </c>
      <c r="AK258" s="55">
        <f t="shared" si="129"/>
        <v>0</v>
      </c>
      <c r="AL258" s="55">
        <f t="shared" si="130"/>
        <v>0</v>
      </c>
      <c r="AM258" s="55">
        <f t="shared" si="131"/>
        <v>0</v>
      </c>
      <c r="AN258" s="55">
        <f t="shared" si="132"/>
        <v>0</v>
      </c>
      <c r="AO258" s="55">
        <f t="shared" si="133"/>
        <v>0</v>
      </c>
      <c r="AP258" s="55">
        <f t="shared" si="134"/>
        <v>0</v>
      </c>
      <c r="AQ258" s="55">
        <f t="shared" si="135"/>
        <v>0</v>
      </c>
      <c r="AR258" s="55">
        <f t="shared" si="135"/>
        <v>0</v>
      </c>
      <c r="AS258" s="55">
        <f t="shared" si="136"/>
        <v>0</v>
      </c>
      <c r="AT258" s="55">
        <f t="shared" si="137"/>
        <v>0</v>
      </c>
      <c r="AU258" s="55">
        <f t="shared" si="138"/>
        <v>0</v>
      </c>
      <c r="AV258" s="55">
        <f t="shared" si="139"/>
        <v>0</v>
      </c>
      <c r="AW258" s="55"/>
    </row>
    <row r="259" spans="1:53" ht="15.75" customHeight="1" thickBot="1">
      <c r="U259" s="55"/>
      <c r="V259" s="55"/>
      <c r="W259" s="55"/>
      <c r="X259" s="55"/>
      <c r="Y259" s="55"/>
      <c r="Z259" s="55"/>
      <c r="AA259" s="55"/>
      <c r="AB259" s="55"/>
      <c r="AC259" s="55"/>
      <c r="AD259" s="55"/>
      <c r="AE259" s="55"/>
      <c r="AF259" s="55"/>
      <c r="AG259" s="55"/>
      <c r="AH259" s="55">
        <f t="shared" si="126"/>
        <v>0</v>
      </c>
      <c r="AI259" s="55">
        <f t="shared" si="127"/>
        <v>0</v>
      </c>
      <c r="AJ259" s="55">
        <f t="shared" si="128"/>
        <v>0</v>
      </c>
      <c r="AK259" s="55">
        <f t="shared" si="129"/>
        <v>0</v>
      </c>
      <c r="AL259" s="55">
        <f t="shared" si="130"/>
        <v>0</v>
      </c>
      <c r="AM259" s="55">
        <f t="shared" si="131"/>
        <v>0</v>
      </c>
      <c r="AN259" s="55">
        <f t="shared" si="132"/>
        <v>0</v>
      </c>
      <c r="AO259" s="55">
        <f t="shared" si="133"/>
        <v>0</v>
      </c>
      <c r="AP259" s="55">
        <f t="shared" si="134"/>
        <v>0</v>
      </c>
      <c r="AQ259" s="55">
        <f t="shared" si="135"/>
        <v>0</v>
      </c>
      <c r="AR259" s="55">
        <f t="shared" si="135"/>
        <v>0</v>
      </c>
      <c r="AS259" s="55">
        <f t="shared" si="136"/>
        <v>0</v>
      </c>
      <c r="AT259" s="55">
        <f t="shared" si="137"/>
        <v>0</v>
      </c>
      <c r="AU259" s="55">
        <f t="shared" si="138"/>
        <v>0</v>
      </c>
      <c r="AV259" s="55">
        <f t="shared" si="139"/>
        <v>0</v>
      </c>
      <c r="AW259" s="55"/>
    </row>
    <row r="260" spans="1:53" ht="30" customHeight="1" thickTop="1" thickBot="1">
      <c r="H260" s="152" t="s">
        <v>150</v>
      </c>
      <c r="I260" s="151"/>
      <c r="U260" s="55"/>
      <c r="V260" s="55"/>
      <c r="W260" s="55"/>
      <c r="X260" s="55"/>
      <c r="Y260" s="55"/>
      <c r="Z260" s="55"/>
      <c r="AA260" s="55"/>
      <c r="AB260" s="55"/>
      <c r="AC260" s="55"/>
      <c r="AD260" s="55"/>
      <c r="AE260" s="55"/>
      <c r="AF260" s="55"/>
      <c r="AG260" s="55"/>
      <c r="AH260" s="55">
        <f t="shared" si="126"/>
        <v>0</v>
      </c>
      <c r="AI260" s="55">
        <f t="shared" si="127"/>
        <v>0</v>
      </c>
      <c r="AJ260" s="55">
        <f t="shared" si="128"/>
        <v>0</v>
      </c>
      <c r="AK260" s="55">
        <f t="shared" si="129"/>
        <v>0</v>
      </c>
      <c r="AL260" s="55">
        <f t="shared" si="130"/>
        <v>0</v>
      </c>
      <c r="AM260" s="55">
        <f t="shared" si="131"/>
        <v>0</v>
      </c>
      <c r="AN260" s="55">
        <f t="shared" si="132"/>
        <v>0</v>
      </c>
      <c r="AO260" s="55">
        <f t="shared" si="133"/>
        <v>0</v>
      </c>
      <c r="AP260" s="55">
        <f t="shared" si="134"/>
        <v>0</v>
      </c>
      <c r="AQ260" s="55">
        <f t="shared" si="135"/>
        <v>0</v>
      </c>
      <c r="AR260" s="55">
        <f t="shared" si="135"/>
        <v>0</v>
      </c>
      <c r="AS260" s="55">
        <f t="shared" si="136"/>
        <v>0</v>
      </c>
      <c r="AT260" s="55">
        <f t="shared" si="137"/>
        <v>0</v>
      </c>
      <c r="AU260" s="55">
        <f t="shared" si="138"/>
        <v>0</v>
      </c>
      <c r="AV260" s="55">
        <f t="shared" si="139"/>
        <v>0</v>
      </c>
      <c r="AW260" s="55"/>
    </row>
    <row r="261" spans="1:53" ht="42" customHeight="1" thickTop="1">
      <c r="A261" s="57" t="s">
        <v>151</v>
      </c>
      <c r="B261" s="57"/>
      <c r="C261" s="54" t="s">
        <v>152</v>
      </c>
      <c r="D261" s="57"/>
      <c r="E261" s="57"/>
      <c r="F261" s="57"/>
      <c r="G261" s="57"/>
      <c r="O261" s="57"/>
      <c r="U261" s="55"/>
      <c r="V261" s="55"/>
      <c r="W261" s="55"/>
      <c r="X261" s="55"/>
      <c r="Y261" s="55"/>
      <c r="Z261" s="55"/>
      <c r="AA261" s="55"/>
      <c r="AB261" s="55" t="s">
        <v>123</v>
      </c>
      <c r="AC261" s="55"/>
      <c r="AD261" s="55"/>
      <c r="AE261" s="55"/>
      <c r="AF261" s="55"/>
      <c r="AG261" s="55"/>
      <c r="AH261" s="55">
        <f t="shared" si="126"/>
        <v>0</v>
      </c>
      <c r="AI261" s="55">
        <f t="shared" si="127"/>
        <v>0</v>
      </c>
      <c r="AJ261" s="55">
        <f t="shared" si="128"/>
        <v>0</v>
      </c>
      <c r="AK261" s="55">
        <f t="shared" si="129"/>
        <v>0</v>
      </c>
      <c r="AL261" s="55">
        <f t="shared" si="130"/>
        <v>0</v>
      </c>
      <c r="AM261" s="55">
        <f t="shared" si="131"/>
        <v>0</v>
      </c>
      <c r="AN261" s="55">
        <f t="shared" si="132"/>
        <v>0</v>
      </c>
      <c r="AO261" s="55">
        <f t="shared" si="133"/>
        <v>0</v>
      </c>
      <c r="AP261" s="55">
        <f t="shared" si="134"/>
        <v>0</v>
      </c>
      <c r="AQ261" s="55">
        <f t="shared" si="135"/>
        <v>0</v>
      </c>
      <c r="AR261" s="55">
        <f t="shared" si="135"/>
        <v>0</v>
      </c>
      <c r="AS261" s="55">
        <f t="shared" si="136"/>
        <v>0</v>
      </c>
      <c r="AT261" s="55">
        <f t="shared" si="137"/>
        <v>0</v>
      </c>
      <c r="AU261" s="55">
        <f t="shared" si="138"/>
        <v>0</v>
      </c>
      <c r="AV261" s="55">
        <f t="shared" si="139"/>
        <v>0</v>
      </c>
      <c r="AW261" s="55"/>
    </row>
    <row r="262" spans="1:53" ht="42" customHeight="1">
      <c r="A262" s="57"/>
      <c r="B262" s="57"/>
      <c r="C262" s="54" t="s">
        <v>153</v>
      </c>
      <c r="D262" s="57"/>
      <c r="E262" s="57"/>
      <c r="F262" s="57"/>
      <c r="G262" s="57"/>
      <c r="U262" s="55"/>
      <c r="V262" s="55"/>
      <c r="W262" s="55"/>
      <c r="X262" s="55"/>
      <c r="Y262" s="55"/>
      <c r="Z262" s="55"/>
      <c r="AA262" s="55"/>
      <c r="AB262" s="55" t="s">
        <v>132</v>
      </c>
      <c r="AC262" s="55"/>
      <c r="AD262" s="55"/>
      <c r="AE262" s="55"/>
      <c r="AF262" s="55"/>
      <c r="AG262" s="55"/>
      <c r="AH262" s="55">
        <f t="shared" si="126"/>
        <v>0</v>
      </c>
      <c r="AI262" s="55">
        <f t="shared" si="127"/>
        <v>0</v>
      </c>
      <c r="AJ262" s="55">
        <f t="shared" si="128"/>
        <v>0</v>
      </c>
      <c r="AK262" s="55">
        <f t="shared" si="129"/>
        <v>0</v>
      </c>
      <c r="AL262" s="55">
        <f t="shared" si="130"/>
        <v>0</v>
      </c>
      <c r="AM262" s="55">
        <f t="shared" si="131"/>
        <v>0</v>
      </c>
      <c r="AN262" s="55">
        <f t="shared" si="132"/>
        <v>0</v>
      </c>
      <c r="AO262" s="55">
        <f t="shared" si="133"/>
        <v>0</v>
      </c>
      <c r="AP262" s="55">
        <f t="shared" si="134"/>
        <v>0</v>
      </c>
      <c r="AQ262" s="55">
        <f t="shared" si="135"/>
        <v>0</v>
      </c>
      <c r="AR262" s="55">
        <f t="shared" si="135"/>
        <v>0</v>
      </c>
      <c r="AS262" s="55">
        <f t="shared" si="136"/>
        <v>0</v>
      </c>
      <c r="AT262" s="55">
        <f t="shared" si="137"/>
        <v>0</v>
      </c>
      <c r="AU262" s="55">
        <f t="shared" si="138"/>
        <v>0</v>
      </c>
      <c r="AV262" s="55">
        <f t="shared" si="139"/>
        <v>0</v>
      </c>
      <c r="AW262" s="55"/>
    </row>
    <row r="263" spans="1:53" ht="42" customHeight="1">
      <c r="U263" s="55"/>
      <c r="V263" s="55"/>
      <c r="W263" s="55"/>
      <c r="X263" s="55"/>
      <c r="Y263" s="55"/>
      <c r="Z263" s="55"/>
      <c r="AA263" s="55"/>
      <c r="AB263" s="55" t="s">
        <v>133</v>
      </c>
      <c r="AC263" s="55"/>
      <c r="AD263" s="55"/>
      <c r="AE263" s="55"/>
      <c r="AF263" s="55"/>
      <c r="AG263" s="55"/>
      <c r="AH263" s="55">
        <f>J236*D236</f>
        <v>0</v>
      </c>
      <c r="AI263" s="55">
        <f>IF($AH263*2&gt;$J236,IF($AH263*2-$J236&lt;$AH263,$J236-$AH263*1,0),$AH263)</f>
        <v>0</v>
      </c>
      <c r="AJ263" s="55">
        <f>IF($AH263*3&gt;$J236,IF($AH263*3-$J236&lt;$AH263,$J236-$AH263*2,0),$AH263)</f>
        <v>0</v>
      </c>
      <c r="AK263" s="55">
        <f>IF($AH263*4&gt;$J236,IF($AH263*4-$J236&lt;$AH263,$J236-$AH263*3,0),$AH263)</f>
        <v>0</v>
      </c>
      <c r="AL263" s="55">
        <f>IF($AH263*5&gt;$J236,IF($AH263*5-$J236&lt;$AH263,$J236-$AH263*4,0),$AH263)</f>
        <v>0</v>
      </c>
      <c r="AM263" s="55">
        <f>IF($AH263*6&gt;$J236,IF($AH263*6-$J236&lt;$AH263,$J236-$AH263*5,0),$AH263)</f>
        <v>0</v>
      </c>
      <c r="AN263" s="55">
        <f>IF($AH263*7&gt;$J236,IF($AH263*7-$J236&lt;$AH263,$J236-$AH263*6,0),$AH263)</f>
        <v>0</v>
      </c>
      <c r="AO263" s="55">
        <f>IF($AH263*8&gt;$J236,IF($AH263*8-$J236&lt;$AH263,$J236-$AH263*7,0),$AH263)</f>
        <v>0</v>
      </c>
      <c r="AP263" s="55">
        <f>IF($AH263*9&gt;$J236,IF($AH263*9-$J236&lt;$AH263,$J236-$AH263*8,0),$AH263)</f>
        <v>0</v>
      </c>
      <c r="AQ263" s="55">
        <f>IF($AH263*10&gt;$J236,IF($AH263*10-$J236&lt;$AH263,$J236-$AH263*9,0),$AH263)</f>
        <v>0</v>
      </c>
      <c r="AR263" s="55">
        <f>IF($AH263*10&gt;$J236,IF($AH263*10-$J236&lt;$AH263,$J236-$AH263*9,0),$AH263)</f>
        <v>0</v>
      </c>
      <c r="AS263" s="55">
        <f>IF($AH263*11&gt;$J236,IF($AH263*11-$J236&lt;$AH263,$J236-$AH263*10,0),$AH263)</f>
        <v>0</v>
      </c>
      <c r="AT263" s="55">
        <f>IF($AH263*12&gt;$J236,IF($AH263*12-$J236&lt;$AH263,$J236-$AH263*11,0),$AH263)</f>
        <v>0</v>
      </c>
      <c r="AU263" s="55">
        <f>IF($AH263*13&gt;$J236,IF($AH263*13-$J236&lt;$AH263,$J236-$AH263*12,0),$AH263)</f>
        <v>0</v>
      </c>
      <c r="AV263" s="55">
        <f>IF($AH263*14&gt;$J236,IF($AH263*14-$J236&lt;$AH263,$J236-$AH263*13,0),$AH263)</f>
        <v>0</v>
      </c>
      <c r="AW263" s="55"/>
    </row>
    <row r="264" spans="1:53" ht="42" customHeight="1" thickBot="1">
      <c r="U264" s="55"/>
      <c r="V264" s="55"/>
      <c r="W264" s="55"/>
      <c r="X264" s="55"/>
      <c r="Y264" s="55"/>
      <c r="Z264" s="55"/>
      <c r="AA264" s="55"/>
      <c r="AB264" s="55" t="s">
        <v>144</v>
      </c>
      <c r="AC264" s="55"/>
      <c r="AD264" s="55"/>
      <c r="AE264" s="55"/>
      <c r="AF264" s="55"/>
      <c r="AG264" s="55"/>
      <c r="AH264" s="55">
        <f>J237*D237</f>
        <v>0</v>
      </c>
      <c r="AI264" s="55">
        <f>IF($AH264*2&gt;$J237,IF($AH264*2-$J237&lt;$AH264,$J237-$AH264*1,0),$AH264)</f>
        <v>0</v>
      </c>
      <c r="AJ264" s="55">
        <f>IF($AH264*3&gt;$J237,IF($AH264*3-$J237&lt;$AH264,$J237-$AH264*2,0),$AH264)</f>
        <v>0</v>
      </c>
      <c r="AK264" s="55">
        <f>IF($AH264*4&gt;$J237,IF($AH264*4-$J237&lt;$AH264,$J237-$AH264*3,0),$AH264)</f>
        <v>0</v>
      </c>
      <c r="AL264" s="55">
        <f>IF($AH264*5&gt;$J237,IF($AH264*5-$J237&lt;$AH264,$J237-$AH264*4,0),$AH264)</f>
        <v>0</v>
      </c>
      <c r="AM264" s="55">
        <f>IF($AH264*6&gt;$J237,IF($AH264*6-$J237&lt;$AH264,$J237-$AH264*5,0),$AH264)</f>
        <v>0</v>
      </c>
      <c r="AN264" s="55">
        <f>IF($AH264*7&gt;$J237,IF($AH264*7-$J237&lt;$AH264,$J237-$AH264*6,0),$AH264)</f>
        <v>0</v>
      </c>
      <c r="AO264" s="55">
        <f>IF($AH264*8&gt;$J237,IF($AH264*8-$J237&lt;$AH264,$J237-$AH264*7,0),$AH264)</f>
        <v>0</v>
      </c>
      <c r="AP264" s="55">
        <f>IF($AH264*9&gt;$J237,IF($AH264*9-$J237&lt;$AH264,$J237-$AH264*8,0),$AH264)</f>
        <v>0</v>
      </c>
      <c r="AQ264" s="55">
        <f>IF($AH264*10&gt;$J237,IF($AH264*10-$J237&lt;$AH264,$J237-$AH264*9,0),$AH264)</f>
        <v>0</v>
      </c>
      <c r="AR264" s="55">
        <f>IF($AH264*10&gt;$J237,IF($AH264*10-$J237&lt;$AH264,$J237-$AH264*9,0),$AH264)</f>
        <v>0</v>
      </c>
      <c r="AS264" s="55">
        <f>IF($AH264*11&gt;$J237,IF($AH264*11-$J237&lt;$AH264,$J237-$AH264*10,0),$AH264)</f>
        <v>0</v>
      </c>
      <c r="AT264" s="55">
        <f>IF($AH264*12&gt;$J237,IF($AH264*12-$J237&lt;$AH264,$J237-$AH264*11,0),$AH264)</f>
        <v>0</v>
      </c>
      <c r="AU264" s="55">
        <f>IF($AH264*13&gt;$J237,IF($AH264*13-$J237&lt;$AH264,$J237-$AH264*12,0),$AH264)</f>
        <v>0</v>
      </c>
      <c r="AV264" s="55">
        <f>IF($AH264*14&gt;$J237,IF($AH264*14-$J237&lt;$AH264,$J237-$AH264*13,0),$AH264)</f>
        <v>0</v>
      </c>
      <c r="AW264" s="55"/>
    </row>
    <row r="265" spans="1:53" ht="42" customHeight="1" thickTop="1" thickBot="1">
      <c r="E265" s="150" t="str">
        <f>"   "&amp;'Financial Stat.'!C318</f>
        <v xml:space="preserve">     2026</v>
      </c>
      <c r="F265" s="150" t="str">
        <f>"        "&amp;'Financial Stat.'!D318</f>
        <v xml:space="preserve">          2027</v>
      </c>
      <c r="G265" s="150" t="str">
        <f>"        "&amp;'Financial Stat.'!E318</f>
        <v xml:space="preserve">          2028</v>
      </c>
      <c r="H265" s="150" t="str">
        <f>"        "&amp;'Financial Stat.'!F318</f>
        <v xml:space="preserve">          2029</v>
      </c>
      <c r="I265" s="150" t="str">
        <f>"       "&amp;'Financial Stat.'!G318</f>
        <v xml:space="preserve">         2030</v>
      </c>
      <c r="J265" s="150" t="str">
        <f>"   "&amp;'Financial Stat.'!H318</f>
        <v xml:space="preserve">     2031</v>
      </c>
      <c r="K265" s="150" t="str">
        <f>"        "&amp;'Financial Stat.'!I318</f>
        <v xml:space="preserve">          2032</v>
      </c>
      <c r="L265" s="150" t="str">
        <f>"        "&amp;'Financial Stat.'!J318</f>
        <v xml:space="preserve">          2033</v>
      </c>
      <c r="M265" s="150" t="str">
        <f>"        "&amp;'Financial Stat.'!K318</f>
        <v xml:space="preserve">          2034</v>
      </c>
      <c r="N265" s="149" t="str">
        <f>"       "&amp;'Financial Stat.'!L318&amp;"  +"</f>
        <v xml:space="preserve">         2035  +</v>
      </c>
      <c r="O265" s="148"/>
      <c r="Z265" s="55"/>
      <c r="AA265" s="55"/>
      <c r="AB265" s="55" t="str">
        <f>'Financial Stat.'!G318 &amp;" Expenditure"</f>
        <v xml:space="preserve">  2030 Expenditure</v>
      </c>
      <c r="AC265" s="55"/>
      <c r="AD265" s="55"/>
      <c r="AE265" s="55"/>
      <c r="AF265" s="55"/>
      <c r="AG265" s="55"/>
      <c r="AH265" s="55"/>
      <c r="AI265" s="55"/>
      <c r="AJ265" s="55"/>
      <c r="AK265" s="55"/>
      <c r="AL265" s="55"/>
      <c r="AM265" s="55"/>
      <c r="AN265" s="55"/>
      <c r="AO265" s="55"/>
      <c r="AP265" s="55"/>
      <c r="AQ265" s="55"/>
      <c r="AR265" s="55"/>
      <c r="AS265" s="55"/>
      <c r="AT265" s="55"/>
      <c r="AU265" s="55"/>
      <c r="AV265" s="55"/>
      <c r="AW265" s="55"/>
    </row>
    <row r="266" spans="1:53" ht="42" customHeight="1" thickTop="1">
      <c r="C266" s="81"/>
      <c r="D266" s="80"/>
      <c r="E266" s="147" t="s">
        <v>70</v>
      </c>
      <c r="F266" s="147" t="s">
        <v>70</v>
      </c>
      <c r="G266" s="147" t="s">
        <v>70</v>
      </c>
      <c r="H266" s="147" t="s">
        <v>70</v>
      </c>
      <c r="I266" s="147" t="s">
        <v>70</v>
      </c>
      <c r="J266" s="147" t="s">
        <v>70</v>
      </c>
      <c r="K266" s="147" t="s">
        <v>70</v>
      </c>
      <c r="L266" s="147" t="s">
        <v>70</v>
      </c>
      <c r="M266" s="147" t="s">
        <v>70</v>
      </c>
      <c r="N266" s="146" t="s">
        <v>70</v>
      </c>
      <c r="Z266" s="55"/>
      <c r="AA266" s="55"/>
      <c r="AB266" s="55" t="s">
        <v>31</v>
      </c>
      <c r="AC266" s="55"/>
      <c r="AD266" s="55"/>
      <c r="AE266" s="55"/>
      <c r="AF266" s="55"/>
      <c r="AG266" s="55"/>
      <c r="AH266" s="55"/>
      <c r="AI266" s="55">
        <f t="shared" ref="AI266:AI272" si="140">K227*D227</f>
        <v>0</v>
      </c>
      <c r="AJ266" s="55">
        <f t="shared" ref="AJ266:AJ272" si="141">IF($AI266*2&gt;$K227,IF($AI266*2-$K227&lt;$AI266,$K227-$AI266*1,0),$AI266)</f>
        <v>0</v>
      </c>
      <c r="AK266" s="55">
        <f t="shared" ref="AK266:AK272" si="142">IF($AI266*3&gt;$K227,IF($AI266*3-$K227&lt;$AI266,$K227-$AI266*2,0),$AI266)</f>
        <v>0</v>
      </c>
      <c r="AL266" s="55">
        <f t="shared" ref="AL266:AL272" si="143">IF($AI266*4&gt;$K227,IF($AI266*4-$K227&lt;$AI266,$K227-$AI266*3,0),$AI266)</f>
        <v>0</v>
      </c>
      <c r="AM266" s="55">
        <f t="shared" ref="AM266:AM272" si="144">IF($AI266*5&gt;$K227,IF($AI266*5-$K227&lt;$AI266,$K227-$AI266*4,0),$AI266)</f>
        <v>0</v>
      </c>
      <c r="AN266" s="55">
        <f t="shared" ref="AN266:AN272" si="145">IF($AI266*6&gt;$K227,IF($AI266*6-$K227&lt;$AI266,$K227-$AI266*5,0),$AI266)</f>
        <v>0</v>
      </c>
      <c r="AO266" s="55">
        <f t="shared" ref="AO266:AO272" si="146">IF($AI266*7&gt;$K227,IF($AI266*7-$K227&lt;$AI266,$K227-$AI266*6,0),$AI266)</f>
        <v>0</v>
      </c>
      <c r="AP266" s="55">
        <f t="shared" ref="AP266:AP272" si="147">IF($AI266*8&gt;$K227,IF($AI266*8-$K227&lt;$AI266,$K227-$AI266*7,0),$AI266)</f>
        <v>0</v>
      </c>
      <c r="AQ266" s="55">
        <f t="shared" ref="AQ266:AQ272" si="148">IF($AI266*9&gt;$K227,IF($AI266*9-$K227&lt;$AI266,$K227-$AI266*8,0),$AI266)</f>
        <v>0</v>
      </c>
      <c r="AR266" s="55">
        <f t="shared" ref="AR266:AR272" si="149">IF($AI266*10&gt;$K227,IF($AI266*10-$K227&lt;$AI266,$K227-$AI266*9,0),$AI266)</f>
        <v>0</v>
      </c>
      <c r="AS266" s="55">
        <f t="shared" ref="AS266:AS272" si="150">IF($AI266*11&gt;$K227,IF($AI266*11-$K227&lt;$AI266,$K227-$AI266*10,0),$AI266)</f>
        <v>0</v>
      </c>
      <c r="AT266" s="55">
        <f t="shared" ref="AT266:AT272" si="151">IF($AI266*12&gt;$K227,IF($AI266*12-$K227&lt;$AI266,$K227-$AI266*11,0),$AI266)</f>
        <v>0</v>
      </c>
      <c r="AU266" s="55">
        <f t="shared" ref="AU266:AU272" si="152">IF($AI266*13&gt;$K227,IF($AI266*13-$K227&lt;$AI266,$K227-$AI266*12,0),$AI266)</f>
        <v>0</v>
      </c>
      <c r="AV266" s="55">
        <f t="shared" ref="AV266:AV272" si="153">IF($AI266*14&gt;$K227,IF($AI266*14-$K227&lt;$AI266,$K227-$AI266*13,0),$AI266)</f>
        <v>0</v>
      </c>
      <c r="AW266" s="55"/>
    </row>
    <row r="267" spans="1:53" ht="42" customHeight="1">
      <c r="C267" s="76" t="s">
        <v>154</v>
      </c>
      <c r="D267" s="75"/>
      <c r="E267" s="145"/>
      <c r="F267" s="145"/>
      <c r="G267" s="145"/>
      <c r="H267" s="145"/>
      <c r="I267" s="145"/>
      <c r="J267" s="145"/>
      <c r="K267" s="145"/>
      <c r="L267" s="145"/>
      <c r="M267" s="145"/>
      <c r="N267" s="144"/>
      <c r="Z267" s="55"/>
      <c r="AA267" s="55"/>
      <c r="AB267" s="55" t="s">
        <v>32</v>
      </c>
      <c r="AC267" s="55"/>
      <c r="AD267" s="55"/>
      <c r="AE267" s="55"/>
      <c r="AF267" s="55"/>
      <c r="AG267" s="55"/>
      <c r="AH267" s="55"/>
      <c r="AI267" s="55">
        <f t="shared" si="140"/>
        <v>0</v>
      </c>
      <c r="AJ267" s="55">
        <f t="shared" si="141"/>
        <v>0</v>
      </c>
      <c r="AK267" s="55">
        <f t="shared" si="142"/>
        <v>0</v>
      </c>
      <c r="AL267" s="55">
        <f t="shared" si="143"/>
        <v>0</v>
      </c>
      <c r="AM267" s="55">
        <f t="shared" si="144"/>
        <v>0</v>
      </c>
      <c r="AN267" s="55">
        <f t="shared" si="145"/>
        <v>0</v>
      </c>
      <c r="AO267" s="55">
        <f t="shared" si="146"/>
        <v>0</v>
      </c>
      <c r="AP267" s="55">
        <f t="shared" si="147"/>
        <v>0</v>
      </c>
      <c r="AQ267" s="55">
        <f t="shared" si="148"/>
        <v>0</v>
      </c>
      <c r="AR267" s="55">
        <f t="shared" si="149"/>
        <v>0</v>
      </c>
      <c r="AS267" s="55">
        <f t="shared" si="150"/>
        <v>0</v>
      </c>
      <c r="AT267" s="55">
        <f t="shared" si="151"/>
        <v>0</v>
      </c>
      <c r="AU267" s="55">
        <f t="shared" si="152"/>
        <v>0</v>
      </c>
      <c r="AV267" s="55">
        <f t="shared" si="153"/>
        <v>0</v>
      </c>
      <c r="AW267" s="55"/>
    </row>
    <row r="268" spans="1:53" ht="42" customHeight="1" thickBot="1">
      <c r="C268" s="76" t="s">
        <v>155</v>
      </c>
      <c r="D268" s="75"/>
      <c r="E268" s="143">
        <v>0.105</v>
      </c>
      <c r="F268" s="143">
        <v>0.12</v>
      </c>
      <c r="G268" s="143">
        <v>0.13</v>
      </c>
      <c r="H268" s="143">
        <v>0.14000000000000001</v>
      </c>
      <c r="I268" s="142">
        <v>0.14000000000000001</v>
      </c>
      <c r="J268" s="142">
        <v>0.14000000000000001</v>
      </c>
      <c r="K268" s="142">
        <v>0.14000000000000001</v>
      </c>
      <c r="L268" s="142">
        <v>0.14000000000000001</v>
      </c>
      <c r="M268" s="142">
        <v>0.14000000000000001</v>
      </c>
      <c r="N268" s="141">
        <v>0.14000000000000001</v>
      </c>
      <c r="Z268" s="55"/>
      <c r="AA268" s="55"/>
      <c r="AB268" s="55" t="s">
        <v>33</v>
      </c>
      <c r="AC268" s="55"/>
      <c r="AD268" s="55"/>
      <c r="AE268" s="55"/>
      <c r="AF268" s="55"/>
      <c r="AG268" s="55"/>
      <c r="AH268" s="55"/>
      <c r="AI268" s="55">
        <f t="shared" si="140"/>
        <v>0</v>
      </c>
      <c r="AJ268" s="55">
        <f t="shared" si="141"/>
        <v>0</v>
      </c>
      <c r="AK268" s="55">
        <f t="shared" si="142"/>
        <v>0</v>
      </c>
      <c r="AL268" s="55">
        <f t="shared" si="143"/>
        <v>0</v>
      </c>
      <c r="AM268" s="55">
        <f t="shared" si="144"/>
        <v>0</v>
      </c>
      <c r="AN268" s="55">
        <f t="shared" si="145"/>
        <v>0</v>
      </c>
      <c r="AO268" s="55">
        <f t="shared" si="146"/>
        <v>0</v>
      </c>
      <c r="AP268" s="55">
        <f t="shared" si="147"/>
        <v>0</v>
      </c>
      <c r="AQ268" s="55">
        <f t="shared" si="148"/>
        <v>0</v>
      </c>
      <c r="AR268" s="55">
        <f t="shared" si="149"/>
        <v>0</v>
      </c>
      <c r="AS268" s="55">
        <f t="shared" si="150"/>
        <v>0</v>
      </c>
      <c r="AT268" s="55">
        <f t="shared" si="151"/>
        <v>0</v>
      </c>
      <c r="AU268" s="55">
        <f t="shared" si="152"/>
        <v>0</v>
      </c>
      <c r="AV268" s="55">
        <f t="shared" si="153"/>
        <v>0</v>
      </c>
      <c r="AW268" s="55"/>
    </row>
    <row r="269" spans="1:53" ht="63" customHeight="1" thickTop="1">
      <c r="C269" s="58"/>
      <c r="D269" s="58"/>
      <c r="E269" s="58"/>
      <c r="F269" s="58"/>
      <c r="G269" s="58"/>
      <c r="H269" s="58"/>
      <c r="U269" s="55"/>
      <c r="V269" s="55"/>
      <c r="W269" s="55"/>
      <c r="X269" s="55"/>
      <c r="Y269" s="55"/>
      <c r="Z269" s="55"/>
      <c r="AA269" s="55"/>
      <c r="AB269" s="55" t="s">
        <v>34</v>
      </c>
      <c r="AC269" s="55"/>
      <c r="AD269" s="55"/>
      <c r="AE269" s="55"/>
      <c r="AF269" s="55"/>
      <c r="AG269" s="55"/>
      <c r="AH269" s="55"/>
      <c r="AI269" s="55">
        <f t="shared" si="140"/>
        <v>0</v>
      </c>
      <c r="AJ269" s="55">
        <f t="shared" si="141"/>
        <v>0</v>
      </c>
      <c r="AK269" s="55">
        <f t="shared" si="142"/>
        <v>0</v>
      </c>
      <c r="AL269" s="55">
        <f t="shared" si="143"/>
        <v>0</v>
      </c>
      <c r="AM269" s="55">
        <f t="shared" si="144"/>
        <v>0</v>
      </c>
      <c r="AN269" s="55">
        <f t="shared" si="145"/>
        <v>0</v>
      </c>
      <c r="AO269" s="55">
        <f t="shared" si="146"/>
        <v>0</v>
      </c>
      <c r="AP269" s="55">
        <f t="shared" si="147"/>
        <v>0</v>
      </c>
      <c r="AQ269" s="55">
        <f t="shared" si="148"/>
        <v>0</v>
      </c>
      <c r="AR269" s="55">
        <f t="shared" si="149"/>
        <v>0</v>
      </c>
      <c r="AS269" s="55">
        <f t="shared" si="150"/>
        <v>0</v>
      </c>
      <c r="AT269" s="55">
        <f t="shared" si="151"/>
        <v>0</v>
      </c>
      <c r="AU269" s="55">
        <f t="shared" si="152"/>
        <v>0</v>
      </c>
      <c r="AV269" s="55">
        <f t="shared" si="153"/>
        <v>0</v>
      </c>
      <c r="AW269" s="55"/>
    </row>
    <row r="270" spans="1:53" ht="76.5" customHeight="1">
      <c r="U270" s="55"/>
      <c r="V270" s="55"/>
      <c r="W270" s="55"/>
      <c r="X270" s="55"/>
      <c r="Y270" s="55"/>
      <c r="Z270" s="55"/>
      <c r="AA270" s="55"/>
      <c r="AB270" s="55" t="s">
        <v>124</v>
      </c>
      <c r="AC270" s="55"/>
      <c r="AD270" s="55"/>
      <c r="AE270" s="55"/>
      <c r="AF270" s="55"/>
      <c r="AG270" s="55"/>
      <c r="AH270" s="55"/>
      <c r="AI270" s="55">
        <f t="shared" si="140"/>
        <v>0</v>
      </c>
      <c r="AJ270" s="55">
        <f t="shared" si="141"/>
        <v>0</v>
      </c>
      <c r="AK270" s="55">
        <f t="shared" si="142"/>
        <v>0</v>
      </c>
      <c r="AL270" s="55">
        <f t="shared" si="143"/>
        <v>0</v>
      </c>
      <c r="AM270" s="55">
        <f t="shared" si="144"/>
        <v>0</v>
      </c>
      <c r="AN270" s="55">
        <f t="shared" si="145"/>
        <v>0</v>
      </c>
      <c r="AO270" s="55">
        <f t="shared" si="146"/>
        <v>0</v>
      </c>
      <c r="AP270" s="55">
        <f t="shared" si="147"/>
        <v>0</v>
      </c>
      <c r="AQ270" s="55">
        <f t="shared" si="148"/>
        <v>0</v>
      </c>
      <c r="AR270" s="55">
        <f t="shared" si="149"/>
        <v>0</v>
      </c>
      <c r="AS270" s="55">
        <f t="shared" si="150"/>
        <v>0</v>
      </c>
      <c r="AT270" s="55">
        <f t="shared" si="151"/>
        <v>0</v>
      </c>
      <c r="AU270" s="55">
        <f t="shared" si="152"/>
        <v>0</v>
      </c>
      <c r="AV270" s="55">
        <f t="shared" si="153"/>
        <v>0</v>
      </c>
      <c r="AW270" s="55"/>
    </row>
    <row r="271" spans="1:53" ht="84.75" customHeight="1">
      <c r="C271" s="54">
        <v>2020</v>
      </c>
      <c r="U271" s="55"/>
      <c r="V271" s="55"/>
      <c r="W271" s="55"/>
      <c r="X271" s="55"/>
      <c r="Y271" s="55"/>
      <c r="Z271" s="55"/>
      <c r="AA271" s="55"/>
      <c r="AB271" s="55" t="s">
        <v>123</v>
      </c>
      <c r="AC271" s="55"/>
      <c r="AD271" s="55"/>
      <c r="AE271" s="55"/>
      <c r="AF271" s="55"/>
      <c r="AG271" s="55"/>
      <c r="AH271" s="55"/>
      <c r="AI271" s="55">
        <f t="shared" si="140"/>
        <v>0</v>
      </c>
      <c r="AJ271" s="55">
        <f t="shared" si="141"/>
        <v>0</v>
      </c>
      <c r="AK271" s="55">
        <f t="shared" si="142"/>
        <v>0</v>
      </c>
      <c r="AL271" s="55">
        <f t="shared" si="143"/>
        <v>0</v>
      </c>
      <c r="AM271" s="55">
        <f t="shared" si="144"/>
        <v>0</v>
      </c>
      <c r="AN271" s="55">
        <f t="shared" si="145"/>
        <v>0</v>
      </c>
      <c r="AO271" s="55">
        <f t="shared" si="146"/>
        <v>0</v>
      </c>
      <c r="AP271" s="55">
        <f t="shared" si="147"/>
        <v>0</v>
      </c>
      <c r="AQ271" s="55">
        <f t="shared" si="148"/>
        <v>0</v>
      </c>
      <c r="AR271" s="55">
        <f t="shared" si="149"/>
        <v>0</v>
      </c>
      <c r="AS271" s="55">
        <f t="shared" si="150"/>
        <v>0</v>
      </c>
      <c r="AT271" s="55">
        <f t="shared" si="151"/>
        <v>0</v>
      </c>
      <c r="AU271" s="55">
        <f t="shared" si="152"/>
        <v>0</v>
      </c>
      <c r="AV271" s="55">
        <f t="shared" si="153"/>
        <v>0</v>
      </c>
      <c r="AW271" s="55"/>
    </row>
    <row r="272" spans="1:53" ht="42" customHeight="1">
      <c r="A272" s="57" t="s">
        <v>156</v>
      </c>
      <c r="B272" s="57"/>
      <c r="C272" s="54" t="s">
        <v>157</v>
      </c>
      <c r="D272" s="57"/>
      <c r="E272" s="57"/>
      <c r="F272" s="57"/>
      <c r="G272" s="57"/>
      <c r="U272" s="55"/>
      <c r="V272" s="55"/>
      <c r="W272" s="55"/>
      <c r="X272" s="55"/>
      <c r="Y272" s="55"/>
      <c r="Z272" s="55"/>
      <c r="AA272" s="55"/>
      <c r="AB272" s="55" t="s">
        <v>132</v>
      </c>
      <c r="AC272" s="55"/>
      <c r="AD272" s="55"/>
      <c r="AE272" s="55"/>
      <c r="AF272" s="55"/>
      <c r="AG272" s="55"/>
      <c r="AH272" s="55"/>
      <c r="AI272" s="55">
        <f t="shared" si="140"/>
        <v>0</v>
      </c>
      <c r="AJ272" s="55">
        <f t="shared" si="141"/>
        <v>0</v>
      </c>
      <c r="AK272" s="55">
        <f t="shared" si="142"/>
        <v>0</v>
      </c>
      <c r="AL272" s="55">
        <f t="shared" si="143"/>
        <v>0</v>
      </c>
      <c r="AM272" s="55">
        <f t="shared" si="144"/>
        <v>0</v>
      </c>
      <c r="AN272" s="55">
        <f t="shared" si="145"/>
        <v>0</v>
      </c>
      <c r="AO272" s="55">
        <f t="shared" si="146"/>
        <v>0</v>
      </c>
      <c r="AP272" s="55">
        <f t="shared" si="147"/>
        <v>0</v>
      </c>
      <c r="AQ272" s="55">
        <f t="shared" si="148"/>
        <v>0</v>
      </c>
      <c r="AR272" s="55">
        <f t="shared" si="149"/>
        <v>0</v>
      </c>
      <c r="AS272" s="55">
        <f t="shared" si="150"/>
        <v>0</v>
      </c>
      <c r="AT272" s="55">
        <f t="shared" si="151"/>
        <v>0</v>
      </c>
      <c r="AU272" s="55">
        <f t="shared" si="152"/>
        <v>0</v>
      </c>
      <c r="AV272" s="55">
        <f t="shared" si="153"/>
        <v>0</v>
      </c>
      <c r="AW272" s="55"/>
      <c r="AZ272" s="111"/>
      <c r="BA272" s="111"/>
    </row>
    <row r="273" spans="1:53" ht="42" customHeight="1">
      <c r="A273" s="57"/>
      <c r="B273" s="57"/>
      <c r="C273" s="54" t="s">
        <v>158</v>
      </c>
      <c r="D273" s="57"/>
      <c r="E273" s="57"/>
      <c r="F273" s="57"/>
      <c r="G273" s="57"/>
      <c r="U273" s="55"/>
      <c r="V273" s="55"/>
      <c r="W273" s="55"/>
      <c r="X273" s="55"/>
      <c r="Y273" s="55"/>
      <c r="Z273" s="55"/>
      <c r="AA273" s="55"/>
      <c r="AB273" s="55" t="s">
        <v>133</v>
      </c>
      <c r="AC273" s="55"/>
      <c r="AD273" s="55"/>
      <c r="AE273" s="55"/>
      <c r="AF273" s="55"/>
      <c r="AG273" s="55"/>
      <c r="AH273" s="55"/>
      <c r="AI273" s="55">
        <f>K236*D236</f>
        <v>0</v>
      </c>
      <c r="AJ273" s="55">
        <f>IF($AI273*2&gt;$K236,IF($AI273*2-$K236&lt;$AI273,$K236-$AI273*1,0),$AI273)</f>
        <v>0</v>
      </c>
      <c r="AK273" s="55">
        <f>IF($AI273*3&gt;$K236,IF($AI273*3-$K236&lt;$AI273,$K236-$AI273*2,0),$AI273)</f>
        <v>0</v>
      </c>
      <c r="AL273" s="55">
        <f>IF($AI273*4&gt;$K236,IF($AI273*4-$K236&lt;$AI273,$K236-$AI273*3,0),$AI273)</f>
        <v>0</v>
      </c>
      <c r="AM273" s="55">
        <f>IF($AI273*5&gt;$K236,IF($AI273*5-$K236&lt;$AI273,$K236-$AI273*4,0),$AI273)</f>
        <v>0</v>
      </c>
      <c r="AN273" s="55">
        <f>IF($AI273*6&gt;$K236,IF($AI273*6-$K236&lt;$AI273,$K236-$AI273*5,0),$AI273)</f>
        <v>0</v>
      </c>
      <c r="AO273" s="55">
        <f>IF($AI273*7&gt;$K236,IF($AI273*7-$K236&lt;$AI273,$K236-$AI273*6,0),$AI273)</f>
        <v>0</v>
      </c>
      <c r="AP273" s="55">
        <f>IF($AI273*8&gt;$K236,IF($AI273*8-$K236&lt;$AI273,$K236-$AI273*7,0),$AI273)</f>
        <v>0</v>
      </c>
      <c r="AQ273" s="55">
        <f>IF($AI273*9&gt;$K236,IF($AI273*9-$K236&lt;$AI273,$K236-$AI273*8,0),$AI273)</f>
        <v>0</v>
      </c>
      <c r="AR273" s="55">
        <f>IF($AI273*10&gt;$K236,IF($AI273*10-$K236&lt;$AI273,$K236-$AI273*9,0),$AI273)</f>
        <v>0</v>
      </c>
      <c r="AS273" s="55">
        <f>IF($AI273*11&gt;$K236,IF($AI273*11-$K236&lt;$AI273,$K236-$AI273*10,0),$AI273)</f>
        <v>0</v>
      </c>
      <c r="AT273" s="55">
        <f>IF($AI273*12&gt;$K236,IF($AI273*12-$K236&lt;$AI273,$K236-$AI273*11,0),$AI273)</f>
        <v>0</v>
      </c>
      <c r="AU273" s="55">
        <f>IF($AI273*13&gt;$K236,IF($AI273*13-$K236&lt;$AI273,$K236-$AI273*12,0),$AI273)</f>
        <v>0</v>
      </c>
      <c r="AV273" s="55">
        <f>IF($AI273*14&gt;$K236,IF($AI273*14-$K236&lt;$AI273,$K236-$AI273*13,0),$AI273)</f>
        <v>0</v>
      </c>
      <c r="AW273" s="55"/>
      <c r="AZ273" s="111"/>
      <c r="BA273" s="111"/>
    </row>
    <row r="274" spans="1:53" ht="42" customHeight="1">
      <c r="U274" s="55"/>
      <c r="V274" s="55"/>
      <c r="W274" s="55"/>
      <c r="X274" s="55"/>
      <c r="Y274" s="55"/>
      <c r="Z274" s="55"/>
      <c r="AA274" s="55"/>
      <c r="AB274" s="55" t="s">
        <v>144</v>
      </c>
      <c r="AC274" s="55"/>
      <c r="AD274" s="55"/>
      <c r="AE274" s="55"/>
      <c r="AF274" s="55"/>
      <c r="AG274" s="55"/>
      <c r="AH274" s="55"/>
      <c r="AI274" s="55">
        <f>K237*D237</f>
        <v>0</v>
      </c>
      <c r="AJ274" s="55">
        <f>IF($AI274*2&gt;$K237,IF($AI274*2-$K237&lt;$AI274,$K237-$AI274*1,0),$AI274)</f>
        <v>0</v>
      </c>
      <c r="AK274" s="55">
        <f>IF($AI274*3&gt;$K237,IF($AI274*3-$K237&lt;$AI274,$K237-$AI274*2,0),$AI274)</f>
        <v>0</v>
      </c>
      <c r="AL274" s="55">
        <f>IF($AI274*4&gt;$K237,IF($AI274*4-$K237&lt;$AI274,$K237-$AI274*3,0),$AI274)</f>
        <v>0</v>
      </c>
      <c r="AM274" s="55">
        <f>IF($AI274*5&gt;$K237,IF($AI274*5-$K237&lt;$AI274,$K237-$AI274*4,0),$AI274)</f>
        <v>0</v>
      </c>
      <c r="AN274" s="55">
        <f>IF($AI274*6&gt;$K237,IF($AI274*6-$K237&lt;$AI274,$K237-$AI274*5,0),$AI274)</f>
        <v>0</v>
      </c>
      <c r="AO274" s="55">
        <f>IF($AI274*7&gt;$K237,IF($AI274*7-$K237&lt;$AI274,$K237-$AI274*6,0),$AI274)</f>
        <v>0</v>
      </c>
      <c r="AP274" s="55">
        <f>IF($AI274*8&gt;$K237,IF($AI274*8-$K237&lt;$AI274,$K237-$AI274*7,0),$AI274)</f>
        <v>0</v>
      </c>
      <c r="AQ274" s="55">
        <f>IF($AI274*9&gt;$K237,IF($AI274*9-$K237&lt;$AI274,$K237-$AI274*8,0),$AI274)</f>
        <v>0</v>
      </c>
      <c r="AR274" s="55">
        <f>IF($AI274*10&gt;$K237,IF($AI274*10-$K237&lt;$AI274,$K237-$AI274*9,0),$AI274)</f>
        <v>0</v>
      </c>
      <c r="AS274" s="55">
        <f>IF($AI274*11&gt;$K237,IF($AI274*11-$K237&lt;$AI274,$K237-$AI274*10,0),$AI274)</f>
        <v>0</v>
      </c>
      <c r="AT274" s="55">
        <f>IF($AI274*12&gt;$K237,IF($AI274*12-$K237&lt;$AI274,$K237-$AI274*11,0),$AI274)</f>
        <v>0</v>
      </c>
      <c r="AU274" s="55">
        <f>IF($AI274*13&gt;$K237,IF($AI274*13-$K237&lt;$AI274,$K237-$AI274*12,0),$AI274)</f>
        <v>0</v>
      </c>
      <c r="AV274" s="55">
        <f>IF($AI274*14&gt;$K237,IF($AI274*14-$K237&lt;$AI274,$K237-$AI274*13,0),$AI274)</f>
        <v>0</v>
      </c>
      <c r="AW274" s="55"/>
      <c r="AZ274" s="111"/>
      <c r="BA274" s="111"/>
    </row>
    <row r="275" spans="1:53" ht="42" customHeight="1">
      <c r="U275" s="55"/>
      <c r="V275" s="55"/>
      <c r="W275" s="55"/>
      <c r="X275" s="55"/>
      <c r="Y275" s="55"/>
      <c r="Z275" s="55"/>
      <c r="AA275" s="55"/>
      <c r="AB275" s="55" t="str">
        <f>'Financial Stat.'!H318 &amp;" Expenditure"</f>
        <v xml:space="preserve">  2031 Expenditure</v>
      </c>
      <c r="AC275" s="55"/>
      <c r="AD275" s="55"/>
      <c r="AE275" s="55"/>
      <c r="AF275" s="55"/>
      <c r="AG275" s="55"/>
      <c r="AH275" s="55"/>
      <c r="AI275" s="55"/>
      <c r="AJ275" s="55"/>
      <c r="AK275" s="55"/>
      <c r="AL275" s="55"/>
      <c r="AM275" s="55"/>
      <c r="AN275" s="55"/>
      <c r="AO275" s="55"/>
      <c r="AP275" s="55"/>
      <c r="AQ275" s="55"/>
      <c r="AR275" s="55"/>
      <c r="AS275" s="55"/>
      <c r="AT275" s="55"/>
      <c r="AU275" s="55"/>
      <c r="AV275" s="55"/>
      <c r="AW275" s="55"/>
      <c r="AZ275" s="111"/>
      <c r="BA275" s="111"/>
    </row>
    <row r="276" spans="1:53" ht="42" customHeight="1" thickBot="1">
      <c r="U276" s="55"/>
      <c r="V276" s="55"/>
      <c r="W276" s="55"/>
      <c r="X276" s="55"/>
      <c r="Y276" s="55"/>
      <c r="Z276" s="55"/>
      <c r="AA276" s="55"/>
      <c r="AB276" s="55" t="s">
        <v>31</v>
      </c>
      <c r="AC276" s="55"/>
      <c r="AD276" s="55"/>
      <c r="AE276" s="55"/>
      <c r="AF276" s="55"/>
      <c r="AG276" s="55"/>
      <c r="AH276" s="55"/>
      <c r="AI276" s="55"/>
      <c r="AJ276" s="55">
        <f t="shared" ref="AJ276:AJ282" si="154">L227*D227</f>
        <v>0</v>
      </c>
      <c r="AK276" s="55">
        <f t="shared" ref="AK276:AK282" si="155">IF($AJ276*2&gt;$L227,IF($AJ276*2-$L227&lt;$AJ276,$L227-$AJ276*1,0),$AJ276)</f>
        <v>0</v>
      </c>
      <c r="AL276" s="55">
        <f t="shared" ref="AL276:AL282" si="156">IF($AJ276*3&gt;$L227,IF($AJ276*3-$L227&lt;$AJ276,$L227-$AJ276*2,0),$AJ276)</f>
        <v>0</v>
      </c>
      <c r="AM276" s="55">
        <f t="shared" ref="AM276:AM282" si="157">IF($AJ276*4&gt;$L227,IF($AJ276*4-$L227&lt;$AJ276,$L227-$AJ276*3,0),$AJ276)</f>
        <v>0</v>
      </c>
      <c r="AN276" s="55">
        <f t="shared" ref="AN276:AN282" si="158">IF($AJ276*5&gt;$L227,IF($AJ276*5-$L227&lt;$AJ276,$L227-$AJ276*4,0),$AJ276)</f>
        <v>0</v>
      </c>
      <c r="AO276" s="55">
        <f t="shared" ref="AO276:AO282" si="159">IF($AJ276*6&gt;$L227,IF($AJ276*6-$L227&lt;$AJ276,$L227-$AJ276*5,0),$AJ276)</f>
        <v>0</v>
      </c>
      <c r="AP276" s="55">
        <f t="shared" ref="AP276:AP282" si="160">IF($AJ276*7&gt;$L227,IF($AJ276*7-$L227&lt;$AJ276,$L227-$AJ276*6,0),$AJ276)</f>
        <v>0</v>
      </c>
      <c r="AQ276" s="55">
        <f t="shared" ref="AQ276:AQ282" si="161">IF($AJ276*8&gt;$L227,IF($AJ276*8-$L227&lt;$AJ276,$L227-$AJ276*7,0),$AJ276)</f>
        <v>0</v>
      </c>
      <c r="AR276" s="55">
        <f t="shared" ref="AR276:AR282" si="162">IF($AJ276*9&gt;$L227,IF($AJ276*9-$L227&lt;$AJ276,$L227-$AJ276*8,0),$AJ276)</f>
        <v>0</v>
      </c>
      <c r="AS276" s="55">
        <f t="shared" ref="AS276:AS282" si="163">IF($AJ276*10&gt;$L227,IF($AJ276*10-$L227&lt;$AJ276,$L227-$AJ276*9,0),$AJ276)</f>
        <v>0</v>
      </c>
      <c r="AT276" s="55">
        <f t="shared" ref="AT276:AT282" si="164">IF($AJ276*11&gt;$L227,IF($AJ276*11-$L227&lt;$AJ276,$L227-$AJ276*10,0),$AJ276)</f>
        <v>0</v>
      </c>
      <c r="AU276" s="55">
        <f t="shared" ref="AU276:AU282" si="165">IF($AJ276*12&gt;$L227,IF($AJ276*12-$L227&lt;$AJ276,$L227-$AJ276*11,0),$AJ276)</f>
        <v>0</v>
      </c>
      <c r="AV276" s="55">
        <f t="shared" ref="AV276:AV282" si="166">IF($AJ276*13&gt;$L227,IF($AJ276*13-$L227&lt;$AJ276,$L227-$AJ276*12,0),$AJ276)</f>
        <v>0</v>
      </c>
      <c r="AW276" s="55"/>
      <c r="AZ276" s="111"/>
      <c r="BA276" s="111"/>
    </row>
    <row r="277" spans="1:53" ht="42" customHeight="1" thickTop="1">
      <c r="E277" s="73" t="s">
        <v>159</v>
      </c>
      <c r="F277" s="72" t="str">
        <f>"  "&amp;'Financial Stat.'!B318</f>
        <v xml:space="preserve">    2025</v>
      </c>
      <c r="G277" s="72" t="str">
        <f>"   "&amp;'Financial Stat.'!C318</f>
        <v xml:space="preserve">     2026</v>
      </c>
      <c r="H277" s="72" t="str">
        <f>"   "&amp;'Financial Stat.'!D318&amp;"   +"</f>
        <v xml:space="preserve">     2027   +</v>
      </c>
      <c r="I277" s="59"/>
      <c r="U277" s="55"/>
      <c r="V277" s="55"/>
      <c r="W277" s="55"/>
      <c r="X277" s="55"/>
      <c r="Y277" s="55"/>
      <c r="Z277" s="55"/>
      <c r="AA277" s="55"/>
      <c r="AB277" s="55" t="s">
        <v>32</v>
      </c>
      <c r="AC277" s="55"/>
      <c r="AD277" s="55"/>
      <c r="AE277" s="55"/>
      <c r="AF277" s="55"/>
      <c r="AG277" s="55"/>
      <c r="AH277" s="55"/>
      <c r="AI277" s="55"/>
      <c r="AJ277" s="55">
        <f t="shared" si="154"/>
        <v>0</v>
      </c>
      <c r="AK277" s="55">
        <f t="shared" si="155"/>
        <v>0</v>
      </c>
      <c r="AL277" s="55">
        <f t="shared" si="156"/>
        <v>0</v>
      </c>
      <c r="AM277" s="55">
        <f t="shared" si="157"/>
        <v>0</v>
      </c>
      <c r="AN277" s="55">
        <f t="shared" si="158"/>
        <v>0</v>
      </c>
      <c r="AO277" s="55">
        <f t="shared" si="159"/>
        <v>0</v>
      </c>
      <c r="AP277" s="55">
        <f t="shared" si="160"/>
        <v>0</v>
      </c>
      <c r="AQ277" s="55">
        <f t="shared" si="161"/>
        <v>0</v>
      </c>
      <c r="AR277" s="55">
        <f t="shared" si="162"/>
        <v>0</v>
      </c>
      <c r="AS277" s="55">
        <f t="shared" si="163"/>
        <v>0</v>
      </c>
      <c r="AT277" s="55">
        <f t="shared" si="164"/>
        <v>0</v>
      </c>
      <c r="AU277" s="55">
        <f t="shared" si="165"/>
        <v>0</v>
      </c>
      <c r="AV277" s="55">
        <f t="shared" si="166"/>
        <v>0</v>
      </c>
      <c r="AW277" s="55"/>
      <c r="AZ277" s="111"/>
      <c r="BA277" s="111"/>
    </row>
    <row r="278" spans="1:53" ht="42" customHeight="1" thickBot="1">
      <c r="E278" s="71" t="s">
        <v>160</v>
      </c>
      <c r="F278" s="70" t="s">
        <v>70</v>
      </c>
      <c r="G278" s="70" t="s">
        <v>70</v>
      </c>
      <c r="H278" s="140"/>
      <c r="I278" s="59"/>
      <c r="U278" s="55"/>
      <c r="V278" s="55"/>
      <c r="W278" s="55"/>
      <c r="X278" s="55"/>
      <c r="Y278" s="55"/>
      <c r="Z278" s="55"/>
      <c r="AA278" s="55"/>
      <c r="AB278" s="55" t="s">
        <v>33</v>
      </c>
      <c r="AC278" s="55"/>
      <c r="AD278" s="55"/>
      <c r="AE278" s="55"/>
      <c r="AF278" s="55"/>
      <c r="AG278" s="55"/>
      <c r="AH278" s="55"/>
      <c r="AI278" s="55"/>
      <c r="AJ278" s="55">
        <f t="shared" si="154"/>
        <v>0</v>
      </c>
      <c r="AK278" s="55">
        <f t="shared" si="155"/>
        <v>0</v>
      </c>
      <c r="AL278" s="55">
        <f t="shared" si="156"/>
        <v>0</v>
      </c>
      <c r="AM278" s="55">
        <f t="shared" si="157"/>
        <v>0</v>
      </c>
      <c r="AN278" s="55">
        <f t="shared" si="158"/>
        <v>0</v>
      </c>
      <c r="AO278" s="55">
        <f t="shared" si="159"/>
        <v>0</v>
      </c>
      <c r="AP278" s="55">
        <f t="shared" si="160"/>
        <v>0</v>
      </c>
      <c r="AQ278" s="55">
        <f t="shared" si="161"/>
        <v>0</v>
      </c>
      <c r="AR278" s="55">
        <f t="shared" si="162"/>
        <v>0</v>
      </c>
      <c r="AS278" s="55">
        <f t="shared" si="163"/>
        <v>0</v>
      </c>
      <c r="AT278" s="55">
        <f t="shared" si="164"/>
        <v>0</v>
      </c>
      <c r="AU278" s="55">
        <f t="shared" si="165"/>
        <v>0</v>
      </c>
      <c r="AV278" s="55">
        <f t="shared" si="166"/>
        <v>0</v>
      </c>
      <c r="AW278" s="55"/>
      <c r="AZ278" s="111"/>
      <c r="BA278" s="111"/>
    </row>
    <row r="279" spans="1:53" ht="42" customHeight="1" thickTop="1">
      <c r="C279" s="81" t="s">
        <v>161</v>
      </c>
      <c r="D279" s="80"/>
      <c r="E279" s="139" t="s">
        <v>139</v>
      </c>
      <c r="F279" s="138"/>
      <c r="G279" s="138">
        <v>83</v>
      </c>
      <c r="H279" s="138">
        <v>83</v>
      </c>
      <c r="I279" s="59"/>
      <c r="U279" s="55"/>
      <c r="V279" s="55"/>
      <c r="W279" s="55"/>
      <c r="X279" s="55"/>
      <c r="Y279" s="55"/>
      <c r="Z279" s="55"/>
      <c r="AA279" s="55"/>
      <c r="AB279" s="55" t="s">
        <v>34</v>
      </c>
      <c r="AC279" s="55"/>
      <c r="AD279" s="55"/>
      <c r="AE279" s="55"/>
      <c r="AF279" s="55"/>
      <c r="AG279" s="55"/>
      <c r="AH279" s="55"/>
      <c r="AI279" s="55"/>
      <c r="AJ279" s="55">
        <f t="shared" si="154"/>
        <v>0</v>
      </c>
      <c r="AK279" s="55">
        <f t="shared" si="155"/>
        <v>0</v>
      </c>
      <c r="AL279" s="55">
        <f t="shared" si="156"/>
        <v>0</v>
      </c>
      <c r="AM279" s="55">
        <f t="shared" si="157"/>
        <v>0</v>
      </c>
      <c r="AN279" s="55">
        <f t="shared" si="158"/>
        <v>0</v>
      </c>
      <c r="AO279" s="55">
        <f t="shared" si="159"/>
        <v>0</v>
      </c>
      <c r="AP279" s="55">
        <f t="shared" si="160"/>
        <v>0</v>
      </c>
      <c r="AQ279" s="55">
        <f t="shared" si="161"/>
        <v>0</v>
      </c>
      <c r="AR279" s="55">
        <f t="shared" si="162"/>
        <v>0</v>
      </c>
      <c r="AS279" s="55">
        <f t="shared" si="163"/>
        <v>0</v>
      </c>
      <c r="AT279" s="55">
        <f t="shared" si="164"/>
        <v>0</v>
      </c>
      <c r="AU279" s="55">
        <f t="shared" si="165"/>
        <v>0</v>
      </c>
      <c r="AV279" s="55">
        <f t="shared" si="166"/>
        <v>0</v>
      </c>
      <c r="AW279" s="55"/>
      <c r="AZ279" s="111"/>
      <c r="BA279" s="111"/>
    </row>
    <row r="280" spans="1:53" ht="42" customHeight="1">
      <c r="C280" s="76" t="s">
        <v>162</v>
      </c>
      <c r="D280" s="75"/>
      <c r="E280" s="137">
        <v>0.08</v>
      </c>
      <c r="F280" s="136"/>
      <c r="G280" s="136"/>
      <c r="H280" s="136"/>
      <c r="I280" s="59"/>
      <c r="U280" s="55"/>
      <c r="V280" s="55"/>
      <c r="W280" s="55"/>
      <c r="X280" s="55"/>
      <c r="Y280" s="55"/>
      <c r="Z280" s="55"/>
      <c r="AA280" s="55"/>
      <c r="AB280" s="55" t="s">
        <v>124</v>
      </c>
      <c r="AC280" s="55"/>
      <c r="AD280" s="55"/>
      <c r="AE280" s="55"/>
      <c r="AF280" s="55"/>
      <c r="AG280" s="55"/>
      <c r="AH280" s="55"/>
      <c r="AI280" s="55"/>
      <c r="AJ280" s="55">
        <f t="shared" si="154"/>
        <v>0</v>
      </c>
      <c r="AK280" s="55">
        <f t="shared" si="155"/>
        <v>0</v>
      </c>
      <c r="AL280" s="55">
        <f t="shared" si="156"/>
        <v>0</v>
      </c>
      <c r="AM280" s="55">
        <f t="shared" si="157"/>
        <v>0</v>
      </c>
      <c r="AN280" s="55">
        <f t="shared" si="158"/>
        <v>0</v>
      </c>
      <c r="AO280" s="55">
        <f t="shared" si="159"/>
        <v>0</v>
      </c>
      <c r="AP280" s="55">
        <f t="shared" si="160"/>
        <v>0</v>
      </c>
      <c r="AQ280" s="55">
        <f t="shared" si="161"/>
        <v>0</v>
      </c>
      <c r="AR280" s="55">
        <f t="shared" si="162"/>
        <v>0</v>
      </c>
      <c r="AS280" s="55">
        <f t="shared" si="163"/>
        <v>0</v>
      </c>
      <c r="AT280" s="55">
        <f t="shared" si="164"/>
        <v>0</v>
      </c>
      <c r="AU280" s="55">
        <f t="shared" si="165"/>
        <v>0</v>
      </c>
      <c r="AV280" s="55">
        <f t="shared" si="166"/>
        <v>0</v>
      </c>
      <c r="AW280" s="55"/>
      <c r="AZ280" s="111"/>
      <c r="BA280" s="111"/>
    </row>
    <row r="281" spans="1:53" ht="42" customHeight="1">
      <c r="C281" s="76" t="s">
        <v>163</v>
      </c>
      <c r="D281" s="75"/>
      <c r="E281" s="137">
        <v>0.08</v>
      </c>
      <c r="F281" s="136"/>
      <c r="G281" s="136"/>
      <c r="H281" s="136"/>
      <c r="I281" s="59"/>
      <c r="U281" s="55"/>
      <c r="V281" s="55"/>
      <c r="W281" s="55"/>
      <c r="X281" s="55"/>
      <c r="Y281" s="55"/>
      <c r="Z281" s="55"/>
      <c r="AA281" s="55"/>
      <c r="AB281" s="55" t="s">
        <v>123</v>
      </c>
      <c r="AC281" s="55"/>
      <c r="AD281" s="55"/>
      <c r="AE281" s="55"/>
      <c r="AF281" s="55"/>
      <c r="AG281" s="55"/>
      <c r="AH281" s="55"/>
      <c r="AI281" s="55"/>
      <c r="AJ281" s="55">
        <f t="shared" si="154"/>
        <v>0</v>
      </c>
      <c r="AK281" s="55">
        <f t="shared" si="155"/>
        <v>0</v>
      </c>
      <c r="AL281" s="55">
        <f t="shared" si="156"/>
        <v>0</v>
      </c>
      <c r="AM281" s="55">
        <f t="shared" si="157"/>
        <v>0</v>
      </c>
      <c r="AN281" s="55">
        <f t="shared" si="158"/>
        <v>0</v>
      </c>
      <c r="AO281" s="55">
        <f t="shared" si="159"/>
        <v>0</v>
      </c>
      <c r="AP281" s="55">
        <f t="shared" si="160"/>
        <v>0</v>
      </c>
      <c r="AQ281" s="55">
        <f t="shared" si="161"/>
        <v>0</v>
      </c>
      <c r="AR281" s="55">
        <f t="shared" si="162"/>
        <v>0</v>
      </c>
      <c r="AS281" s="55">
        <f t="shared" si="163"/>
        <v>0</v>
      </c>
      <c r="AT281" s="55">
        <f t="shared" si="164"/>
        <v>0</v>
      </c>
      <c r="AU281" s="55">
        <f t="shared" si="165"/>
        <v>0</v>
      </c>
      <c r="AV281" s="55">
        <f t="shared" si="166"/>
        <v>0</v>
      </c>
      <c r="AW281" s="55"/>
      <c r="AZ281" s="111"/>
      <c r="BA281" s="111"/>
    </row>
    <row r="282" spans="1:53" ht="42" customHeight="1" thickBot="1">
      <c r="C282" s="76" t="s">
        <v>164</v>
      </c>
      <c r="D282" s="75"/>
      <c r="E282" s="137">
        <v>0.08</v>
      </c>
      <c r="F282" s="136"/>
      <c r="G282" s="136"/>
      <c r="H282" s="136"/>
      <c r="I282" s="59"/>
      <c r="U282" s="55"/>
      <c r="V282" s="55"/>
      <c r="W282" s="55"/>
      <c r="X282" s="55"/>
      <c r="Y282" s="55"/>
      <c r="Z282" s="55"/>
      <c r="AA282" s="55"/>
      <c r="AB282" s="55" t="s">
        <v>132</v>
      </c>
      <c r="AC282" s="55"/>
      <c r="AD282" s="55"/>
      <c r="AE282" s="55"/>
      <c r="AF282" s="55"/>
      <c r="AG282" s="55"/>
      <c r="AH282" s="55"/>
      <c r="AI282" s="55"/>
      <c r="AJ282" s="55">
        <f t="shared" si="154"/>
        <v>0</v>
      </c>
      <c r="AK282" s="55">
        <f t="shared" si="155"/>
        <v>0</v>
      </c>
      <c r="AL282" s="55">
        <f t="shared" si="156"/>
        <v>0</v>
      </c>
      <c r="AM282" s="55">
        <f t="shared" si="157"/>
        <v>0</v>
      </c>
      <c r="AN282" s="55">
        <f t="shared" si="158"/>
        <v>0</v>
      </c>
      <c r="AO282" s="55">
        <f t="shared" si="159"/>
        <v>0</v>
      </c>
      <c r="AP282" s="55">
        <f t="shared" si="160"/>
        <v>0</v>
      </c>
      <c r="AQ282" s="55">
        <f t="shared" si="161"/>
        <v>0</v>
      </c>
      <c r="AR282" s="55">
        <f t="shared" si="162"/>
        <v>0</v>
      </c>
      <c r="AS282" s="55">
        <f t="shared" si="163"/>
        <v>0</v>
      </c>
      <c r="AT282" s="55">
        <f t="shared" si="164"/>
        <v>0</v>
      </c>
      <c r="AU282" s="55">
        <f t="shared" si="165"/>
        <v>0</v>
      </c>
      <c r="AV282" s="55">
        <f t="shared" si="166"/>
        <v>0</v>
      </c>
      <c r="AW282" s="55"/>
      <c r="AZ282" s="111"/>
      <c r="BA282" s="111"/>
    </row>
    <row r="283" spans="1:53" ht="42" customHeight="1" thickTop="1">
      <c r="C283" s="58"/>
      <c r="D283" s="58"/>
      <c r="E283" s="58"/>
      <c r="F283" s="58"/>
      <c r="G283" s="58"/>
      <c r="H283" s="58"/>
      <c r="U283" s="55"/>
      <c r="V283" s="55"/>
      <c r="W283" s="55"/>
      <c r="X283" s="55"/>
      <c r="Y283" s="55"/>
      <c r="Z283" s="55"/>
      <c r="AA283" s="55"/>
      <c r="AB283" s="55" t="s">
        <v>133</v>
      </c>
      <c r="AC283" s="55"/>
      <c r="AD283" s="55"/>
      <c r="AE283" s="55"/>
      <c r="AF283" s="55"/>
      <c r="AG283" s="55"/>
      <c r="AH283" s="55"/>
      <c r="AI283" s="55"/>
      <c r="AJ283" s="55">
        <f>L236*D236</f>
        <v>0</v>
      </c>
      <c r="AK283" s="55">
        <f>IF($AJ283*2&gt;$L236,IF($AJ283*2-$L236&lt;$AJ283,$L236-$AJ283*1,0),$AJ283)</f>
        <v>0</v>
      </c>
      <c r="AL283" s="55">
        <f>IF($AJ283*3&gt;$L236,IF($AJ283*3-$L236&lt;$AJ283,$L236-$AJ283*2,0),$AJ283)</f>
        <v>0</v>
      </c>
      <c r="AM283" s="55">
        <f>IF($AJ283*4&gt;$L236,IF($AJ283*4-$L236&lt;$AJ283,$L236-$AJ283*3,0),$AJ283)</f>
        <v>0</v>
      </c>
      <c r="AN283" s="55">
        <f>IF($AJ283*5&gt;$L236,IF($AJ283*5-$L236&lt;$AJ283,$L236-$AJ283*4,0),$AJ283)</f>
        <v>0</v>
      </c>
      <c r="AO283" s="55">
        <f>IF($AJ283*6&gt;$L236,IF($AJ283*6-$L236&lt;$AJ283,$L236-$AJ283*5,0),$AJ283)</f>
        <v>0</v>
      </c>
      <c r="AP283" s="55">
        <f>IF($AJ283*7&gt;$L236,IF($AJ283*7-$L236&lt;$AJ283,$L236-$AJ283*6,0),$AJ283)</f>
        <v>0</v>
      </c>
      <c r="AQ283" s="55">
        <f>IF($AJ283*8&gt;$L236,IF($AJ283*8-$L236&lt;$AJ283,$L236-$AJ283*7,0),$AJ283)</f>
        <v>0</v>
      </c>
      <c r="AR283" s="55">
        <f>IF($AJ283*9&gt;$L236,IF($AJ283*9-$L236&lt;$AJ283,$L236-$AJ283*8,0),$AJ283)</f>
        <v>0</v>
      </c>
      <c r="AS283" s="55">
        <f>IF($AJ283*10&gt;$L236,IF($AJ283*10-$L236&lt;$AJ283,$L236-$AJ283*9,0),$AJ283)</f>
        <v>0</v>
      </c>
      <c r="AT283" s="55">
        <f>IF($AJ283*11&gt;$L236,IF($AJ283*11-$L236&lt;$AJ283,$L236-$AJ283*10,0),$AJ283)</f>
        <v>0</v>
      </c>
      <c r="AU283" s="55">
        <f>IF($AJ283*12&gt;$L236,IF($AJ283*12-$L236&lt;$AJ283,$L236-$AJ283*11,0),$AJ283)</f>
        <v>0</v>
      </c>
      <c r="AV283" s="55">
        <f>IF($AJ283*13&gt;$L236,IF($AJ283*13-$L236&lt;$AJ283,$L236-$AJ283*12,0),$AJ283)</f>
        <v>0</v>
      </c>
      <c r="AW283" s="55"/>
      <c r="AZ283" s="111"/>
      <c r="BA283" s="111"/>
    </row>
    <row r="284" spans="1:53" ht="42" customHeight="1">
      <c r="U284" s="55"/>
      <c r="V284" s="55"/>
      <c r="W284" s="55"/>
      <c r="X284" s="55"/>
      <c r="Y284" s="55"/>
      <c r="Z284" s="55"/>
      <c r="AA284" s="55"/>
      <c r="AB284" s="55" t="s">
        <v>144</v>
      </c>
      <c r="AC284" s="55"/>
      <c r="AD284" s="55"/>
      <c r="AE284" s="55"/>
      <c r="AF284" s="55"/>
      <c r="AG284" s="55"/>
      <c r="AH284" s="55"/>
      <c r="AI284" s="55"/>
      <c r="AJ284" s="55">
        <f>L237*D237</f>
        <v>0</v>
      </c>
      <c r="AK284" s="55">
        <f>IF($AJ284*2&gt;$L237,IF($AJ284*2-$L237&lt;$AJ284,$L237-$AJ284*1,0),$AJ284)</f>
        <v>0</v>
      </c>
      <c r="AL284" s="55">
        <f>IF($AJ284*3&gt;$L237,IF($AJ284*3-$L237&lt;$AJ284,$L237-$AJ284*2,0),$AJ284)</f>
        <v>0</v>
      </c>
      <c r="AM284" s="55">
        <f>IF($AJ284*4&gt;$L237,IF($AJ284*4-$L237&lt;$AJ284,$L237-$AJ284*3,0),$AJ284)</f>
        <v>0</v>
      </c>
      <c r="AN284" s="55">
        <f>IF($AJ284*5&gt;$L237,IF($AJ284*5-$L237&lt;$AJ284,$L237-$AJ284*4,0),$AJ284)</f>
        <v>0</v>
      </c>
      <c r="AO284" s="55">
        <f>IF($AJ284*6&gt;$L237,IF($AJ284*6-$L237&lt;$AJ284,$L237-$AJ284*5,0),$AJ284)</f>
        <v>0</v>
      </c>
      <c r="AP284" s="55">
        <f>IF($AJ284*7&gt;$L237,IF($AJ284*7-$L237&lt;$AJ284,$L237-$AJ284*6,0),$AJ284)</f>
        <v>0</v>
      </c>
      <c r="AQ284" s="55">
        <f>IF($AJ284*8&gt;$L237,IF($AJ284*8-$L237&lt;$AJ284,$L237-$AJ284*7,0),$AJ284)</f>
        <v>0</v>
      </c>
      <c r="AR284" s="55">
        <f>IF($AJ284*9&gt;$L237,IF($AJ284*9-$L237&lt;$AJ284,$L237-$AJ284*8,0),$AJ284)</f>
        <v>0</v>
      </c>
      <c r="AS284" s="55">
        <f>IF($AJ284*10&gt;$L237,IF($AJ284*10-$L237&lt;$AJ284,$L237-$AJ284*9,0),$AJ284)</f>
        <v>0</v>
      </c>
      <c r="AT284" s="55">
        <f>IF($AJ284*11&gt;$L237,IF($AJ284*11-$L237&lt;$AJ284,$L237-$AJ284*10,0),$AJ284)</f>
        <v>0</v>
      </c>
      <c r="AU284" s="55">
        <f>IF($AJ284*12&gt;$L237,IF($AJ284*12-$L237&lt;$AJ284,$L237-$AJ284*11,0),$AJ284)</f>
        <v>0</v>
      </c>
      <c r="AV284" s="55">
        <f>IF($AJ284*13&gt;$L237,IF($AJ284*13-$L237&lt;$AJ284,$L237-$AJ284*12,0),$AJ284)</f>
        <v>0</v>
      </c>
      <c r="AW284" s="55"/>
      <c r="AZ284" s="111"/>
      <c r="BA284" s="111"/>
    </row>
    <row r="285" spans="1:53" ht="42" customHeight="1">
      <c r="U285" s="55"/>
      <c r="V285" s="55"/>
      <c r="W285" s="55"/>
      <c r="X285" s="55"/>
      <c r="Y285" s="55"/>
      <c r="Z285" s="55"/>
      <c r="AA285" s="55"/>
      <c r="AB285" s="55" t="str">
        <f>'Financial Stat.'!I318 &amp;" Expenditure"</f>
        <v xml:space="preserve">  2032 Expenditure</v>
      </c>
      <c r="AC285" s="55"/>
      <c r="AD285" s="55"/>
      <c r="AE285" s="55"/>
      <c r="AF285" s="55"/>
      <c r="AG285" s="55"/>
      <c r="AH285" s="55"/>
      <c r="AI285" s="55"/>
      <c r="AJ285" s="55"/>
      <c r="AK285" s="55"/>
      <c r="AL285" s="55"/>
      <c r="AM285" s="55"/>
      <c r="AN285" s="55"/>
      <c r="AO285" s="55"/>
      <c r="AP285" s="55"/>
      <c r="AQ285" s="55"/>
      <c r="AR285" s="55"/>
      <c r="AS285" s="55"/>
      <c r="AT285" s="55"/>
      <c r="AU285" s="55"/>
      <c r="AV285" s="55"/>
      <c r="AW285" s="55"/>
      <c r="AZ285" s="111"/>
      <c r="BA285" s="111"/>
    </row>
    <row r="286" spans="1:53" ht="42" customHeight="1">
      <c r="A286" s="57" t="s">
        <v>165</v>
      </c>
      <c r="B286" s="57"/>
      <c r="C286" s="54" t="s">
        <v>166</v>
      </c>
      <c r="D286" s="57"/>
      <c r="E286" s="57"/>
      <c r="F286" s="57"/>
      <c r="G286" s="57"/>
      <c r="U286" s="55"/>
      <c r="V286" s="55"/>
      <c r="W286" s="55"/>
      <c r="X286" s="55"/>
      <c r="Y286" s="55"/>
      <c r="Z286" s="55"/>
      <c r="AA286" s="55"/>
      <c r="AB286" s="55" t="s">
        <v>31</v>
      </c>
      <c r="AC286" s="55"/>
      <c r="AD286" s="55"/>
      <c r="AE286" s="55"/>
      <c r="AF286" s="55"/>
      <c r="AG286" s="55"/>
      <c r="AH286" s="55"/>
      <c r="AI286" s="55"/>
      <c r="AJ286" s="55"/>
      <c r="AK286" s="55">
        <f t="shared" ref="AK286:AK292" si="167">M227*D227</f>
        <v>0</v>
      </c>
      <c r="AL286" s="55">
        <f t="shared" ref="AL286:AL292" si="168">IF($AK286*2&gt;$M227,IF($AK286*2-$M227&lt;$AK286,$M227-$AK286*1,0),$AK286)</f>
        <v>0</v>
      </c>
      <c r="AM286" s="55">
        <f t="shared" ref="AM286:AM292" si="169">IF($AK286*3&gt;$M227,IF($AK286*3-$M227&lt;$AK286,$M227-$AK286*2,0),$AK286)</f>
        <v>0</v>
      </c>
      <c r="AN286" s="55">
        <f t="shared" ref="AN286:AN292" si="170">IF($AK286*4&gt;$M227,IF($AK286*4-$M227&lt;$AK286,$M227-$AK286*3,0),$AK286)</f>
        <v>0</v>
      </c>
      <c r="AO286" s="55">
        <f t="shared" ref="AO286:AO292" si="171">IF($AK286*5&gt;$M227,IF($AK286*5-$M227&lt;$AK286,$M227-$AK286*4,0),$AK286)</f>
        <v>0</v>
      </c>
      <c r="AP286" s="55">
        <f t="shared" ref="AP286:AP292" si="172">IF($AK286*6&gt;$M227,IF($AK286*6-$M227&lt;$AK286,$M227-$AK286*5,0),$AK286)</f>
        <v>0</v>
      </c>
      <c r="AQ286" s="55">
        <f t="shared" ref="AQ286:AQ292" si="173">IF($AK286*7&gt;$M227,IF($AK286*7-$M227&lt;$AK286,$M227-$AK286*6,0),$AK286)</f>
        <v>0</v>
      </c>
      <c r="AR286" s="55">
        <f t="shared" ref="AR286:AR292" si="174">IF($AK286*8&gt;$M227,IF($AK286*8-$M227&lt;$AK286,$M227-$AK286*7,0),$AK286)</f>
        <v>0</v>
      </c>
      <c r="AS286" s="55">
        <f t="shared" ref="AS286:AS292" si="175">IF($AK286*9&gt;$M227,IF($AK286*9-$M227&lt;$AK286,$M227-$AK286*8,0),$AK286)</f>
        <v>0</v>
      </c>
      <c r="AT286" s="55">
        <f t="shared" ref="AT286:AT292" si="176">IF($AK286*10&gt;$M227,IF($AK286*10-$M227&lt;$AK286,$M227-$AK286*9,0),$AK286)</f>
        <v>0</v>
      </c>
      <c r="AU286" s="55">
        <f t="shared" ref="AU286:AU292" si="177">IF($AK286*11&gt;$M227,IF($AK286*11-$M227&lt;$AK286,$M227-$AK286*10,0),$AK286)</f>
        <v>0</v>
      </c>
      <c r="AV286" s="55">
        <f t="shared" ref="AV286:AV292" si="178">IF($AK286*12&gt;$M227,IF($AK286*12-$M227&lt;$AK286,$M227-$AK286*11,0),$AK286)</f>
        <v>0</v>
      </c>
      <c r="AW286" s="55"/>
      <c r="AZ286" s="111"/>
      <c r="BA286" s="111"/>
    </row>
    <row r="287" spans="1:53" ht="42" customHeight="1">
      <c r="A287" s="57"/>
      <c r="B287" s="57"/>
      <c r="C287" s="54" t="s">
        <v>167</v>
      </c>
      <c r="D287" s="57"/>
      <c r="E287" s="57"/>
      <c r="F287" s="57"/>
      <c r="G287" s="57"/>
      <c r="U287" s="55"/>
      <c r="V287" s="55"/>
      <c r="W287" s="55"/>
      <c r="X287" s="55"/>
      <c r="Y287" s="55"/>
      <c r="Z287" s="55"/>
      <c r="AA287" s="55"/>
      <c r="AB287" s="55" t="s">
        <v>32</v>
      </c>
      <c r="AC287" s="55"/>
      <c r="AD287" s="55"/>
      <c r="AE287" s="55"/>
      <c r="AF287" s="55"/>
      <c r="AG287" s="55"/>
      <c r="AH287" s="55"/>
      <c r="AI287" s="55"/>
      <c r="AJ287" s="55"/>
      <c r="AK287" s="55">
        <f t="shared" si="167"/>
        <v>0</v>
      </c>
      <c r="AL287" s="55">
        <f t="shared" si="168"/>
        <v>0</v>
      </c>
      <c r="AM287" s="55">
        <f t="shared" si="169"/>
        <v>0</v>
      </c>
      <c r="AN287" s="55">
        <f t="shared" si="170"/>
        <v>0</v>
      </c>
      <c r="AO287" s="55">
        <f t="shared" si="171"/>
        <v>0</v>
      </c>
      <c r="AP287" s="55">
        <f t="shared" si="172"/>
        <v>0</v>
      </c>
      <c r="AQ287" s="55">
        <f t="shared" si="173"/>
        <v>0</v>
      </c>
      <c r="AR287" s="55">
        <f t="shared" si="174"/>
        <v>0</v>
      </c>
      <c r="AS287" s="55">
        <f t="shared" si="175"/>
        <v>0</v>
      </c>
      <c r="AT287" s="55">
        <f t="shared" si="176"/>
        <v>0</v>
      </c>
      <c r="AU287" s="55">
        <f t="shared" si="177"/>
        <v>0</v>
      </c>
      <c r="AV287" s="55">
        <f t="shared" si="178"/>
        <v>0</v>
      </c>
      <c r="AW287" s="55"/>
      <c r="AZ287" s="111"/>
      <c r="BA287" s="111"/>
    </row>
    <row r="288" spans="1:53" ht="42" customHeight="1">
      <c r="A288" s="57"/>
      <c r="B288" s="57"/>
      <c r="C288" s="57"/>
      <c r="D288" s="57"/>
      <c r="E288" s="57"/>
      <c r="F288" s="57"/>
      <c r="G288" s="57"/>
      <c r="U288" s="55"/>
      <c r="V288" s="55"/>
      <c r="W288" s="55"/>
      <c r="X288" s="55"/>
      <c r="Y288" s="55"/>
      <c r="Z288" s="55"/>
      <c r="AA288" s="55"/>
      <c r="AB288" s="55" t="s">
        <v>33</v>
      </c>
      <c r="AC288" s="55"/>
      <c r="AD288" s="55"/>
      <c r="AE288" s="55"/>
      <c r="AF288" s="55"/>
      <c r="AG288" s="55"/>
      <c r="AH288" s="55"/>
      <c r="AI288" s="55"/>
      <c r="AJ288" s="55"/>
      <c r="AK288" s="55">
        <f t="shared" si="167"/>
        <v>0</v>
      </c>
      <c r="AL288" s="55">
        <f t="shared" si="168"/>
        <v>0</v>
      </c>
      <c r="AM288" s="55">
        <f t="shared" si="169"/>
        <v>0</v>
      </c>
      <c r="AN288" s="55">
        <f t="shared" si="170"/>
        <v>0</v>
      </c>
      <c r="AO288" s="55">
        <f t="shared" si="171"/>
        <v>0</v>
      </c>
      <c r="AP288" s="55">
        <f t="shared" si="172"/>
        <v>0</v>
      </c>
      <c r="AQ288" s="55">
        <f t="shared" si="173"/>
        <v>0</v>
      </c>
      <c r="AR288" s="55">
        <f t="shared" si="174"/>
        <v>0</v>
      </c>
      <c r="AS288" s="55">
        <f t="shared" si="175"/>
        <v>0</v>
      </c>
      <c r="AT288" s="55">
        <f t="shared" si="176"/>
        <v>0</v>
      </c>
      <c r="AU288" s="55">
        <f t="shared" si="177"/>
        <v>0</v>
      </c>
      <c r="AV288" s="55">
        <f t="shared" si="178"/>
        <v>0</v>
      </c>
      <c r="AW288" s="55"/>
      <c r="AZ288" s="111"/>
      <c r="BA288" s="111"/>
    </row>
    <row r="289" spans="1:53" ht="42" customHeight="1">
      <c r="A289" s="57"/>
      <c r="B289" s="57"/>
      <c r="C289" s="57"/>
      <c r="D289" s="57"/>
      <c r="E289" s="57"/>
      <c r="F289" s="57"/>
      <c r="G289" s="57"/>
      <c r="U289" s="55"/>
      <c r="V289" s="55"/>
      <c r="W289" s="55"/>
      <c r="X289" s="55"/>
      <c r="Y289" s="55"/>
      <c r="Z289" s="55"/>
      <c r="AA289" s="55"/>
      <c r="AB289" s="55" t="s">
        <v>34</v>
      </c>
      <c r="AC289" s="55"/>
      <c r="AD289" s="55"/>
      <c r="AE289" s="55"/>
      <c r="AF289" s="55"/>
      <c r="AG289" s="55"/>
      <c r="AH289" s="55"/>
      <c r="AI289" s="55"/>
      <c r="AJ289" s="55"/>
      <c r="AK289" s="55">
        <f t="shared" si="167"/>
        <v>0</v>
      </c>
      <c r="AL289" s="55">
        <f t="shared" si="168"/>
        <v>0</v>
      </c>
      <c r="AM289" s="55">
        <f t="shared" si="169"/>
        <v>0</v>
      </c>
      <c r="AN289" s="55">
        <f t="shared" si="170"/>
        <v>0</v>
      </c>
      <c r="AO289" s="55">
        <f t="shared" si="171"/>
        <v>0</v>
      </c>
      <c r="AP289" s="55">
        <f t="shared" si="172"/>
        <v>0</v>
      </c>
      <c r="AQ289" s="55">
        <f t="shared" si="173"/>
        <v>0</v>
      </c>
      <c r="AR289" s="55">
        <f t="shared" si="174"/>
        <v>0</v>
      </c>
      <c r="AS289" s="55">
        <f t="shared" si="175"/>
        <v>0</v>
      </c>
      <c r="AT289" s="55">
        <f t="shared" si="176"/>
        <v>0</v>
      </c>
      <c r="AU289" s="55">
        <f t="shared" si="177"/>
        <v>0</v>
      </c>
      <c r="AV289" s="55">
        <f t="shared" si="178"/>
        <v>0</v>
      </c>
      <c r="AW289" s="55"/>
      <c r="AZ289" s="111"/>
      <c r="BA289" s="111"/>
    </row>
    <row r="290" spans="1:53" ht="42" customHeight="1" thickBot="1">
      <c r="A290" s="57"/>
      <c r="B290" s="57"/>
      <c r="U290" s="55"/>
      <c r="V290" s="55"/>
      <c r="W290" s="55"/>
      <c r="X290" s="55"/>
      <c r="Y290" s="55"/>
      <c r="Z290" s="55"/>
      <c r="AA290" s="55"/>
      <c r="AB290" s="55" t="s">
        <v>124</v>
      </c>
      <c r="AC290" s="55"/>
      <c r="AD290" s="55"/>
      <c r="AE290" s="55"/>
      <c r="AF290" s="55"/>
      <c r="AG290" s="55"/>
      <c r="AH290" s="55"/>
      <c r="AI290" s="55"/>
      <c r="AJ290" s="55"/>
      <c r="AK290" s="55">
        <f t="shared" si="167"/>
        <v>0</v>
      </c>
      <c r="AL290" s="55">
        <f t="shared" si="168"/>
        <v>0</v>
      </c>
      <c r="AM290" s="55">
        <f t="shared" si="169"/>
        <v>0</v>
      </c>
      <c r="AN290" s="55">
        <f t="shared" si="170"/>
        <v>0</v>
      </c>
      <c r="AO290" s="55">
        <f t="shared" si="171"/>
        <v>0</v>
      </c>
      <c r="AP290" s="55">
        <f t="shared" si="172"/>
        <v>0</v>
      </c>
      <c r="AQ290" s="55">
        <f t="shared" si="173"/>
        <v>0</v>
      </c>
      <c r="AR290" s="55">
        <f t="shared" si="174"/>
        <v>0</v>
      </c>
      <c r="AS290" s="55">
        <f t="shared" si="175"/>
        <v>0</v>
      </c>
      <c r="AT290" s="55">
        <f t="shared" si="176"/>
        <v>0</v>
      </c>
      <c r="AU290" s="55">
        <f t="shared" si="177"/>
        <v>0</v>
      </c>
      <c r="AV290" s="55">
        <f t="shared" si="178"/>
        <v>0</v>
      </c>
      <c r="AW290" s="55"/>
      <c r="AZ290" s="111"/>
      <c r="BA290" s="111"/>
    </row>
    <row r="291" spans="1:53" ht="42" customHeight="1" thickTop="1">
      <c r="A291" s="57"/>
      <c r="B291" s="57"/>
      <c r="D291" s="113"/>
      <c r="E291" s="112"/>
      <c r="F291" s="135"/>
      <c r="G291" s="112" t="s">
        <v>168</v>
      </c>
      <c r="H291" s="112"/>
      <c r="I291" s="80"/>
      <c r="J291" s="80"/>
      <c r="K291" s="59"/>
      <c r="U291" s="55"/>
      <c r="V291" s="55"/>
      <c r="W291" s="55"/>
      <c r="X291" s="55"/>
      <c r="Y291" s="55"/>
      <c r="Z291" s="55"/>
      <c r="AA291" s="55"/>
      <c r="AB291" s="55" t="s">
        <v>123</v>
      </c>
      <c r="AC291" s="55"/>
      <c r="AD291" s="55"/>
      <c r="AE291" s="55"/>
      <c r="AF291" s="55"/>
      <c r="AG291" s="55"/>
      <c r="AH291" s="55"/>
      <c r="AI291" s="55"/>
      <c r="AJ291" s="55"/>
      <c r="AK291" s="55">
        <f t="shared" si="167"/>
        <v>0</v>
      </c>
      <c r="AL291" s="55">
        <f t="shared" si="168"/>
        <v>0</v>
      </c>
      <c r="AM291" s="55">
        <f t="shared" si="169"/>
        <v>0</v>
      </c>
      <c r="AN291" s="55">
        <f t="shared" si="170"/>
        <v>0</v>
      </c>
      <c r="AO291" s="55">
        <f t="shared" si="171"/>
        <v>0</v>
      </c>
      <c r="AP291" s="55">
        <f t="shared" si="172"/>
        <v>0</v>
      </c>
      <c r="AQ291" s="55">
        <f t="shared" si="173"/>
        <v>0</v>
      </c>
      <c r="AR291" s="55">
        <f t="shared" si="174"/>
        <v>0</v>
      </c>
      <c r="AS291" s="55">
        <f t="shared" si="175"/>
        <v>0</v>
      </c>
      <c r="AT291" s="55">
        <f t="shared" si="176"/>
        <v>0</v>
      </c>
      <c r="AU291" s="55">
        <f t="shared" si="177"/>
        <v>0</v>
      </c>
      <c r="AV291" s="55">
        <f t="shared" si="178"/>
        <v>0</v>
      </c>
      <c r="AW291" s="55"/>
      <c r="AZ291" s="111"/>
      <c r="BA291" s="111"/>
    </row>
    <row r="292" spans="1:53" ht="42" customHeight="1" thickBot="1">
      <c r="A292" s="57"/>
      <c r="B292" s="57"/>
      <c r="D292" s="134" t="s">
        <v>169</v>
      </c>
      <c r="E292" s="133"/>
      <c r="F292" s="507" t="str">
        <f>"   "&amp;'Financial Stat.'!C318</f>
        <v xml:space="preserve">     2026</v>
      </c>
      <c r="G292" s="508" t="str">
        <f>"        "&amp;'Financial Stat.'!D318</f>
        <v xml:space="preserve">          2027</v>
      </c>
      <c r="H292" s="508" t="str">
        <f>"        "&amp;'Financial Stat.'!E318</f>
        <v xml:space="preserve">          2028</v>
      </c>
      <c r="I292" s="508" t="str">
        <f>"        "&amp;'Financial Stat.'!F318</f>
        <v xml:space="preserve">          2029</v>
      </c>
      <c r="J292" s="509" t="str">
        <f>"        "&amp;'Financial Stat.'!G318&amp;"  +"</f>
        <v xml:space="preserve">          2030  +</v>
      </c>
      <c r="K292" s="59"/>
      <c r="U292" s="55"/>
      <c r="V292" s="55"/>
      <c r="W292" s="55"/>
      <c r="X292" s="55"/>
      <c r="Y292" s="55"/>
      <c r="Z292" s="55"/>
      <c r="AA292" s="55"/>
      <c r="AB292" s="55" t="s">
        <v>132</v>
      </c>
      <c r="AC292" s="55"/>
      <c r="AD292" s="55"/>
      <c r="AE292" s="55"/>
      <c r="AF292" s="55"/>
      <c r="AG292" s="55"/>
      <c r="AH292" s="55"/>
      <c r="AI292" s="55"/>
      <c r="AJ292" s="55"/>
      <c r="AK292" s="55">
        <f t="shared" si="167"/>
        <v>0</v>
      </c>
      <c r="AL292" s="55">
        <f t="shared" si="168"/>
        <v>0</v>
      </c>
      <c r="AM292" s="55">
        <f t="shared" si="169"/>
        <v>0</v>
      </c>
      <c r="AN292" s="55">
        <f t="shared" si="170"/>
        <v>0</v>
      </c>
      <c r="AO292" s="55">
        <f t="shared" si="171"/>
        <v>0</v>
      </c>
      <c r="AP292" s="55">
        <f t="shared" si="172"/>
        <v>0</v>
      </c>
      <c r="AQ292" s="55">
        <f t="shared" si="173"/>
        <v>0</v>
      </c>
      <c r="AR292" s="55">
        <f t="shared" si="174"/>
        <v>0</v>
      </c>
      <c r="AS292" s="55">
        <f t="shared" si="175"/>
        <v>0</v>
      </c>
      <c r="AT292" s="55">
        <f t="shared" si="176"/>
        <v>0</v>
      </c>
      <c r="AU292" s="55">
        <f t="shared" si="177"/>
        <v>0</v>
      </c>
      <c r="AV292" s="55">
        <f t="shared" si="178"/>
        <v>0</v>
      </c>
      <c r="AW292" s="55"/>
      <c r="AZ292" s="111"/>
      <c r="BA292" s="111"/>
    </row>
    <row r="293" spans="1:53" ht="42" customHeight="1" thickTop="1">
      <c r="C293" s="81" t="s">
        <v>170</v>
      </c>
      <c r="D293" s="510" t="s">
        <v>171</v>
      </c>
      <c r="E293" s="511"/>
      <c r="F293" s="512">
        <v>80</v>
      </c>
      <c r="G293" s="513">
        <v>80</v>
      </c>
      <c r="H293" s="513">
        <v>80</v>
      </c>
      <c r="I293" s="513">
        <v>80</v>
      </c>
      <c r="J293" s="513">
        <v>80</v>
      </c>
      <c r="K293" s="59"/>
      <c r="U293" s="55"/>
      <c r="V293" s="55"/>
      <c r="W293" s="55"/>
      <c r="X293" s="55"/>
      <c r="Y293" s="55"/>
      <c r="Z293" s="55"/>
      <c r="AA293" s="55"/>
      <c r="AB293" s="55" t="s">
        <v>133</v>
      </c>
      <c r="AC293" s="55"/>
      <c r="AD293" s="55"/>
      <c r="AE293" s="55"/>
      <c r="AF293" s="55"/>
      <c r="AG293" s="55"/>
      <c r="AH293" s="55"/>
      <c r="AI293" s="55"/>
      <c r="AJ293" s="55"/>
      <c r="AK293" s="55">
        <f>M236*D236</f>
        <v>0</v>
      </c>
      <c r="AL293" s="55">
        <f>IF($AK293*2&gt;$M236,IF($AK293*2-$M236&lt;$AK293,$M236-$AK293*1,0),$AK293)</f>
        <v>0</v>
      </c>
      <c r="AM293" s="55">
        <f>IF($AK293*3&gt;$M236,IF($AK293*3-$M236&lt;$AK293,$M236-$AK293*2,0),$AK293)</f>
        <v>0</v>
      </c>
      <c r="AN293" s="55">
        <f>IF($AK293*4&gt;$M236,IF($AK293*4-$M236&lt;$AK293,$M236-$AK293*3,0),$AK293)</f>
        <v>0</v>
      </c>
      <c r="AO293" s="55">
        <f>IF($AK293*5&gt;$M236,IF($AK293*5-$M236&lt;$AK293,$M236-$AK293*4,0),$AK293)</f>
        <v>0</v>
      </c>
      <c r="AP293" s="55">
        <f>IF($AK293*6&gt;$M236,IF($AK293*6-$M236&lt;$AK293,$M236-$AK293*5,0),$AK293)</f>
        <v>0</v>
      </c>
      <c r="AQ293" s="55">
        <f>IF($AK293*7&gt;$M236,IF($AK293*7-$M236&lt;$AK293,$M236-$AK293*6,0),$AK293)</f>
        <v>0</v>
      </c>
      <c r="AR293" s="55">
        <f>IF($AK293*8&gt;$M236,IF($AK293*8-$M236&lt;$AK293,$M236-$AK293*7,0),$AK293)</f>
        <v>0</v>
      </c>
      <c r="AS293" s="55">
        <f>IF($AK293*9&gt;$M236,IF($AK293*9-$M236&lt;$AK293,$M236-$AK293*8,0),$AK293)</f>
        <v>0</v>
      </c>
      <c r="AT293" s="55">
        <f>IF($AK293*10&gt;$M236,IF($AK293*10-$M236&lt;$AK293,$M236-$AK293*9,0),$AK293)</f>
        <v>0</v>
      </c>
      <c r="AU293" s="55">
        <f>IF($AK293*11&gt;$M236,IF($AK293*11-$M236&lt;$AK293,$M236-$AK293*10,0),$AK293)</f>
        <v>0</v>
      </c>
      <c r="AV293" s="55">
        <f>IF($AK293*12&gt;$M236,IF($AK293*12-$M236&lt;$AK293,$M236-$AK293*11,0),$AK293)</f>
        <v>0</v>
      </c>
      <c r="AW293" s="55"/>
      <c r="AZ293" s="111"/>
      <c r="BA293" s="111"/>
    </row>
    <row r="294" spans="1:53" ht="42" customHeight="1">
      <c r="C294" s="76" t="s">
        <v>172</v>
      </c>
      <c r="D294" s="132" t="s">
        <v>173</v>
      </c>
      <c r="E294" s="75"/>
      <c r="F294" s="131"/>
      <c r="G294" s="130"/>
      <c r="H294" s="130"/>
      <c r="I294" s="130"/>
      <c r="J294" s="130"/>
      <c r="K294" s="59"/>
      <c r="U294" s="55"/>
      <c r="V294" s="55"/>
      <c r="W294" s="55"/>
      <c r="X294" s="55"/>
      <c r="Y294" s="55"/>
      <c r="Z294" s="55"/>
      <c r="AA294" s="55"/>
      <c r="AB294" s="55" t="s">
        <v>144</v>
      </c>
      <c r="AC294" s="55"/>
      <c r="AD294" s="55"/>
      <c r="AE294" s="55"/>
      <c r="AF294" s="55"/>
      <c r="AG294" s="55"/>
      <c r="AH294" s="55"/>
      <c r="AI294" s="55"/>
      <c r="AJ294" s="55"/>
      <c r="AK294" s="55">
        <f>M237*D237</f>
        <v>0</v>
      </c>
      <c r="AL294" s="55">
        <f>IF($AK294*2&gt;$M237,IF($AK294*2-$M237&lt;$AK294,$M237-$AK294*1,0),$AK294)</f>
        <v>0</v>
      </c>
      <c r="AM294" s="55">
        <f>IF($AK294*3&gt;$M237,IF($AK294*3-$M237&lt;$AK294,$M237-$AK294*2,0),$AK294)</f>
        <v>0</v>
      </c>
      <c r="AN294" s="55">
        <f>IF($AK294*4&gt;$M237,IF($AK294*4-$M237&lt;$AK294,$M237-$AK294*3,0),$AK294)</f>
        <v>0</v>
      </c>
      <c r="AO294" s="55">
        <f>IF($AK294*5&gt;$M237,IF($AK294*5-$M237&lt;$AK294,$M237-$AK294*4,0),$AK294)</f>
        <v>0</v>
      </c>
      <c r="AP294" s="55">
        <f>IF($AK294*6&gt;$M237,IF($AK294*6-$M237&lt;$AK294,$M237-$AK294*5,0),$AK294)</f>
        <v>0</v>
      </c>
      <c r="AQ294" s="55">
        <f>IF($AK294*7&gt;$M237,IF($AK294*7-$M237&lt;$AK294,$M237-$AK294*6,0),$AK294)</f>
        <v>0</v>
      </c>
      <c r="AR294" s="55">
        <f>IF($AK294*8&gt;$M237,IF($AK294*8-$M237&lt;$AK294,$M237-$AK294*7,0),$AK294)</f>
        <v>0</v>
      </c>
      <c r="AS294" s="55">
        <f>IF($AK294*9&gt;$M237,IF($AK294*9-$M237&lt;$AK294,$M237-$AK294*8,0),$AK294)</f>
        <v>0</v>
      </c>
      <c r="AT294" s="55">
        <f>IF($AK294*10&gt;$M237,IF($AK294*10-$M237&lt;$AK294,$M237-$AK294*9,0),$AK294)</f>
        <v>0</v>
      </c>
      <c r="AU294" s="55">
        <f>IF($AK294*11&gt;$M237,IF($AK294*11-$M237&lt;$AK294,$M237-$AK294*10,0),$AK294)</f>
        <v>0</v>
      </c>
      <c r="AV294" s="55">
        <f>IF($AK294*12&gt;$M237,IF($AK294*12-$M237&lt;$AK294,$M237-$AK294*11,0),$AK294)</f>
        <v>0</v>
      </c>
      <c r="AW294" s="55"/>
      <c r="AZ294" s="111"/>
      <c r="BA294" s="111"/>
    </row>
    <row r="295" spans="1:53" ht="42" customHeight="1">
      <c r="C295" s="76" t="s">
        <v>26</v>
      </c>
      <c r="D295" s="132" t="s">
        <v>174</v>
      </c>
      <c r="E295" s="75"/>
      <c r="F295" s="131">
        <v>110</v>
      </c>
      <c r="G295" s="130">
        <v>110</v>
      </c>
      <c r="H295" s="130">
        <v>110</v>
      </c>
      <c r="I295" s="130">
        <v>110</v>
      </c>
      <c r="J295" s="130">
        <v>110</v>
      </c>
      <c r="K295" s="59"/>
      <c r="U295" s="55"/>
      <c r="V295" s="55"/>
      <c r="W295" s="55"/>
      <c r="X295" s="55"/>
      <c r="Y295" s="55"/>
      <c r="Z295" s="55"/>
      <c r="AA295" s="55"/>
      <c r="AB295" s="55" t="str">
        <f>'Financial Stat.'!J318 &amp;" Expenditure"</f>
        <v xml:space="preserve">  2033 Expenditure</v>
      </c>
      <c r="AC295" s="55"/>
      <c r="AD295" s="55"/>
      <c r="AE295" s="55"/>
      <c r="AF295" s="55"/>
      <c r="AG295" s="55"/>
      <c r="AH295" s="55"/>
      <c r="AI295" s="55"/>
      <c r="AJ295" s="55"/>
      <c r="AK295" s="55"/>
      <c r="AL295" s="55"/>
      <c r="AM295" s="55"/>
      <c r="AN295" s="55"/>
      <c r="AO295" s="55"/>
      <c r="AP295" s="55"/>
      <c r="AQ295" s="55"/>
      <c r="AR295" s="55"/>
      <c r="AS295" s="55"/>
      <c r="AT295" s="55"/>
      <c r="AU295" s="55"/>
      <c r="AV295" s="55"/>
      <c r="AW295" s="55"/>
      <c r="AZ295" s="111"/>
      <c r="BA295" s="111"/>
    </row>
    <row r="296" spans="1:53" ht="42" customHeight="1" thickBot="1">
      <c r="C296" s="76" t="s">
        <v>175</v>
      </c>
      <c r="D296" s="132" t="s">
        <v>174</v>
      </c>
      <c r="E296" s="75"/>
      <c r="F296" s="131">
        <v>17</v>
      </c>
      <c r="G296" s="130">
        <v>17</v>
      </c>
      <c r="H296" s="130">
        <v>17</v>
      </c>
      <c r="I296" s="130">
        <v>17</v>
      </c>
      <c r="J296" s="130">
        <v>17</v>
      </c>
      <c r="K296" s="59"/>
      <c r="U296" s="55"/>
      <c r="V296" s="55"/>
      <c r="W296" s="55"/>
      <c r="X296" s="55"/>
      <c r="Y296" s="55"/>
      <c r="Z296" s="55"/>
      <c r="AA296" s="55"/>
      <c r="AB296" s="55" t="s">
        <v>31</v>
      </c>
      <c r="AC296" s="55"/>
      <c r="AD296" s="55"/>
      <c r="AE296" s="55"/>
      <c r="AF296" s="55"/>
      <c r="AG296" s="55"/>
      <c r="AH296" s="55"/>
      <c r="AI296" s="55"/>
      <c r="AJ296" s="55"/>
      <c r="AK296" s="55"/>
      <c r="AL296" s="55">
        <f t="shared" ref="AL296:AL302" si="179">N227*D227</f>
        <v>0</v>
      </c>
      <c r="AM296" s="55">
        <f t="shared" ref="AM296:AM302" si="180">IF($AL296*2&gt;$N227,IF($AL296*2-$N227&lt;$AL296,$N227-$AL296*1,0),$AL296)</f>
        <v>0</v>
      </c>
      <c r="AN296" s="55">
        <f t="shared" ref="AN296:AN302" si="181">IF($AL296*3&gt;$N227,IF($AL296*3-$N227&lt;$AL296,$N227-$AL296*2,0),$AL296)</f>
        <v>0</v>
      </c>
      <c r="AO296" s="55">
        <f t="shared" ref="AO296:AO302" si="182">IF($AL296*4&gt;$N227,IF($AL296*4-$N227&lt;$AL296,$N227-$AL296*3,0),$AL296)</f>
        <v>0</v>
      </c>
      <c r="AP296" s="55">
        <f t="shared" ref="AP296:AP302" si="183">IF($AL296*5&gt;$N227,IF($AL296*5-$N227&lt;$AL296,$N227-$AL296*4,0),$AL296)</f>
        <v>0</v>
      </c>
      <c r="AQ296" s="55">
        <f t="shared" ref="AQ296:AQ302" si="184">IF($AL296*6&gt;$N227,IF($AL296*6-$N227&lt;$AL296,$N227-$AL296*5,0),$AL296)</f>
        <v>0</v>
      </c>
      <c r="AR296" s="55">
        <f t="shared" ref="AR296:AR302" si="185">IF($AL296*7&gt;$N227,IF($AL296*7-$N227&lt;$AL296,$N227-$AL296*6,0),$AL296)</f>
        <v>0</v>
      </c>
      <c r="AS296" s="55">
        <f t="shared" ref="AS296:AS302" si="186">IF($AL296*8&gt;$N227,IF($AL296*8-$N227&lt;$AL296,$N227-$AL296*7,0),$AL296)</f>
        <v>0</v>
      </c>
      <c r="AT296" s="55">
        <f t="shared" ref="AT296:AT302" si="187">IF($AL296*9&gt;$N227,IF($AL296*9-$N227&lt;$AL296,$N227-$AL296*8,0),$AL296)</f>
        <v>0</v>
      </c>
      <c r="AU296" s="55">
        <f t="shared" ref="AU296:AU302" si="188">IF($AL296*10&gt;$N227,IF($AL296*10-$N227&lt;$AL296,$N227-$AL296*9,0),$AL296)</f>
        <v>0</v>
      </c>
      <c r="AV296" s="55">
        <f t="shared" ref="AV296:AV302" si="189">IF($AL296*11&gt;$N227,IF($AL296*11-$N227&lt;$AL296,$N227-$AL296*10,0),$AL296)</f>
        <v>0</v>
      </c>
      <c r="AW296" s="55"/>
      <c r="AZ296" s="111"/>
      <c r="BA296" s="111"/>
    </row>
    <row r="297" spans="1:53" ht="39.75" customHeight="1" thickTop="1">
      <c r="C297" s="58"/>
      <c r="D297" s="58"/>
      <c r="E297" s="58"/>
      <c r="F297" s="58"/>
      <c r="G297" s="58"/>
      <c r="H297" s="58"/>
      <c r="I297" s="58"/>
      <c r="J297" s="58"/>
      <c r="U297" s="55"/>
      <c r="V297" s="55"/>
      <c r="W297" s="55"/>
      <c r="X297" s="55"/>
      <c r="Y297" s="55"/>
      <c r="Z297" s="55"/>
      <c r="AA297" s="55"/>
      <c r="AB297" s="55" t="s">
        <v>32</v>
      </c>
      <c r="AC297" s="55"/>
      <c r="AD297" s="55"/>
      <c r="AE297" s="55"/>
      <c r="AF297" s="55"/>
      <c r="AG297" s="55"/>
      <c r="AH297" s="55"/>
      <c r="AI297" s="55"/>
      <c r="AJ297" s="55"/>
      <c r="AK297" s="55"/>
      <c r="AL297" s="55">
        <f t="shared" si="179"/>
        <v>0</v>
      </c>
      <c r="AM297" s="55">
        <f t="shared" si="180"/>
        <v>0</v>
      </c>
      <c r="AN297" s="55">
        <f t="shared" si="181"/>
        <v>0</v>
      </c>
      <c r="AO297" s="55">
        <f t="shared" si="182"/>
        <v>0</v>
      </c>
      <c r="AP297" s="55">
        <f t="shared" si="183"/>
        <v>0</v>
      </c>
      <c r="AQ297" s="55">
        <f t="shared" si="184"/>
        <v>0</v>
      </c>
      <c r="AR297" s="55">
        <f t="shared" si="185"/>
        <v>0</v>
      </c>
      <c r="AS297" s="55">
        <f t="shared" si="186"/>
        <v>0</v>
      </c>
      <c r="AT297" s="55">
        <f t="shared" si="187"/>
        <v>0</v>
      </c>
      <c r="AU297" s="55">
        <f t="shared" si="188"/>
        <v>0</v>
      </c>
      <c r="AV297" s="55">
        <f t="shared" si="189"/>
        <v>0</v>
      </c>
      <c r="AW297" s="55"/>
      <c r="AZ297" s="111"/>
      <c r="BA297" s="111"/>
    </row>
    <row r="298" spans="1:53" ht="39.75" customHeight="1">
      <c r="U298" s="55"/>
      <c r="V298" s="55"/>
      <c r="W298" s="55"/>
      <c r="X298" s="55"/>
      <c r="Y298" s="55"/>
      <c r="Z298" s="55"/>
      <c r="AA298" s="55"/>
      <c r="AB298" s="55" t="s">
        <v>33</v>
      </c>
      <c r="AC298" s="55"/>
      <c r="AD298" s="55"/>
      <c r="AE298" s="55"/>
      <c r="AF298" s="55"/>
      <c r="AG298" s="55"/>
      <c r="AH298" s="55"/>
      <c r="AI298" s="55"/>
      <c r="AJ298" s="55"/>
      <c r="AK298" s="55"/>
      <c r="AL298" s="55">
        <f t="shared" si="179"/>
        <v>0</v>
      </c>
      <c r="AM298" s="55">
        <f t="shared" si="180"/>
        <v>0</v>
      </c>
      <c r="AN298" s="55">
        <f t="shared" si="181"/>
        <v>0</v>
      </c>
      <c r="AO298" s="55">
        <f t="shared" si="182"/>
        <v>0</v>
      </c>
      <c r="AP298" s="55">
        <f t="shared" si="183"/>
        <v>0</v>
      </c>
      <c r="AQ298" s="55">
        <f t="shared" si="184"/>
        <v>0</v>
      </c>
      <c r="AR298" s="55">
        <f t="shared" si="185"/>
        <v>0</v>
      </c>
      <c r="AS298" s="55">
        <f t="shared" si="186"/>
        <v>0</v>
      </c>
      <c r="AT298" s="55">
        <f t="shared" si="187"/>
        <v>0</v>
      </c>
      <c r="AU298" s="55">
        <f t="shared" si="188"/>
        <v>0</v>
      </c>
      <c r="AV298" s="55">
        <f t="shared" si="189"/>
        <v>0</v>
      </c>
      <c r="AW298" s="55"/>
      <c r="AZ298" s="111"/>
      <c r="BA298" s="111"/>
    </row>
    <row r="299" spans="1:53" ht="33" customHeight="1" thickBot="1">
      <c r="U299" s="55"/>
      <c r="V299" s="55"/>
      <c r="W299" s="55"/>
      <c r="X299" s="55"/>
      <c r="Y299" s="55"/>
      <c r="Z299" s="55"/>
      <c r="AA299" s="55"/>
      <c r="AB299" s="55" t="s">
        <v>34</v>
      </c>
      <c r="AC299" s="55"/>
      <c r="AD299" s="55"/>
      <c r="AE299" s="55"/>
      <c r="AF299" s="55"/>
      <c r="AG299" s="55"/>
      <c r="AH299" s="55"/>
      <c r="AI299" s="55"/>
      <c r="AJ299" s="55"/>
      <c r="AK299" s="55"/>
      <c r="AL299" s="55">
        <f t="shared" si="179"/>
        <v>0</v>
      </c>
      <c r="AM299" s="55">
        <f t="shared" si="180"/>
        <v>0</v>
      </c>
      <c r="AN299" s="55">
        <f t="shared" si="181"/>
        <v>0</v>
      </c>
      <c r="AO299" s="55">
        <f t="shared" si="182"/>
        <v>0</v>
      </c>
      <c r="AP299" s="55">
        <f t="shared" si="183"/>
        <v>0</v>
      </c>
      <c r="AQ299" s="55">
        <f t="shared" si="184"/>
        <v>0</v>
      </c>
      <c r="AR299" s="55">
        <f t="shared" si="185"/>
        <v>0</v>
      </c>
      <c r="AS299" s="55">
        <f t="shared" si="186"/>
        <v>0</v>
      </c>
      <c r="AT299" s="55">
        <f t="shared" si="187"/>
        <v>0</v>
      </c>
      <c r="AU299" s="55">
        <f t="shared" si="188"/>
        <v>0</v>
      </c>
      <c r="AV299" s="55">
        <f t="shared" si="189"/>
        <v>0</v>
      </c>
      <c r="AW299" s="55"/>
      <c r="AZ299" s="111"/>
      <c r="BA299" s="111"/>
    </row>
    <row r="300" spans="1:53" ht="39.75" customHeight="1" thickTop="1" thickBot="1">
      <c r="A300" s="57" t="s">
        <v>176</v>
      </c>
      <c r="B300" s="57"/>
      <c r="C300" s="54" t="s">
        <v>177</v>
      </c>
      <c r="D300" s="57"/>
      <c r="E300" s="57"/>
      <c r="F300" s="57"/>
      <c r="G300" s="57"/>
      <c r="H300" s="94" t="s">
        <v>178</v>
      </c>
      <c r="I300" s="93"/>
      <c r="U300" s="55"/>
      <c r="V300" s="55"/>
      <c r="W300" s="55"/>
      <c r="X300" s="55"/>
      <c r="Y300" s="55"/>
      <c r="Z300" s="55"/>
      <c r="AA300" s="55"/>
      <c r="AB300" s="55" t="s">
        <v>124</v>
      </c>
      <c r="AC300" s="55"/>
      <c r="AD300" s="55"/>
      <c r="AE300" s="55"/>
      <c r="AF300" s="55"/>
      <c r="AG300" s="55"/>
      <c r="AH300" s="55"/>
      <c r="AI300" s="55"/>
      <c r="AJ300" s="55"/>
      <c r="AK300" s="55"/>
      <c r="AL300" s="55">
        <f t="shared" si="179"/>
        <v>0</v>
      </c>
      <c r="AM300" s="55">
        <f t="shared" si="180"/>
        <v>0</v>
      </c>
      <c r="AN300" s="55">
        <f t="shared" si="181"/>
        <v>0</v>
      </c>
      <c r="AO300" s="55">
        <f t="shared" si="182"/>
        <v>0</v>
      </c>
      <c r="AP300" s="55">
        <f t="shared" si="183"/>
        <v>0</v>
      </c>
      <c r="AQ300" s="55">
        <f t="shared" si="184"/>
        <v>0</v>
      </c>
      <c r="AR300" s="55">
        <f t="shared" si="185"/>
        <v>0</v>
      </c>
      <c r="AS300" s="55">
        <f t="shared" si="186"/>
        <v>0</v>
      </c>
      <c r="AT300" s="55">
        <f t="shared" si="187"/>
        <v>0</v>
      </c>
      <c r="AU300" s="55">
        <f t="shared" si="188"/>
        <v>0</v>
      </c>
      <c r="AV300" s="55">
        <f t="shared" si="189"/>
        <v>0</v>
      </c>
      <c r="AW300" s="55"/>
      <c r="AZ300" s="111"/>
      <c r="BA300" s="111"/>
    </row>
    <row r="301" spans="1:53" ht="39.75" customHeight="1" thickTop="1">
      <c r="A301" s="57"/>
      <c r="B301" s="57"/>
      <c r="C301" s="54" t="s">
        <v>179</v>
      </c>
      <c r="D301" s="57"/>
      <c r="E301" s="57"/>
      <c r="F301" s="57"/>
      <c r="G301" s="57"/>
      <c r="U301" s="55"/>
      <c r="V301" s="55"/>
      <c r="W301" s="55"/>
      <c r="X301" s="55"/>
      <c r="Y301" s="55"/>
      <c r="Z301" s="55"/>
      <c r="AA301" s="55"/>
      <c r="AB301" s="55" t="s">
        <v>123</v>
      </c>
      <c r="AC301" s="55"/>
      <c r="AD301" s="55"/>
      <c r="AE301" s="55"/>
      <c r="AF301" s="55"/>
      <c r="AG301" s="55"/>
      <c r="AH301" s="55"/>
      <c r="AI301" s="55"/>
      <c r="AJ301" s="55"/>
      <c r="AK301" s="55"/>
      <c r="AL301" s="55">
        <f t="shared" si="179"/>
        <v>0</v>
      </c>
      <c r="AM301" s="55">
        <f t="shared" si="180"/>
        <v>0</v>
      </c>
      <c r="AN301" s="55">
        <f t="shared" si="181"/>
        <v>0</v>
      </c>
      <c r="AO301" s="55">
        <f t="shared" si="182"/>
        <v>0</v>
      </c>
      <c r="AP301" s="55">
        <f t="shared" si="183"/>
        <v>0</v>
      </c>
      <c r="AQ301" s="55">
        <f t="shared" si="184"/>
        <v>0</v>
      </c>
      <c r="AR301" s="55">
        <f t="shared" si="185"/>
        <v>0</v>
      </c>
      <c r="AS301" s="55">
        <f t="shared" si="186"/>
        <v>0</v>
      </c>
      <c r="AT301" s="55">
        <f t="shared" si="187"/>
        <v>0</v>
      </c>
      <c r="AU301" s="55">
        <f t="shared" si="188"/>
        <v>0</v>
      </c>
      <c r="AV301" s="55">
        <f t="shared" si="189"/>
        <v>0</v>
      </c>
      <c r="AW301" s="55"/>
      <c r="AZ301" s="111"/>
      <c r="BA301" s="111"/>
    </row>
    <row r="302" spans="1:53" ht="39.75" customHeight="1">
      <c r="A302" s="57"/>
      <c r="B302" s="57"/>
      <c r="C302" s="54" t="s">
        <v>180</v>
      </c>
      <c r="D302" s="57"/>
      <c r="E302" s="57"/>
      <c r="F302" s="57"/>
      <c r="G302" s="57"/>
      <c r="U302" s="55"/>
      <c r="V302" s="55"/>
      <c r="W302" s="55"/>
      <c r="X302" s="55"/>
      <c r="Y302" s="55"/>
      <c r="Z302" s="55"/>
      <c r="AA302" s="55"/>
      <c r="AB302" s="55" t="s">
        <v>132</v>
      </c>
      <c r="AC302" s="55"/>
      <c r="AD302" s="55"/>
      <c r="AE302" s="55"/>
      <c r="AF302" s="55"/>
      <c r="AG302" s="55"/>
      <c r="AH302" s="55"/>
      <c r="AI302" s="55"/>
      <c r="AJ302" s="55"/>
      <c r="AK302" s="55"/>
      <c r="AL302" s="55">
        <f t="shared" si="179"/>
        <v>0</v>
      </c>
      <c r="AM302" s="55">
        <f t="shared" si="180"/>
        <v>0</v>
      </c>
      <c r="AN302" s="55">
        <f t="shared" si="181"/>
        <v>0</v>
      </c>
      <c r="AO302" s="55">
        <f t="shared" si="182"/>
        <v>0</v>
      </c>
      <c r="AP302" s="55">
        <f t="shared" si="183"/>
        <v>0</v>
      </c>
      <c r="AQ302" s="55">
        <f t="shared" si="184"/>
        <v>0</v>
      </c>
      <c r="AR302" s="55">
        <f t="shared" si="185"/>
        <v>0</v>
      </c>
      <c r="AS302" s="55">
        <f t="shared" si="186"/>
        <v>0</v>
      </c>
      <c r="AT302" s="55">
        <f t="shared" si="187"/>
        <v>0</v>
      </c>
      <c r="AU302" s="55">
        <f t="shared" si="188"/>
        <v>0</v>
      </c>
      <c r="AV302" s="55">
        <f t="shared" si="189"/>
        <v>0</v>
      </c>
      <c r="AW302" s="55"/>
      <c r="AZ302" s="111"/>
      <c r="BA302" s="111"/>
    </row>
    <row r="303" spans="1:53" ht="27" hidden="1" customHeight="1">
      <c r="A303" s="57"/>
      <c r="B303" s="57"/>
      <c r="C303" s="57"/>
      <c r="D303" s="57"/>
      <c r="E303" s="57"/>
      <c r="F303" s="57"/>
      <c r="G303" s="57"/>
      <c r="U303" s="55"/>
      <c r="V303" s="55"/>
      <c r="W303" s="55"/>
      <c r="X303" s="55"/>
      <c r="Y303" s="55"/>
      <c r="Z303" s="55"/>
      <c r="AA303" s="55"/>
      <c r="AB303" s="55" t="s">
        <v>133</v>
      </c>
      <c r="AC303" s="55"/>
      <c r="AD303" s="55"/>
      <c r="AE303" s="55"/>
      <c r="AF303" s="55"/>
      <c r="AG303" s="55"/>
      <c r="AH303" s="55"/>
      <c r="AI303" s="55"/>
      <c r="AJ303" s="55"/>
      <c r="AK303" s="55"/>
      <c r="AL303" s="55">
        <f>N236*D236</f>
        <v>0</v>
      </c>
      <c r="AM303" s="55">
        <f>IF($AL303*2&gt;$N236,IF($AL303*2-$N236&lt;$AL303,$N236-$AL303*1,0),$AL303)</f>
        <v>0</v>
      </c>
      <c r="AN303" s="55">
        <f>IF($AL303*3&gt;$N236,IF($AL303*3-$N236&lt;$AL303,$N236-$AL303*2,0),$AL303)</f>
        <v>0</v>
      </c>
      <c r="AO303" s="55">
        <f>IF($AL303*4&gt;$N236,IF($AL303*4-$N236&lt;$AL303,$N236-$AL303*3,0),$AL303)</f>
        <v>0</v>
      </c>
      <c r="AP303" s="55">
        <f>IF($AL303*5&gt;$N236,IF($AL303*5-$N236&lt;$AL303,$N236-$AL303*4,0),$AL303)</f>
        <v>0</v>
      </c>
      <c r="AQ303" s="55">
        <f>IF($AL303*6&gt;$N236,IF($AL303*6-$N236&lt;$AL303,$N236-$AL303*5,0),$AL303)</f>
        <v>0</v>
      </c>
      <c r="AR303" s="55">
        <f>IF($AL303*7&gt;$N236,IF($AL303*7-$N236&lt;$AL303,$N236-$AL303*6,0),$AL303)</f>
        <v>0</v>
      </c>
      <c r="AS303" s="55">
        <f>IF($AL303*8&gt;$N236,IF($AL303*8-$N236&lt;$AL303,$N236-$AL303*7,0),$AL303)</f>
        <v>0</v>
      </c>
      <c r="AT303" s="55">
        <f>IF($AL303*9&gt;$N236,IF($AL303*9-$N236&lt;$AL303,$N236-$AL303*8,0),$AL303)</f>
        <v>0</v>
      </c>
      <c r="AU303" s="55">
        <f>IF($AL303*10&gt;$N236,IF($AL303*10-$N236&lt;$AL303,$N236-$AL303*9,0),$AL303)</f>
        <v>0</v>
      </c>
      <c r="AV303" s="55">
        <f>IF($AL303*11&gt;$N236,IF($AL303*11-$N236&lt;$AL303,$N236-$AL303*10,0),$AL303)</f>
        <v>0</v>
      </c>
      <c r="AW303" s="55"/>
      <c r="AZ303" s="111"/>
      <c r="BA303" s="111"/>
    </row>
    <row r="304" spans="1:53" ht="27" customHeight="1" thickBot="1">
      <c r="A304" s="57"/>
      <c r="B304" s="57"/>
      <c r="C304" s="57"/>
      <c r="D304" s="57"/>
      <c r="E304" s="57"/>
      <c r="F304" s="57"/>
      <c r="G304" s="57"/>
      <c r="U304" s="55"/>
      <c r="V304" s="55"/>
      <c r="W304" s="55"/>
      <c r="X304" s="55"/>
      <c r="Y304" s="55"/>
      <c r="Z304" s="55"/>
      <c r="AA304" s="55"/>
      <c r="AB304" s="55" t="s">
        <v>144</v>
      </c>
      <c r="AC304" s="55"/>
      <c r="AD304" s="55"/>
      <c r="AE304" s="55"/>
      <c r="AF304" s="55"/>
      <c r="AG304" s="55"/>
      <c r="AH304" s="55"/>
      <c r="AI304" s="55"/>
      <c r="AJ304" s="55"/>
      <c r="AK304" s="55"/>
      <c r="AL304" s="55">
        <f>N237*D237</f>
        <v>0</v>
      </c>
      <c r="AM304" s="55">
        <f>IF($AL304*2&gt;$N237,IF($AL304*2-$N237&lt;$AL304,$N237-$AL304*1,0),$AL304)</f>
        <v>0</v>
      </c>
      <c r="AN304" s="55">
        <f>IF($AL304*3&gt;$N237,IF($AL304*3-$N237&lt;$AL304,$N237-$AL304*2,0),$AL304)</f>
        <v>0</v>
      </c>
      <c r="AO304" s="55">
        <f>IF($AL304*4&gt;$N237,IF($AL304*4-$N237&lt;$AL304,$N237-$AL304*3,0),$AL304)</f>
        <v>0</v>
      </c>
      <c r="AP304" s="55">
        <f>IF($AL304*5&gt;$N237,IF($AL304*5-$N237&lt;$AL304,$N237-$AL304*4,0),$AL304)</f>
        <v>0</v>
      </c>
      <c r="AQ304" s="55">
        <f>IF($AL304*6&gt;$N237,IF($AL304*6-$N237&lt;$AL304,$N237-$AL304*5,0),$AL304)</f>
        <v>0</v>
      </c>
      <c r="AR304" s="55">
        <f>IF($AL304*7&gt;$N237,IF($AL304*7-$N237&lt;$AL304,$N237-$AL304*6,0),$AL304)</f>
        <v>0</v>
      </c>
      <c r="AS304" s="55">
        <f>IF($AL304*8&gt;$N237,IF($AL304*8-$N237&lt;$AL304,$N237-$AL304*7,0),$AL304)</f>
        <v>0</v>
      </c>
      <c r="AT304" s="55">
        <f>IF($AL304*9&gt;$N237,IF($AL304*9-$N237&lt;$AL304,$N237-$AL304*8,0),$AL304)</f>
        <v>0</v>
      </c>
      <c r="AU304" s="55">
        <f>IF($AL304*10&gt;$N237,IF($AL304*10-$N237&lt;$AL304,$N237-$AL304*9,0),$AL304)</f>
        <v>0</v>
      </c>
      <c r="AV304" s="55">
        <f>IF($AL304*11&gt;$N237,IF($AL304*11-$N237&lt;$AL304,$N237-$AL304*10,0),$AL304)</f>
        <v>0</v>
      </c>
      <c r="AW304" s="55"/>
      <c r="AZ304" s="111"/>
      <c r="BA304" s="111"/>
    </row>
    <row r="305" spans="1:53" ht="39.75" customHeight="1" thickTop="1" thickBot="1">
      <c r="A305" s="57"/>
      <c r="B305" s="57"/>
      <c r="C305" s="113" t="s">
        <v>181</v>
      </c>
      <c r="D305" s="72" t="s">
        <v>182</v>
      </c>
      <c r="E305" s="72" t="s">
        <v>183</v>
      </c>
      <c r="F305" s="129" t="s">
        <v>181</v>
      </c>
      <c r="G305" s="128" t="s">
        <v>182</v>
      </c>
      <c r="H305" s="127" t="s">
        <v>183</v>
      </c>
      <c r="U305" s="55"/>
      <c r="V305" s="55"/>
      <c r="W305" s="55"/>
      <c r="X305" s="55"/>
      <c r="Y305" s="55"/>
      <c r="Z305" s="55"/>
      <c r="AA305" s="55"/>
      <c r="AB305" s="55" t="str">
        <f>'Financial Stat.'!K318 &amp;" Expenditure"</f>
        <v xml:space="preserve">  2034 Expenditure</v>
      </c>
      <c r="AC305" s="55"/>
      <c r="AD305" s="55"/>
      <c r="AE305" s="55"/>
      <c r="AF305" s="55"/>
      <c r="AG305" s="55"/>
      <c r="AH305" s="55"/>
      <c r="AI305" s="55"/>
      <c r="AJ305" s="55"/>
      <c r="AK305" s="55"/>
      <c r="AL305" s="55"/>
      <c r="AM305" s="55"/>
      <c r="AN305" s="55"/>
      <c r="AO305" s="55"/>
      <c r="AP305" s="55"/>
      <c r="AQ305" s="55"/>
      <c r="AR305" s="55"/>
      <c r="AS305" s="55"/>
      <c r="AT305" s="55"/>
      <c r="AU305" s="55"/>
      <c r="AV305" s="55"/>
      <c r="AW305" s="55"/>
      <c r="AZ305" s="111"/>
      <c r="BA305" s="111"/>
    </row>
    <row r="306" spans="1:53" ht="39.75" customHeight="1" thickTop="1">
      <c r="A306" s="57"/>
      <c r="B306" s="57"/>
      <c r="C306" s="126" t="str">
        <f>'Financial Stat.'!B318</f>
        <v xml:space="preserve">  2025</v>
      </c>
      <c r="D306" s="125">
        <f>'Financial Stat.'!G147</f>
        <v>0</v>
      </c>
      <c r="E306" s="125">
        <f>'Financial Stat.'!G148</f>
        <v>0</v>
      </c>
      <c r="F306" s="124" t="str">
        <f>'Financial Stat.'!M318</f>
        <v xml:space="preserve">  2036</v>
      </c>
      <c r="G306" s="123">
        <f>'Financial Stat.'!R147</f>
        <v>0</v>
      </c>
      <c r="H306" s="122">
        <f>'Financial Stat.'!R148</f>
        <v>0</v>
      </c>
      <c r="U306" s="55"/>
      <c r="V306" s="55"/>
      <c r="W306" s="55"/>
      <c r="X306" s="55"/>
      <c r="Y306" s="55"/>
      <c r="Z306" s="55"/>
      <c r="AA306" s="55"/>
      <c r="AB306" s="55" t="s">
        <v>31</v>
      </c>
      <c r="AC306" s="55"/>
      <c r="AD306" s="55"/>
      <c r="AE306" s="55"/>
      <c r="AF306" s="55"/>
      <c r="AG306" s="55"/>
      <c r="AH306" s="55"/>
      <c r="AI306" s="55"/>
      <c r="AJ306" s="55"/>
      <c r="AK306" s="55"/>
      <c r="AL306" s="55"/>
      <c r="AM306" s="55">
        <f t="shared" ref="AM306:AM312" si="190">O227*D227</f>
        <v>0</v>
      </c>
      <c r="AN306" s="55">
        <f t="shared" ref="AN306:AN312" si="191">IF($AM306*2&gt;$O227,IF($AM306*2-$O227&lt;$AM306,$O227-$AM306*1,0),$AM306)</f>
        <v>0</v>
      </c>
      <c r="AO306" s="55">
        <f t="shared" ref="AO306:AO312" si="192">IF($AM306*3&gt;$O227,IF($AM306*3-$O227&lt;$AM306,$O227-$AM306*2,0),$AM306)</f>
        <v>0</v>
      </c>
      <c r="AP306" s="55">
        <f t="shared" ref="AP306:AP312" si="193">IF($AM306*4&gt;$O227,IF($AM306*4-$O227&lt;$AM306,$O227-$AM306*3,0),$AM306)</f>
        <v>0</v>
      </c>
      <c r="AQ306" s="55">
        <f t="shared" ref="AQ306:AQ312" si="194">IF($AM306*5&gt;$O227,IF($AM306*5-$O227&lt;$AM306,$O227-$AM306*4,0),$AM306)</f>
        <v>0</v>
      </c>
      <c r="AR306" s="55">
        <f t="shared" ref="AR306:AR312" si="195">IF($AM306*6&gt;$O227,IF($AM306*6-$O227&lt;$AM306,$O227-$AM306*5,0),$AM306)</f>
        <v>0</v>
      </c>
      <c r="AS306" s="55">
        <f t="shared" ref="AS306:AS312" si="196">IF($AM306*7&gt;$O227,IF($AM306*7-$O227&lt;$AM306,$O227-$AM306*6,0),$AM306)</f>
        <v>0</v>
      </c>
      <c r="AT306" s="55">
        <f t="shared" ref="AT306:AT312" si="197">IF($AM306*8&gt;$O227,IF($AM306*8-$O227&lt;$AM306,$O227-$AM306*7,0),$AM306)</f>
        <v>0</v>
      </c>
      <c r="AU306" s="55">
        <f t="shared" ref="AU306:AU312" si="198">IF($AM306*9&gt;$O227,IF($AM306*9-$O227&lt;$AM306,$O227-$AM306*8,0),$AM306)</f>
        <v>0</v>
      </c>
      <c r="AV306" s="55">
        <f t="shared" ref="AV306:AV312" si="199">IF($AM306*10&gt;$O227,IF($AM306*10-$O227&lt;$AM306,$O227-$AM306*9,0),$AM306)</f>
        <v>0</v>
      </c>
      <c r="AW306" s="55"/>
      <c r="AZ306" s="111"/>
      <c r="BA306" s="111"/>
    </row>
    <row r="307" spans="1:53" ht="39.75" customHeight="1">
      <c r="C307" s="121" t="str">
        <f>'Financial Stat.'!C318</f>
        <v xml:space="preserve">  2026</v>
      </c>
      <c r="D307" s="105">
        <f>'Financial Stat.'!H147</f>
        <v>0</v>
      </c>
      <c r="E307" s="105">
        <f>'Financial Stat.'!H148</f>
        <v>0</v>
      </c>
      <c r="F307" s="117" t="str">
        <f>'Financial Stat.'!N318</f>
        <v xml:space="preserve">  2037</v>
      </c>
      <c r="G307" s="119">
        <f>'Financial Stat.'!S147</f>
        <v>0</v>
      </c>
      <c r="H307" s="122">
        <f>'Financial Stat.'!S148</f>
        <v>0</v>
      </c>
      <c r="U307" s="55"/>
      <c r="V307" s="55"/>
      <c r="W307" s="55"/>
      <c r="X307" s="55"/>
      <c r="Y307" s="55"/>
      <c r="Z307" s="55"/>
      <c r="AA307" s="55"/>
      <c r="AB307" s="55" t="s">
        <v>32</v>
      </c>
      <c r="AC307" s="55"/>
      <c r="AD307" s="55"/>
      <c r="AE307" s="55"/>
      <c r="AF307" s="55"/>
      <c r="AG307" s="55"/>
      <c r="AH307" s="55"/>
      <c r="AI307" s="55"/>
      <c r="AJ307" s="55"/>
      <c r="AK307" s="55"/>
      <c r="AL307" s="55"/>
      <c r="AM307" s="55">
        <f t="shared" si="190"/>
        <v>0</v>
      </c>
      <c r="AN307" s="55">
        <f t="shared" si="191"/>
        <v>0</v>
      </c>
      <c r="AO307" s="55">
        <f t="shared" si="192"/>
        <v>0</v>
      </c>
      <c r="AP307" s="55">
        <f t="shared" si="193"/>
        <v>0</v>
      </c>
      <c r="AQ307" s="55">
        <f t="shared" si="194"/>
        <v>0</v>
      </c>
      <c r="AR307" s="55">
        <f t="shared" si="195"/>
        <v>0</v>
      </c>
      <c r="AS307" s="55">
        <f t="shared" si="196"/>
        <v>0</v>
      </c>
      <c r="AT307" s="55">
        <f t="shared" si="197"/>
        <v>0</v>
      </c>
      <c r="AU307" s="55">
        <f t="shared" si="198"/>
        <v>0</v>
      </c>
      <c r="AV307" s="55">
        <f t="shared" si="199"/>
        <v>0</v>
      </c>
      <c r="AW307" s="55"/>
      <c r="AZ307" s="111"/>
      <c r="BA307" s="111"/>
    </row>
    <row r="308" spans="1:53" ht="39.75" customHeight="1">
      <c r="C308" s="121" t="str">
        <f>'Financial Stat.'!D318</f>
        <v xml:space="preserve">  2027</v>
      </c>
      <c r="D308" s="105">
        <f>'Financial Stat.'!I147</f>
        <v>0</v>
      </c>
      <c r="E308" s="105">
        <f>'Financial Stat.'!I148</f>
        <v>0</v>
      </c>
      <c r="F308" s="117" t="str">
        <f>'Financial Stat.'!O318</f>
        <v xml:space="preserve">  2038</v>
      </c>
      <c r="G308" s="119">
        <f>'Financial Stat.'!T147</f>
        <v>0</v>
      </c>
      <c r="H308" s="122">
        <f>'Financial Stat.'!T148</f>
        <v>0</v>
      </c>
      <c r="U308" s="55"/>
      <c r="V308" s="55"/>
      <c r="W308" s="55"/>
      <c r="X308" s="55"/>
      <c r="Y308" s="55"/>
      <c r="Z308" s="55"/>
      <c r="AA308" s="55"/>
      <c r="AB308" s="55" t="s">
        <v>33</v>
      </c>
      <c r="AC308" s="55"/>
      <c r="AD308" s="55"/>
      <c r="AE308" s="55"/>
      <c r="AF308" s="55"/>
      <c r="AG308" s="55"/>
      <c r="AH308" s="55"/>
      <c r="AI308" s="55"/>
      <c r="AJ308" s="55"/>
      <c r="AK308" s="55"/>
      <c r="AL308" s="55"/>
      <c r="AM308" s="55">
        <f t="shared" si="190"/>
        <v>0</v>
      </c>
      <c r="AN308" s="55">
        <f t="shared" si="191"/>
        <v>0</v>
      </c>
      <c r="AO308" s="55">
        <f t="shared" si="192"/>
        <v>0</v>
      </c>
      <c r="AP308" s="55">
        <f t="shared" si="193"/>
        <v>0</v>
      </c>
      <c r="AQ308" s="55">
        <f t="shared" si="194"/>
        <v>0</v>
      </c>
      <c r="AR308" s="55">
        <f t="shared" si="195"/>
        <v>0</v>
      </c>
      <c r="AS308" s="55">
        <f t="shared" si="196"/>
        <v>0</v>
      </c>
      <c r="AT308" s="55">
        <f t="shared" si="197"/>
        <v>0</v>
      </c>
      <c r="AU308" s="55">
        <f t="shared" si="198"/>
        <v>0</v>
      </c>
      <c r="AV308" s="55">
        <f t="shared" si="199"/>
        <v>0</v>
      </c>
      <c r="AW308" s="55"/>
      <c r="AZ308" s="111"/>
      <c r="BA308" s="111"/>
    </row>
    <row r="309" spans="1:53" ht="39.75" customHeight="1">
      <c r="C309" s="121" t="str">
        <f>'Financial Stat.'!E318</f>
        <v xml:space="preserve">  2028</v>
      </c>
      <c r="D309" s="105">
        <f>'Financial Stat.'!J147</f>
        <v>600</v>
      </c>
      <c r="E309" s="105">
        <f>'Financial Stat.'!J148</f>
        <v>0</v>
      </c>
      <c r="F309" s="117" t="str">
        <f>'Financial Stat.'!P318</f>
        <v xml:space="preserve">  2039</v>
      </c>
      <c r="G309" s="119">
        <f>'Financial Stat.'!U147</f>
        <v>0</v>
      </c>
      <c r="H309" s="122">
        <f>'Financial Stat.'!U148</f>
        <v>0</v>
      </c>
      <c r="U309" s="55"/>
      <c r="V309" s="55"/>
      <c r="W309" s="55"/>
      <c r="X309" s="55"/>
      <c r="Y309" s="55"/>
      <c r="Z309" s="55"/>
      <c r="AA309" s="55"/>
      <c r="AB309" s="55" t="s">
        <v>34</v>
      </c>
      <c r="AC309" s="55"/>
      <c r="AD309" s="55"/>
      <c r="AE309" s="55"/>
      <c r="AF309" s="55"/>
      <c r="AG309" s="55"/>
      <c r="AH309" s="55"/>
      <c r="AI309" s="55"/>
      <c r="AJ309" s="55"/>
      <c r="AK309" s="55"/>
      <c r="AL309" s="55"/>
      <c r="AM309" s="55">
        <f t="shared" si="190"/>
        <v>0</v>
      </c>
      <c r="AN309" s="55">
        <f t="shared" si="191"/>
        <v>0</v>
      </c>
      <c r="AO309" s="55">
        <f t="shared" si="192"/>
        <v>0</v>
      </c>
      <c r="AP309" s="55">
        <f t="shared" si="193"/>
        <v>0</v>
      </c>
      <c r="AQ309" s="55">
        <f t="shared" si="194"/>
        <v>0</v>
      </c>
      <c r="AR309" s="55">
        <f t="shared" si="195"/>
        <v>0</v>
      </c>
      <c r="AS309" s="55">
        <f t="shared" si="196"/>
        <v>0</v>
      </c>
      <c r="AT309" s="55">
        <f t="shared" si="197"/>
        <v>0</v>
      </c>
      <c r="AU309" s="55">
        <f t="shared" si="198"/>
        <v>0</v>
      </c>
      <c r="AV309" s="55">
        <f t="shared" si="199"/>
        <v>0</v>
      </c>
      <c r="AW309" s="55"/>
      <c r="AZ309" s="111"/>
      <c r="BA309" s="111"/>
    </row>
    <row r="310" spans="1:53" ht="39.75" customHeight="1">
      <c r="C310" s="121" t="str">
        <f>'Financial Stat.'!F318</f>
        <v xml:space="preserve">  2029</v>
      </c>
      <c r="D310" s="105">
        <f>'Financial Stat.'!K147</f>
        <v>800</v>
      </c>
      <c r="E310" s="105">
        <f>'Financial Stat.'!K148</f>
        <v>0</v>
      </c>
      <c r="F310" s="117" t="str">
        <f>'Financial Stat.'!Q318</f>
        <v xml:space="preserve">  2040</v>
      </c>
      <c r="G310" s="119">
        <f>'Financial Stat.'!V147</f>
        <v>0</v>
      </c>
      <c r="H310" s="122">
        <f>'Financial Stat.'!V148</f>
        <v>0</v>
      </c>
      <c r="U310" s="55"/>
      <c r="V310" s="55"/>
      <c r="W310" s="55"/>
      <c r="X310" s="55"/>
      <c r="Y310" s="55"/>
      <c r="Z310" s="55"/>
      <c r="AA310" s="55"/>
      <c r="AB310" s="55" t="s">
        <v>124</v>
      </c>
      <c r="AC310" s="55"/>
      <c r="AD310" s="55"/>
      <c r="AE310" s="55"/>
      <c r="AF310" s="55"/>
      <c r="AG310" s="55"/>
      <c r="AH310" s="55"/>
      <c r="AI310" s="55"/>
      <c r="AJ310" s="55"/>
      <c r="AK310" s="55"/>
      <c r="AL310" s="55"/>
      <c r="AM310" s="55">
        <f t="shared" si="190"/>
        <v>0</v>
      </c>
      <c r="AN310" s="55">
        <f t="shared" si="191"/>
        <v>0</v>
      </c>
      <c r="AO310" s="55">
        <f t="shared" si="192"/>
        <v>0</v>
      </c>
      <c r="AP310" s="55">
        <f t="shared" si="193"/>
        <v>0</v>
      </c>
      <c r="AQ310" s="55">
        <f t="shared" si="194"/>
        <v>0</v>
      </c>
      <c r="AR310" s="55">
        <f t="shared" si="195"/>
        <v>0</v>
      </c>
      <c r="AS310" s="55">
        <f t="shared" si="196"/>
        <v>0</v>
      </c>
      <c r="AT310" s="55">
        <f t="shared" si="197"/>
        <v>0</v>
      </c>
      <c r="AU310" s="55">
        <f t="shared" si="198"/>
        <v>0</v>
      </c>
      <c r="AV310" s="55">
        <f t="shared" si="199"/>
        <v>0</v>
      </c>
      <c r="AW310" s="55"/>
      <c r="AZ310" s="111"/>
      <c r="BA310" s="111"/>
    </row>
    <row r="311" spans="1:53" ht="39.75" customHeight="1">
      <c r="C311" s="121" t="str">
        <f>'Financial Stat.'!G318</f>
        <v xml:space="preserve">  2030</v>
      </c>
      <c r="D311" s="105">
        <f>'Financial Stat.'!L147</f>
        <v>1000</v>
      </c>
      <c r="E311" s="105">
        <f>'Financial Stat.'!L148</f>
        <v>0</v>
      </c>
      <c r="F311" s="117" t="str">
        <f>'Financial Stat.'!R318</f>
        <v xml:space="preserve">  2041</v>
      </c>
      <c r="G311" s="119">
        <f>'Financial Stat.'!W147</f>
        <v>0</v>
      </c>
      <c r="H311" s="115"/>
      <c r="U311" s="55"/>
      <c r="V311" s="55"/>
      <c r="W311" s="55"/>
      <c r="X311" s="55"/>
      <c r="Y311" s="55"/>
      <c r="Z311" s="55"/>
      <c r="AA311" s="55"/>
      <c r="AB311" s="55" t="s">
        <v>123</v>
      </c>
      <c r="AC311" s="55"/>
      <c r="AD311" s="55"/>
      <c r="AE311" s="55"/>
      <c r="AF311" s="55"/>
      <c r="AG311" s="55"/>
      <c r="AH311" s="55"/>
      <c r="AI311" s="55"/>
      <c r="AJ311" s="55"/>
      <c r="AK311" s="55"/>
      <c r="AL311" s="55"/>
      <c r="AM311" s="55">
        <f t="shared" si="190"/>
        <v>0</v>
      </c>
      <c r="AN311" s="55">
        <f t="shared" si="191"/>
        <v>0</v>
      </c>
      <c r="AO311" s="55">
        <f t="shared" si="192"/>
        <v>0</v>
      </c>
      <c r="AP311" s="55">
        <f t="shared" si="193"/>
        <v>0</v>
      </c>
      <c r="AQ311" s="55">
        <f t="shared" si="194"/>
        <v>0</v>
      </c>
      <c r="AR311" s="55">
        <f t="shared" si="195"/>
        <v>0</v>
      </c>
      <c r="AS311" s="55">
        <f t="shared" si="196"/>
        <v>0</v>
      </c>
      <c r="AT311" s="55">
        <f t="shared" si="197"/>
        <v>0</v>
      </c>
      <c r="AU311" s="55">
        <f t="shared" si="198"/>
        <v>0</v>
      </c>
      <c r="AV311" s="55">
        <f t="shared" si="199"/>
        <v>0</v>
      </c>
      <c r="AW311" s="55"/>
      <c r="AZ311" s="111"/>
      <c r="BA311" s="111"/>
    </row>
    <row r="312" spans="1:53" ht="39.75" customHeight="1">
      <c r="C312" s="121" t="str">
        <f>'Financial Stat.'!H318</f>
        <v xml:space="preserve">  2031</v>
      </c>
      <c r="D312" s="105">
        <f>'Financial Stat.'!M147</f>
        <v>1200</v>
      </c>
      <c r="E312" s="105">
        <f>'Financial Stat.'!M148</f>
        <v>0</v>
      </c>
      <c r="F312" s="117" t="str">
        <f>'Financial Stat.'!S318</f>
        <v xml:space="preserve">  2042</v>
      </c>
      <c r="G312" s="119">
        <f>'Financial Stat.'!X147</f>
        <v>0</v>
      </c>
      <c r="H312" s="115"/>
      <c r="U312" s="55"/>
      <c r="V312" s="55"/>
      <c r="W312" s="55"/>
      <c r="X312" s="55"/>
      <c r="Y312" s="55"/>
      <c r="Z312" s="55"/>
      <c r="AA312" s="55"/>
      <c r="AB312" s="55" t="s">
        <v>132</v>
      </c>
      <c r="AC312" s="55"/>
      <c r="AD312" s="55"/>
      <c r="AE312" s="55"/>
      <c r="AF312" s="55"/>
      <c r="AG312" s="55"/>
      <c r="AH312" s="55"/>
      <c r="AI312" s="55"/>
      <c r="AJ312" s="55"/>
      <c r="AK312" s="55"/>
      <c r="AL312" s="55"/>
      <c r="AM312" s="55">
        <f t="shared" si="190"/>
        <v>0</v>
      </c>
      <c r="AN312" s="55">
        <f t="shared" si="191"/>
        <v>0</v>
      </c>
      <c r="AO312" s="55">
        <f t="shared" si="192"/>
        <v>0</v>
      </c>
      <c r="AP312" s="55">
        <f t="shared" si="193"/>
        <v>0</v>
      </c>
      <c r="AQ312" s="55">
        <f t="shared" si="194"/>
        <v>0</v>
      </c>
      <c r="AR312" s="55">
        <f t="shared" si="195"/>
        <v>0</v>
      </c>
      <c r="AS312" s="55">
        <f t="shared" si="196"/>
        <v>0</v>
      </c>
      <c r="AT312" s="55">
        <f t="shared" si="197"/>
        <v>0</v>
      </c>
      <c r="AU312" s="55">
        <f t="shared" si="198"/>
        <v>0</v>
      </c>
      <c r="AV312" s="55">
        <f t="shared" si="199"/>
        <v>0</v>
      </c>
      <c r="AW312" s="55"/>
      <c r="AZ312" s="111"/>
      <c r="BA312" s="111"/>
    </row>
    <row r="313" spans="1:53" ht="39.75" customHeight="1">
      <c r="C313" s="121" t="str">
        <f>'Financial Stat.'!I318</f>
        <v xml:space="preserve">  2032</v>
      </c>
      <c r="D313" s="105">
        <f>'Financial Stat.'!N147</f>
        <v>1400</v>
      </c>
      <c r="E313" s="105">
        <f>'Financial Stat.'!N148</f>
        <v>0</v>
      </c>
      <c r="F313" s="117" t="str">
        <f>'Financial Stat.'!T318</f>
        <v xml:space="preserve">  2043</v>
      </c>
      <c r="G313" s="119">
        <f>'Financial Stat.'!Y147</f>
        <v>0</v>
      </c>
      <c r="H313" s="115"/>
      <c r="U313" s="55"/>
      <c r="V313" s="55"/>
      <c r="W313" s="55"/>
      <c r="X313" s="55"/>
      <c r="Y313" s="55"/>
      <c r="Z313" s="55"/>
      <c r="AA313" s="55"/>
      <c r="AB313" s="55" t="s">
        <v>133</v>
      </c>
      <c r="AC313" s="55"/>
      <c r="AD313" s="55"/>
      <c r="AE313" s="55"/>
      <c r="AF313" s="55"/>
      <c r="AG313" s="55"/>
      <c r="AH313" s="55"/>
      <c r="AI313" s="55"/>
      <c r="AJ313" s="55"/>
      <c r="AK313" s="55"/>
      <c r="AL313" s="55"/>
      <c r="AM313" s="55">
        <f>O236*D236</f>
        <v>0</v>
      </c>
      <c r="AN313" s="55">
        <f>IF($AM313*2&gt;$O236,IF($AM313*2-$O236&lt;$AM313,$O236-$AM313*1,0),$AM313)</f>
        <v>0</v>
      </c>
      <c r="AO313" s="55">
        <f>IF($AM313*3&gt;$O236,IF($AM313*3-$O236&lt;$AM313,$O236-$AM313*2,0),$AM313)</f>
        <v>0</v>
      </c>
      <c r="AP313" s="55">
        <f>IF($AM313*4&gt;$O236,IF($AM313*4-$O236&lt;$AM313,$O236-$AM313*3,0),$AM313)</f>
        <v>0</v>
      </c>
      <c r="AQ313" s="55">
        <f>IF($AM313*5&gt;$O236,IF($AM313*5-$O236&lt;$AM313,$O236-$AM313*4,0),$AM313)</f>
        <v>0</v>
      </c>
      <c r="AR313" s="55">
        <f>IF($AM313*6&gt;$O236,IF($AM313*6-$O236&lt;$AM313,$O236-$AM313*5,0),$AM313)</f>
        <v>0</v>
      </c>
      <c r="AS313" s="55">
        <f>IF($AM313*7&gt;$O236,IF($AM313*7-$O236&lt;$AM313,$O236-$AM313*6,0),$AM313)</f>
        <v>0</v>
      </c>
      <c r="AT313" s="55">
        <f>IF($AM313*8&gt;$O236,IF($AM313*8-$O236&lt;$AM313,$O236-$AM313*7,0),$AM313)</f>
        <v>0</v>
      </c>
      <c r="AU313" s="55">
        <f>IF($AM313*9&gt;$O236,IF($AM313*9-$O236&lt;$AM313,$O236-$AM313*8,0),$AM313)</f>
        <v>0</v>
      </c>
      <c r="AV313" s="55">
        <f>IF($AM313*10&gt;$O236,IF($AM313*10-$O236&lt;$AM313,$O236-$AM313*9,0),$AM313)</f>
        <v>0</v>
      </c>
      <c r="AW313" s="55"/>
      <c r="AZ313" s="111"/>
      <c r="BA313" s="111"/>
    </row>
    <row r="314" spans="1:53" ht="39.75" customHeight="1">
      <c r="C314" s="121" t="str">
        <f>'Financial Stat.'!J318</f>
        <v xml:space="preserve">  2033</v>
      </c>
      <c r="D314" s="105">
        <f>'Financial Stat.'!O147</f>
        <v>0</v>
      </c>
      <c r="E314" s="105">
        <f>'Financial Stat.'!O148</f>
        <v>0</v>
      </c>
      <c r="F314" s="117" t="str">
        <f>'Financial Stat.'!U318</f>
        <v xml:space="preserve">  2044</v>
      </c>
      <c r="G314" s="119">
        <f>'Financial Stat.'!Z147</f>
        <v>0</v>
      </c>
      <c r="H314" s="115"/>
      <c r="U314" s="55"/>
      <c r="V314" s="55"/>
      <c r="W314" s="55"/>
      <c r="X314" s="55"/>
      <c r="Y314" s="55"/>
      <c r="Z314" s="55"/>
      <c r="AA314" s="55"/>
      <c r="AB314" s="55" t="s">
        <v>144</v>
      </c>
      <c r="AC314" s="55"/>
      <c r="AD314" s="55"/>
      <c r="AE314" s="55"/>
      <c r="AF314" s="55"/>
      <c r="AG314" s="55"/>
      <c r="AH314" s="55"/>
      <c r="AI314" s="55"/>
      <c r="AJ314" s="55"/>
      <c r="AK314" s="55"/>
      <c r="AL314" s="55"/>
      <c r="AM314" s="55">
        <f>O237*D237</f>
        <v>0</v>
      </c>
      <c r="AN314" s="55">
        <f>IF($AM314*2&gt;$O237,IF($AM314*2-$O237&lt;$AM314,$O237-$AM314*1,0),$AM314)</f>
        <v>0</v>
      </c>
      <c r="AO314" s="55">
        <f>IF($AM314*3&gt;$O237,IF($AM314*3-$O237&lt;$AM314,$O237-$AM314*2,0),$AM314)</f>
        <v>0</v>
      </c>
      <c r="AP314" s="55">
        <f>IF($AM314*4&gt;$O237,IF($AM314*4-$O237&lt;$AM314,$O237-$AM314*3,0),$AM314)</f>
        <v>0</v>
      </c>
      <c r="AQ314" s="55">
        <f>IF($AM314*5&gt;$O237,IF($AM314*5-$O237&lt;$AM314,$O237-$AM314*4,0),$AM314)</f>
        <v>0</v>
      </c>
      <c r="AR314" s="55">
        <f>IF($AM314*6&gt;$O237,IF($AM314*6-$O237&lt;$AM314,$O237-$AM314*5,0),$AM314)</f>
        <v>0</v>
      </c>
      <c r="AS314" s="55">
        <f>IF($AM314*7&gt;$O237,IF($AM314*7-$O237&lt;$AM314,$O237-$AM314*6,0),$AM314)</f>
        <v>0</v>
      </c>
      <c r="AT314" s="55">
        <f>IF($AM314*8&gt;$O237,IF($AM314*8-$O237&lt;$AM314,$O237-$AM314*7,0),$AM314)</f>
        <v>0</v>
      </c>
      <c r="AU314" s="55">
        <f>IF($AM314*9&gt;$O237,IF($AM314*9-$O237&lt;$AM314,$O237-$AM314*8,0),$AM314)</f>
        <v>0</v>
      </c>
      <c r="AV314" s="55">
        <f>IF($AM314*10&gt;$O237,IF($AM314*10-$O237&lt;$AM314,$O237-$AM314*9,0),$AM314)</f>
        <v>0</v>
      </c>
      <c r="AW314" s="55"/>
      <c r="AZ314" s="111"/>
      <c r="BA314" s="111"/>
    </row>
    <row r="315" spans="1:53" ht="39.75" customHeight="1">
      <c r="C315" s="121" t="str">
        <f>'Financial Stat.'!K318</f>
        <v xml:space="preserve">  2034</v>
      </c>
      <c r="D315" s="105">
        <f>'Financial Stat.'!P147</f>
        <v>0</v>
      </c>
      <c r="E315" s="105">
        <f>'Financial Stat.'!P148</f>
        <v>0</v>
      </c>
      <c r="F315" s="117" t="str">
        <f>'Financial Stat.'!V318</f>
        <v xml:space="preserve">  2045</v>
      </c>
      <c r="G315" s="119">
        <f>'Financial Stat.'!AA147</f>
        <v>0</v>
      </c>
      <c r="H315" s="115"/>
      <c r="U315" s="55"/>
      <c r="V315" s="55"/>
      <c r="W315" s="55"/>
      <c r="X315" s="55"/>
      <c r="Y315" s="55"/>
      <c r="Z315" s="55"/>
      <c r="AA315" s="55"/>
      <c r="AB315" s="55" t="str">
        <f>'Financial Stat.'!L318 &amp;" Expenditure"</f>
        <v xml:space="preserve">  2035 Expenditure</v>
      </c>
      <c r="AC315" s="55"/>
      <c r="AD315" s="55"/>
      <c r="AE315" s="55"/>
      <c r="AF315" s="55"/>
      <c r="AG315" s="55"/>
      <c r="AH315" s="55"/>
      <c r="AI315" s="55"/>
      <c r="AJ315" s="55"/>
      <c r="AK315" s="55"/>
      <c r="AL315" s="55"/>
      <c r="AM315" s="55"/>
      <c r="AN315" s="55"/>
      <c r="AO315" s="55"/>
      <c r="AP315" s="55"/>
      <c r="AQ315" s="55"/>
      <c r="AR315" s="55"/>
      <c r="AS315" s="55"/>
      <c r="AT315" s="55"/>
      <c r="AU315" s="55"/>
      <c r="AV315" s="55"/>
      <c r="AW315" s="55"/>
      <c r="AZ315" s="111"/>
      <c r="BA315" s="111"/>
    </row>
    <row r="316" spans="1:53" ht="39.75" customHeight="1">
      <c r="C316" s="121" t="str">
        <f>'Financial Stat.'!L318</f>
        <v xml:space="preserve">  2035</v>
      </c>
      <c r="D316" s="105">
        <f>'Financial Stat.'!Q147</f>
        <v>0</v>
      </c>
      <c r="E316" s="105">
        <f>'Financial Stat.'!Q148</f>
        <v>0</v>
      </c>
      <c r="F316" s="120" t="str">
        <f>'Financial Stat.'!W318</f>
        <v xml:space="preserve">  2046</v>
      </c>
      <c r="G316" s="119">
        <f>'Financial Stat.'!AB147</f>
        <v>0</v>
      </c>
      <c r="H316" s="115"/>
      <c r="U316" s="55"/>
      <c r="V316" s="55"/>
      <c r="W316" s="55"/>
      <c r="X316" s="55"/>
      <c r="Y316" s="55"/>
      <c r="Z316" s="55"/>
      <c r="AA316" s="55"/>
      <c r="AB316" s="55" t="s">
        <v>31</v>
      </c>
      <c r="AC316" s="55"/>
      <c r="AD316" s="55"/>
      <c r="AE316" s="55"/>
      <c r="AF316" s="55"/>
      <c r="AG316" s="55"/>
      <c r="AH316" s="55"/>
      <c r="AI316" s="55"/>
      <c r="AJ316" s="55"/>
      <c r="AK316" s="55"/>
      <c r="AL316" s="55"/>
      <c r="AM316" s="55"/>
      <c r="AN316" s="55">
        <f t="shared" ref="AN316:AN322" si="200">P227*D227</f>
        <v>0</v>
      </c>
      <c r="AO316" s="55">
        <f t="shared" ref="AO316:AO322" si="201">IF($AN316*2&gt;$P227,IF($AN316*2-$P227&lt;$AN316,$P227-$AN316*1,0),$AN316)</f>
        <v>0</v>
      </c>
      <c r="AP316" s="55">
        <f t="shared" ref="AP316:AP322" si="202">IF($AN316*3&gt;$P227,IF($AN316*3-$P227&lt;$AN316,$P227-$AN316*2,0),$AN316)</f>
        <v>0</v>
      </c>
      <c r="AQ316" s="55">
        <f t="shared" ref="AQ316:AQ322" si="203">IF($AN316*4&gt;$P227,IF($AN316*4-$P227&lt;$AN316,$P227-$AN316*3,0),$AN316)</f>
        <v>0</v>
      </c>
      <c r="AR316" s="55">
        <f t="shared" ref="AR316:AR322" si="204">IF($AN316*5&gt;$P227,IF($AN316*5-$P227&lt;$AN316,$P227-$AN316*4,0),$AN316)</f>
        <v>0</v>
      </c>
      <c r="AS316" s="55">
        <f t="shared" ref="AS316:AS322" si="205">IF($AN316*6&gt;$P227,IF($AN316*6-$P227&lt;$AN316,$P227-$AN316*5,0),$AN316)</f>
        <v>0</v>
      </c>
      <c r="AT316" s="55">
        <f t="shared" ref="AT316:AT322" si="206">IF($AN316*7&gt;$P227,IF($AN316*7-$P227&lt;$AN316,$P227-$AN316*6,0),$AN316)</f>
        <v>0</v>
      </c>
      <c r="AU316" s="55">
        <f t="shared" ref="AU316:AU322" si="207">IF($AN316*8&gt;$P227,IF($AN316*8-$P227&lt;$AN316,$P227-$AN316*7,0),$AN316)</f>
        <v>0</v>
      </c>
      <c r="AV316" s="55">
        <f t="shared" ref="AV316:AV322" si="208">IF($AN316*9&gt;$P227,IF($AN316*9-$P227&lt;$AN316,$P227-$AN316*8,0),$AN316)</f>
        <v>0</v>
      </c>
      <c r="AW316" s="55"/>
      <c r="AZ316" s="111"/>
      <c r="BA316" s="111"/>
    </row>
    <row r="317" spans="1:53" ht="39.75" customHeight="1">
      <c r="C317" s="118" t="s">
        <v>184</v>
      </c>
      <c r="D317" s="105">
        <f>SUM(D306:D316)</f>
        <v>5000</v>
      </c>
      <c r="E317" s="105">
        <f>SUM(E306:E316)</f>
        <v>0</v>
      </c>
      <c r="F317" s="117"/>
      <c r="G317" s="116"/>
      <c r="H317" s="115"/>
      <c r="U317" s="55"/>
      <c r="V317" s="55"/>
      <c r="W317" s="55"/>
      <c r="X317" s="55"/>
      <c r="Y317" s="55"/>
      <c r="Z317" s="55"/>
      <c r="AA317" s="55"/>
      <c r="AB317" s="55" t="s">
        <v>32</v>
      </c>
      <c r="AC317" s="55"/>
      <c r="AD317" s="55"/>
      <c r="AE317" s="55"/>
      <c r="AF317" s="55"/>
      <c r="AG317" s="55"/>
      <c r="AH317" s="55"/>
      <c r="AI317" s="55"/>
      <c r="AJ317" s="55"/>
      <c r="AK317" s="55"/>
      <c r="AL317" s="55"/>
      <c r="AM317" s="55"/>
      <c r="AN317" s="55">
        <f t="shared" si="200"/>
        <v>0</v>
      </c>
      <c r="AO317" s="55">
        <f t="shared" si="201"/>
        <v>0</v>
      </c>
      <c r="AP317" s="55">
        <f t="shared" si="202"/>
        <v>0</v>
      </c>
      <c r="AQ317" s="55">
        <f t="shared" si="203"/>
        <v>0</v>
      </c>
      <c r="AR317" s="55">
        <f t="shared" si="204"/>
        <v>0</v>
      </c>
      <c r="AS317" s="55">
        <f t="shared" si="205"/>
        <v>0</v>
      </c>
      <c r="AT317" s="55">
        <f t="shared" si="206"/>
        <v>0</v>
      </c>
      <c r="AU317" s="55">
        <f t="shared" si="207"/>
        <v>0</v>
      </c>
      <c r="AV317" s="55">
        <f t="shared" si="208"/>
        <v>0</v>
      </c>
      <c r="AW317" s="55"/>
      <c r="AZ317" s="111"/>
      <c r="BA317" s="111"/>
    </row>
    <row r="318" spans="1:53" ht="39.75" customHeight="1" thickBot="1">
      <c r="A318" s="54" t="s">
        <v>70</v>
      </c>
      <c r="C318" s="514" t="s">
        <v>185</v>
      </c>
      <c r="D318" s="515">
        <f>SUM(D306:D316,G318)</f>
        <v>5000</v>
      </c>
      <c r="E318" s="515">
        <f>SUM(E306:E316,H318)</f>
        <v>0</v>
      </c>
      <c r="F318" s="516" t="s">
        <v>186</v>
      </c>
      <c r="G318" s="517">
        <f>SUM(G306:G316)</f>
        <v>0</v>
      </c>
      <c r="H318" s="518">
        <f>SUM(H306:H316)</f>
        <v>0</v>
      </c>
      <c r="U318" s="55"/>
      <c r="V318" s="55"/>
      <c r="W318" s="55"/>
      <c r="X318" s="55"/>
      <c r="Y318" s="55"/>
      <c r="Z318" s="55"/>
      <c r="AA318" s="55"/>
      <c r="AB318" s="55" t="s">
        <v>33</v>
      </c>
      <c r="AC318" s="55"/>
      <c r="AD318" s="55"/>
      <c r="AE318" s="55"/>
      <c r="AF318" s="55"/>
      <c r="AG318" s="55"/>
      <c r="AH318" s="55"/>
      <c r="AI318" s="55"/>
      <c r="AJ318" s="55"/>
      <c r="AK318" s="55"/>
      <c r="AL318" s="55"/>
      <c r="AM318" s="55"/>
      <c r="AN318" s="55">
        <f t="shared" si="200"/>
        <v>0</v>
      </c>
      <c r="AO318" s="55">
        <f t="shared" si="201"/>
        <v>0</v>
      </c>
      <c r="AP318" s="55">
        <f t="shared" si="202"/>
        <v>0</v>
      </c>
      <c r="AQ318" s="55">
        <f t="shared" si="203"/>
        <v>0</v>
      </c>
      <c r="AR318" s="55">
        <f t="shared" si="204"/>
        <v>0</v>
      </c>
      <c r="AS318" s="55">
        <f t="shared" si="205"/>
        <v>0</v>
      </c>
      <c r="AT318" s="55">
        <f t="shared" si="206"/>
        <v>0</v>
      </c>
      <c r="AU318" s="55">
        <f t="shared" si="207"/>
        <v>0</v>
      </c>
      <c r="AV318" s="55">
        <f t="shared" si="208"/>
        <v>0</v>
      </c>
      <c r="AW318" s="55"/>
      <c r="AZ318" s="111"/>
      <c r="BA318" s="111"/>
    </row>
    <row r="319" spans="1:53" ht="20.25" customHeight="1" thickTop="1">
      <c r="C319" s="58"/>
      <c r="D319" s="58"/>
      <c r="E319" s="58"/>
      <c r="U319" s="55"/>
      <c r="V319" s="55"/>
      <c r="W319" s="55"/>
      <c r="X319" s="55"/>
      <c r="Y319" s="55"/>
      <c r="Z319" s="55"/>
      <c r="AA319" s="55"/>
      <c r="AB319" s="55" t="s">
        <v>34</v>
      </c>
      <c r="AC319" s="55"/>
      <c r="AD319" s="55"/>
      <c r="AE319" s="55"/>
      <c r="AF319" s="55"/>
      <c r="AG319" s="55"/>
      <c r="AH319" s="55"/>
      <c r="AI319" s="55"/>
      <c r="AJ319" s="55"/>
      <c r="AK319" s="55"/>
      <c r="AL319" s="55"/>
      <c r="AM319" s="55"/>
      <c r="AN319" s="55">
        <f t="shared" si="200"/>
        <v>0</v>
      </c>
      <c r="AO319" s="55">
        <f t="shared" si="201"/>
        <v>0</v>
      </c>
      <c r="AP319" s="55">
        <f t="shared" si="202"/>
        <v>0</v>
      </c>
      <c r="AQ319" s="55">
        <f t="shared" si="203"/>
        <v>0</v>
      </c>
      <c r="AR319" s="55">
        <f t="shared" si="204"/>
        <v>0</v>
      </c>
      <c r="AS319" s="55">
        <f t="shared" si="205"/>
        <v>0</v>
      </c>
      <c r="AT319" s="55">
        <f t="shared" si="206"/>
        <v>0</v>
      </c>
      <c r="AU319" s="55">
        <f t="shared" si="207"/>
        <v>0</v>
      </c>
      <c r="AV319" s="55">
        <f t="shared" si="208"/>
        <v>0</v>
      </c>
      <c r="AW319" s="55"/>
      <c r="AZ319" s="111"/>
      <c r="BA319" s="111"/>
    </row>
    <row r="320" spans="1:53" ht="20.25" customHeight="1">
      <c r="B320" s="54">
        <v>2020</v>
      </c>
      <c r="U320" s="55"/>
      <c r="V320" s="55"/>
      <c r="W320" s="55"/>
      <c r="X320" s="55"/>
      <c r="Y320" s="55"/>
      <c r="Z320" s="55"/>
      <c r="AA320" s="55"/>
      <c r="AB320" s="55" t="s">
        <v>124</v>
      </c>
      <c r="AC320" s="55"/>
      <c r="AD320" s="55"/>
      <c r="AE320" s="55"/>
      <c r="AF320" s="55"/>
      <c r="AG320" s="55"/>
      <c r="AH320" s="55"/>
      <c r="AI320" s="55"/>
      <c r="AJ320" s="55"/>
      <c r="AK320" s="55"/>
      <c r="AL320" s="55"/>
      <c r="AM320" s="55"/>
      <c r="AN320" s="55">
        <f t="shared" si="200"/>
        <v>0</v>
      </c>
      <c r="AO320" s="55">
        <f t="shared" si="201"/>
        <v>0</v>
      </c>
      <c r="AP320" s="55">
        <f t="shared" si="202"/>
        <v>0</v>
      </c>
      <c r="AQ320" s="55">
        <f t="shared" si="203"/>
        <v>0</v>
      </c>
      <c r="AR320" s="55">
        <f t="shared" si="204"/>
        <v>0</v>
      </c>
      <c r="AS320" s="55">
        <f t="shared" si="205"/>
        <v>0</v>
      </c>
      <c r="AT320" s="55">
        <f t="shared" si="206"/>
        <v>0</v>
      </c>
      <c r="AU320" s="55">
        <f t="shared" si="207"/>
        <v>0</v>
      </c>
      <c r="AV320" s="55">
        <f t="shared" si="208"/>
        <v>0</v>
      </c>
      <c r="AW320" s="55"/>
      <c r="AZ320" s="111"/>
      <c r="BA320" s="111"/>
    </row>
    <row r="321" spans="1:53" ht="20.25" hidden="1" customHeight="1">
      <c r="U321" s="55"/>
      <c r="V321" s="55"/>
      <c r="W321" s="55"/>
      <c r="X321" s="55"/>
      <c r="Y321" s="55"/>
      <c r="Z321" s="55"/>
      <c r="AA321" s="55"/>
      <c r="AB321" s="55" t="s">
        <v>123</v>
      </c>
      <c r="AC321" s="55"/>
      <c r="AD321" s="55"/>
      <c r="AE321" s="55"/>
      <c r="AF321" s="55"/>
      <c r="AG321" s="55"/>
      <c r="AH321" s="55"/>
      <c r="AI321" s="55"/>
      <c r="AJ321" s="55"/>
      <c r="AK321" s="55"/>
      <c r="AL321" s="55"/>
      <c r="AM321" s="55"/>
      <c r="AN321" s="55">
        <f t="shared" si="200"/>
        <v>0</v>
      </c>
      <c r="AO321" s="55">
        <f t="shared" si="201"/>
        <v>0</v>
      </c>
      <c r="AP321" s="55">
        <f t="shared" si="202"/>
        <v>0</v>
      </c>
      <c r="AQ321" s="55">
        <f t="shared" si="203"/>
        <v>0</v>
      </c>
      <c r="AR321" s="55">
        <f t="shared" si="204"/>
        <v>0</v>
      </c>
      <c r="AS321" s="55">
        <f t="shared" si="205"/>
        <v>0</v>
      </c>
      <c r="AT321" s="55">
        <f t="shared" si="206"/>
        <v>0</v>
      </c>
      <c r="AU321" s="55">
        <f t="shared" si="207"/>
        <v>0</v>
      </c>
      <c r="AV321" s="55">
        <f t="shared" si="208"/>
        <v>0</v>
      </c>
      <c r="AW321" s="55"/>
      <c r="AZ321" s="111"/>
      <c r="BA321" s="111"/>
    </row>
    <row r="322" spans="1:53" ht="39" customHeight="1">
      <c r="A322" s="57" t="s">
        <v>187</v>
      </c>
      <c r="B322" s="57"/>
      <c r="C322" s="54" t="s">
        <v>188</v>
      </c>
      <c r="D322" s="57"/>
      <c r="E322" s="57"/>
      <c r="F322" s="57"/>
      <c r="G322" s="57"/>
      <c r="U322" s="55"/>
      <c r="V322" s="55"/>
      <c r="W322" s="55"/>
      <c r="X322" s="55"/>
      <c r="Y322" s="55"/>
      <c r="Z322" s="55"/>
      <c r="AA322" s="55"/>
      <c r="AB322" s="55" t="s">
        <v>132</v>
      </c>
      <c r="AC322" s="55"/>
      <c r="AD322" s="55"/>
      <c r="AE322" s="55"/>
      <c r="AF322" s="55"/>
      <c r="AG322" s="55"/>
      <c r="AH322" s="55"/>
      <c r="AI322" s="55"/>
      <c r="AJ322" s="55"/>
      <c r="AK322" s="55"/>
      <c r="AL322" s="55"/>
      <c r="AM322" s="55"/>
      <c r="AN322" s="55">
        <f t="shared" si="200"/>
        <v>0</v>
      </c>
      <c r="AO322" s="55">
        <f t="shared" si="201"/>
        <v>0</v>
      </c>
      <c r="AP322" s="55">
        <f t="shared" si="202"/>
        <v>0</v>
      </c>
      <c r="AQ322" s="55">
        <f t="shared" si="203"/>
        <v>0</v>
      </c>
      <c r="AR322" s="55">
        <f t="shared" si="204"/>
        <v>0</v>
      </c>
      <c r="AS322" s="55">
        <f t="shared" si="205"/>
        <v>0</v>
      </c>
      <c r="AT322" s="55">
        <f t="shared" si="206"/>
        <v>0</v>
      </c>
      <c r="AU322" s="55">
        <f t="shared" si="207"/>
        <v>0</v>
      </c>
      <c r="AV322" s="55">
        <f t="shared" si="208"/>
        <v>0</v>
      </c>
      <c r="AW322" s="55"/>
      <c r="AZ322" s="111"/>
      <c r="BA322" s="111"/>
    </row>
    <row r="323" spans="1:53" ht="39" customHeight="1">
      <c r="A323" s="57"/>
      <c r="B323" s="57"/>
      <c r="C323" s="54" t="str">
        <f>"and their respective accumulated depreciation and amortization are as at the start of "&amp;TRIM('Financial Stat.'!B318)&amp;"."</f>
        <v>and their respective accumulated depreciation and amortization are as at the start of 2025.</v>
      </c>
      <c r="D323" s="57"/>
      <c r="E323" s="57"/>
      <c r="F323" s="57"/>
      <c r="G323" s="57"/>
      <c r="U323" s="55"/>
      <c r="V323" s="55"/>
      <c r="W323" s="55"/>
      <c r="X323" s="55"/>
      <c r="Y323" s="55"/>
      <c r="Z323" s="55"/>
      <c r="AA323" s="55"/>
      <c r="AB323" s="55" t="s">
        <v>133</v>
      </c>
      <c r="AC323" s="55"/>
      <c r="AD323" s="55"/>
      <c r="AE323" s="55"/>
      <c r="AF323" s="55"/>
      <c r="AG323" s="55"/>
      <c r="AH323" s="55"/>
      <c r="AI323" s="55"/>
      <c r="AJ323" s="55"/>
      <c r="AK323" s="55"/>
      <c r="AL323" s="55"/>
      <c r="AM323" s="55"/>
      <c r="AN323" s="55">
        <f>P236*D236</f>
        <v>0</v>
      </c>
      <c r="AO323" s="55">
        <f>IF($AN323*2&gt;$P236,IF($AN323*2-$P236&lt;$AN323,$P236-$AN323*1,0),$AN323)</f>
        <v>0</v>
      </c>
      <c r="AP323" s="55">
        <f>IF($AN323*3&gt;$P236,IF($AN323*3-$P236&lt;$AN323,$P236-$AN323*2,0),$AN323)</f>
        <v>0</v>
      </c>
      <c r="AQ323" s="55">
        <f>IF($AN323*4&gt;$P236,IF($AN323*4-$P236&lt;$AN323,$P236-$AN323*3,0),$AN323)</f>
        <v>0</v>
      </c>
      <c r="AR323" s="55">
        <f>IF($AN323*5&gt;$P236,IF($AN323*5-$P236&lt;$AN323,$P236-$AN323*4,0),$AN323)</f>
        <v>0</v>
      </c>
      <c r="AS323" s="55">
        <f>IF($AN323*6&gt;$P236,IF($AN323*6-$P236&lt;$AN323,$P236-$AN323*5,0),$AN323)</f>
        <v>0</v>
      </c>
      <c r="AT323" s="55">
        <f>IF($AN323*7&gt;$P236,IF($AN323*7-$P236&lt;$AN323,$P236-$AN323*6,0),$AN323)</f>
        <v>0</v>
      </c>
      <c r="AU323" s="55">
        <f>IF($AN323*8&gt;$P236,IF($AN323*8-$P236&lt;$AN323,$P236-$AN323*7,0),$AN323)</f>
        <v>0</v>
      </c>
      <c r="AV323" s="55">
        <f>IF($AN323*9&gt;$P236,IF($AN323*9-$P236&lt;$AN323,$P236-$AN323*8,0),$AN323)</f>
        <v>0</v>
      </c>
      <c r="AW323" s="55"/>
      <c r="AZ323" s="111"/>
      <c r="BA323" s="111"/>
    </row>
    <row r="324" spans="1:53" ht="39" customHeight="1">
      <c r="A324" s="57"/>
      <c r="B324" s="57"/>
      <c r="C324" s="54" t="str">
        <f>"As such they represent those assets that would be in place at the end of "&amp;TRIM('Financial Stat.'!B318)&amp;" if there were"</f>
        <v>As such they represent those assets that would be in place at the end of 2025 if there were</v>
      </c>
      <c r="D324" s="57"/>
      <c r="E324" s="57"/>
      <c r="F324" s="57"/>
      <c r="G324" s="57"/>
      <c r="U324" s="55"/>
      <c r="V324" s="55"/>
      <c r="W324" s="55"/>
      <c r="X324" s="55"/>
      <c r="Y324" s="55"/>
      <c r="Z324" s="55"/>
      <c r="AA324" s="55"/>
      <c r="AB324" s="55" t="s">
        <v>144</v>
      </c>
      <c r="AC324" s="55"/>
      <c r="AD324" s="55"/>
      <c r="AE324" s="55"/>
      <c r="AF324" s="55"/>
      <c r="AG324" s="55"/>
      <c r="AH324" s="55"/>
      <c r="AI324" s="55"/>
      <c r="AJ324" s="55"/>
      <c r="AK324" s="55"/>
      <c r="AL324" s="55"/>
      <c r="AM324" s="55"/>
      <c r="AN324" s="55">
        <f>P237*D237</f>
        <v>0</v>
      </c>
      <c r="AO324" s="55">
        <f>IF($AN324*2&gt;$P237,IF($AN324*2-$P237&lt;$AN324,$P237-$AN324*1,0),$AN324)</f>
        <v>0</v>
      </c>
      <c r="AP324" s="55">
        <f>IF($AN324*3&gt;$P237,IF($AN324*3-$P237&lt;$AN324,$P237-$AN324*2,0),$AN324)</f>
        <v>0</v>
      </c>
      <c r="AQ324" s="55">
        <f>IF($AN324*4&gt;$P237,IF($AN324*4-$P237&lt;$AN324,$P237-$AN324*3,0),$AN324)</f>
        <v>0</v>
      </c>
      <c r="AR324" s="55">
        <f>IF($AN324*5&gt;$P237,IF($AN324*5-$P237&lt;$AN324,$P237-$AN324*4,0),$AN324)</f>
        <v>0</v>
      </c>
      <c r="AS324" s="55">
        <f>IF($AN324*6&gt;$P237,IF($AN324*6-$P237&lt;$AN324,$P237-$AN324*5,0),$AN324)</f>
        <v>0</v>
      </c>
      <c r="AT324" s="55">
        <f>IF($AN324*7&gt;$P237,IF($AN324*7-$P237&lt;$AN324,$P237-$AN324*6,0),$AN324)</f>
        <v>0</v>
      </c>
      <c r="AU324" s="55">
        <f>IF($AN324*8&gt;$P237,IF($AN324*8-$P237&lt;$AN324,$P237-$AN324*7,0),$AN324)</f>
        <v>0</v>
      </c>
      <c r="AV324" s="55">
        <f>IF($AN324*9&gt;$P237,IF($AN324*9-$P237&lt;$AN324,$P237-$AN324*8,0),$AN324)</f>
        <v>0</v>
      </c>
      <c r="AW324" s="55"/>
      <c r="AZ324" s="111"/>
      <c r="BA324" s="111"/>
    </row>
    <row r="325" spans="1:53" ht="39" customHeight="1">
      <c r="A325" s="57"/>
      <c r="B325" s="57"/>
      <c r="C325" s="54" t="s">
        <v>189</v>
      </c>
      <c r="D325" s="57"/>
      <c r="E325" s="57"/>
      <c r="F325" s="57"/>
      <c r="G325" s="57"/>
      <c r="AB325" s="55"/>
      <c r="AC325" s="55"/>
      <c r="AD325" s="55"/>
      <c r="AE325" s="55"/>
      <c r="AF325" s="55"/>
      <c r="AG325" s="55"/>
      <c r="AH325" s="55"/>
      <c r="AI325" s="55"/>
      <c r="AJ325" s="55"/>
      <c r="AK325" s="55"/>
      <c r="AL325" s="55"/>
      <c r="AM325" s="55"/>
      <c r="AN325" s="55"/>
      <c r="AO325" s="55"/>
      <c r="AP325" s="55"/>
      <c r="AQ325" s="55"/>
      <c r="AR325" s="55"/>
      <c r="AS325" s="55"/>
      <c r="AT325" s="55"/>
      <c r="AU325" s="55"/>
      <c r="AV325" s="55"/>
      <c r="AW325" s="55"/>
      <c r="AZ325" s="111"/>
      <c r="BA325" s="111"/>
    </row>
    <row r="326" spans="1:53" ht="39" customHeight="1">
      <c r="A326" s="57"/>
      <c r="B326" s="57"/>
      <c r="C326" s="54" t="s">
        <v>190</v>
      </c>
      <c r="D326" s="57"/>
      <c r="E326" s="57"/>
      <c r="F326" s="57"/>
      <c r="G326" s="57"/>
      <c r="AB326" s="55" t="s">
        <v>109</v>
      </c>
      <c r="AC326" s="55">
        <f t="shared" ref="AC326:AV326" si="209">ROUND(SUM(AC204:AC324),0)</f>
        <v>0</v>
      </c>
      <c r="AD326" s="55">
        <f t="shared" si="209"/>
        <v>1100</v>
      </c>
      <c r="AE326" s="55">
        <f t="shared" si="209"/>
        <v>701</v>
      </c>
      <c r="AF326" s="55">
        <f t="shared" si="209"/>
        <v>701</v>
      </c>
      <c r="AG326" s="55">
        <f t="shared" si="209"/>
        <v>701</v>
      </c>
      <c r="AH326" s="55">
        <f t="shared" si="209"/>
        <v>701</v>
      </c>
      <c r="AI326" s="55">
        <f t="shared" si="209"/>
        <v>629</v>
      </c>
      <c r="AJ326" s="55">
        <f t="shared" si="209"/>
        <v>629</v>
      </c>
      <c r="AK326" s="55">
        <f t="shared" si="209"/>
        <v>629</v>
      </c>
      <c r="AL326" s="55">
        <f t="shared" si="209"/>
        <v>629</v>
      </c>
      <c r="AM326" s="55">
        <f t="shared" si="209"/>
        <v>629</v>
      </c>
      <c r="AN326" s="55">
        <f t="shared" si="209"/>
        <v>629</v>
      </c>
      <c r="AO326" s="55">
        <f t="shared" si="209"/>
        <v>629</v>
      </c>
      <c r="AP326" s="55">
        <f t="shared" si="209"/>
        <v>629</v>
      </c>
      <c r="AQ326" s="55">
        <f t="shared" si="209"/>
        <v>629</v>
      </c>
      <c r="AR326" s="55">
        <f t="shared" si="209"/>
        <v>629</v>
      </c>
      <c r="AS326" s="55">
        <f t="shared" si="209"/>
        <v>629</v>
      </c>
      <c r="AT326" s="55">
        <f t="shared" si="209"/>
        <v>629</v>
      </c>
      <c r="AU326" s="55">
        <f t="shared" si="209"/>
        <v>629</v>
      </c>
      <c r="AV326" s="55">
        <f t="shared" si="209"/>
        <v>629</v>
      </c>
      <c r="AW326" s="55"/>
      <c r="AZ326" s="111"/>
      <c r="BA326" s="111"/>
    </row>
    <row r="327" spans="1:53" ht="39" hidden="1" customHeight="1">
      <c r="A327" s="57"/>
      <c r="B327" s="57"/>
      <c r="D327" s="57"/>
      <c r="E327" s="57"/>
      <c r="F327" s="57"/>
      <c r="G327" s="57"/>
      <c r="AB327" s="111"/>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row>
    <row r="328" spans="1:53" ht="39" hidden="1" customHeight="1">
      <c r="A328" s="57"/>
      <c r="B328" s="57"/>
      <c r="C328" s="57"/>
      <c r="D328" s="57"/>
      <c r="E328" s="57"/>
      <c r="F328" s="57"/>
      <c r="G328" s="57"/>
      <c r="AB328" s="111"/>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row>
    <row r="329" spans="1:53" ht="39" customHeight="1" thickBot="1">
      <c r="A329" s="57"/>
      <c r="B329" s="57"/>
      <c r="AB329" s="111"/>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row>
    <row r="330" spans="1:53" ht="39" customHeight="1" thickTop="1">
      <c r="A330" s="57"/>
      <c r="B330" s="57"/>
      <c r="D330" s="73" t="s">
        <v>191</v>
      </c>
      <c r="E330" s="114" t="s">
        <v>192</v>
      </c>
      <c r="F330" s="113" t="str">
        <f>"                   "&amp;'Financial Stat.'!B318</f>
        <v xml:space="preserve">                     2025</v>
      </c>
      <c r="G330" s="112"/>
      <c r="H330" s="59"/>
      <c r="U330" s="55"/>
      <c r="V330" s="55"/>
      <c r="W330" s="55"/>
      <c r="X330" s="55"/>
      <c r="Y330" s="55"/>
      <c r="Z330" s="55"/>
      <c r="AA330" s="55"/>
      <c r="AB330" s="111"/>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row>
    <row r="331" spans="1:53" ht="39" customHeight="1" thickBot="1">
      <c r="A331" s="57"/>
      <c r="B331" s="57"/>
      <c r="D331" s="71" t="s">
        <v>193</v>
      </c>
      <c r="E331" s="70" t="s">
        <v>194</v>
      </c>
      <c r="F331" s="519" t="s">
        <v>194</v>
      </c>
      <c r="G331" s="520" t="s">
        <v>195</v>
      </c>
      <c r="H331" s="59"/>
      <c r="U331" s="55"/>
      <c r="V331" s="55"/>
      <c r="W331" s="55"/>
      <c r="X331" s="55"/>
      <c r="Y331" s="55"/>
      <c r="Z331" s="55"/>
      <c r="AA331" s="55"/>
      <c r="AB331" s="55"/>
      <c r="AC331" s="55"/>
    </row>
    <row r="332" spans="1:53" ht="39" customHeight="1" thickTop="1">
      <c r="A332" s="57"/>
      <c r="B332" s="57"/>
      <c r="C332" s="110" t="s">
        <v>138</v>
      </c>
      <c r="D332" s="109" t="s">
        <v>70</v>
      </c>
      <c r="E332" s="108" t="s">
        <v>70</v>
      </c>
      <c r="F332" s="108" t="s">
        <v>70</v>
      </c>
      <c r="G332" s="108" t="s">
        <v>70</v>
      </c>
      <c r="H332" s="59"/>
      <c r="U332" s="55"/>
      <c r="V332" s="55"/>
      <c r="W332" s="55"/>
      <c r="X332" s="55"/>
      <c r="Y332" s="55"/>
      <c r="Z332" s="55"/>
      <c r="AA332" s="55"/>
      <c r="AB332" s="55"/>
      <c r="AC332" s="55"/>
      <c r="AD332" s="55"/>
      <c r="AE332" s="55"/>
      <c r="AF332" s="55"/>
      <c r="AG332" s="55"/>
      <c r="AH332" s="55"/>
      <c r="AI332" s="55"/>
      <c r="AJ332" s="55"/>
      <c r="AK332" s="55"/>
      <c r="AL332" s="55"/>
      <c r="AM332" s="55"/>
      <c r="AN332" s="55"/>
      <c r="AO332" s="55"/>
      <c r="AP332" s="55"/>
      <c r="AQ332" s="55"/>
      <c r="AR332" s="55"/>
      <c r="AS332" s="55"/>
      <c r="AT332" s="55"/>
      <c r="AU332" s="55"/>
      <c r="AV332" s="55"/>
      <c r="AW332" s="55"/>
      <c r="AX332" s="55"/>
      <c r="AY332" s="55"/>
    </row>
    <row r="333" spans="1:53" ht="39" customHeight="1">
      <c r="C333" s="76" t="s">
        <v>30</v>
      </c>
      <c r="D333" s="102"/>
      <c r="E333" s="107" t="s">
        <v>139</v>
      </c>
      <c r="F333" s="106" t="s">
        <v>139</v>
      </c>
      <c r="G333" s="106" t="s">
        <v>139</v>
      </c>
      <c r="H333" s="59"/>
      <c r="U333" s="55"/>
      <c r="V333" s="55"/>
      <c r="W333" s="55"/>
      <c r="X333" s="55"/>
      <c r="Y333" s="55"/>
      <c r="Z333" s="55"/>
      <c r="AA333" s="55"/>
      <c r="AB333" s="55"/>
      <c r="AC333" s="55"/>
      <c r="AD333" s="55"/>
      <c r="AE333" s="55"/>
      <c r="AF333" s="55"/>
      <c r="AG333" s="55"/>
      <c r="AH333" s="55"/>
      <c r="AI333" s="55"/>
      <c r="AJ333" s="55"/>
      <c r="AK333" s="55"/>
      <c r="AL333" s="55"/>
      <c r="AM333" s="55"/>
      <c r="AN333" s="55"/>
      <c r="AO333" s="55"/>
      <c r="AP333" s="55"/>
      <c r="AQ333" s="55"/>
      <c r="AR333" s="55"/>
      <c r="AS333" s="55"/>
      <c r="AT333" s="55"/>
      <c r="AU333" s="55"/>
      <c r="AV333" s="55"/>
      <c r="AW333" s="55"/>
      <c r="AX333" s="55"/>
      <c r="AY333" s="55"/>
    </row>
    <row r="334" spans="1:53" ht="39" customHeight="1">
      <c r="C334" s="76" t="s">
        <v>31</v>
      </c>
      <c r="D334" s="102"/>
      <c r="E334" s="101"/>
      <c r="F334" s="105">
        <f>IF(D334=0,0,ROUND(IF($D$334*$D$227&gt;$D$334-$E$334,$D$334-$E$334,$D$334*$D$227),0))</f>
        <v>0</v>
      </c>
      <c r="G334" s="105">
        <f t="shared" ref="G334:G339" si="210">ROUND(D334*E227,0)</f>
        <v>0</v>
      </c>
      <c r="H334" s="59"/>
      <c r="U334" s="55"/>
      <c r="V334" s="55"/>
      <c r="W334" s="55"/>
      <c r="X334" s="55"/>
      <c r="Y334" s="55"/>
      <c r="Z334" s="55"/>
      <c r="AA334" s="55"/>
      <c r="AB334" s="55"/>
      <c r="AC334" s="55"/>
      <c r="AD334" s="55"/>
      <c r="AE334" s="55"/>
      <c r="AF334" s="55"/>
      <c r="AG334" s="55"/>
      <c r="AH334" s="55"/>
      <c r="AI334" s="55"/>
      <c r="AJ334" s="55"/>
      <c r="AK334" s="55"/>
      <c r="AL334" s="55"/>
      <c r="AM334" s="55"/>
      <c r="AN334" s="55"/>
      <c r="AO334" s="55"/>
      <c r="AP334" s="55"/>
      <c r="AQ334" s="55"/>
      <c r="AR334" s="55"/>
      <c r="AS334" s="55"/>
      <c r="AT334" s="55"/>
      <c r="AU334" s="55"/>
      <c r="AV334" s="55"/>
      <c r="AW334" s="55"/>
      <c r="AX334" s="55"/>
      <c r="AY334" s="55"/>
    </row>
    <row r="335" spans="1:53" ht="39" customHeight="1">
      <c r="C335" s="76" t="s">
        <v>32</v>
      </c>
      <c r="D335" s="102"/>
      <c r="E335" s="101"/>
      <c r="F335" s="105">
        <f>IF(D335=0,0,ROUND(IF(D335*D228&gt;D335-E335,D335-E335,D335*D228),0))</f>
        <v>0</v>
      </c>
      <c r="G335" s="105">
        <f t="shared" si="210"/>
        <v>0</v>
      </c>
      <c r="H335" s="59"/>
      <c r="U335" s="55"/>
      <c r="V335" s="55"/>
      <c r="W335" s="55"/>
      <c r="X335" s="55"/>
      <c r="Y335" s="55"/>
      <c r="Z335" s="55"/>
      <c r="AA335" s="55"/>
      <c r="AB335" s="55"/>
      <c r="AC335" s="55"/>
      <c r="AD335" s="55"/>
      <c r="AE335" s="55"/>
      <c r="AF335" s="55"/>
      <c r="AG335" s="55"/>
      <c r="AH335" s="55"/>
      <c r="AI335" s="55"/>
      <c r="AJ335" s="55"/>
      <c r="AK335" s="55"/>
      <c r="AL335" s="55"/>
      <c r="AM335" s="55"/>
      <c r="AN335" s="55"/>
      <c r="AO335" s="55"/>
      <c r="AP335" s="55"/>
      <c r="AQ335" s="55"/>
      <c r="AR335" s="55"/>
      <c r="AS335" s="55"/>
      <c r="AT335" s="55"/>
      <c r="AU335" s="55"/>
      <c r="AV335" s="55"/>
      <c r="AW335" s="55"/>
      <c r="AX335" s="55"/>
      <c r="AY335" s="55"/>
    </row>
    <row r="336" spans="1:53" ht="39" customHeight="1">
      <c r="C336" s="76" t="s">
        <v>33</v>
      </c>
      <c r="D336" s="102"/>
      <c r="E336" s="101"/>
      <c r="F336" s="105">
        <f>IF(D336=0,0,ROUND(IF(D336*D229&gt;D336-E336,D336-E336,D336*D229),0))</f>
        <v>0</v>
      </c>
      <c r="G336" s="105">
        <f t="shared" si="210"/>
        <v>0</v>
      </c>
      <c r="H336" s="59"/>
      <c r="U336" s="55"/>
      <c r="V336" s="55"/>
      <c r="W336" s="55"/>
      <c r="X336" s="55"/>
      <c r="Y336" s="55"/>
      <c r="Z336" s="55"/>
      <c r="AA336" s="55"/>
      <c r="AB336" s="55"/>
      <c r="AC336" s="55"/>
      <c r="AD336" s="55"/>
      <c r="AE336" s="55"/>
      <c r="AF336" s="55"/>
      <c r="AG336" s="55"/>
      <c r="AH336" s="55"/>
      <c r="AI336" s="55"/>
      <c r="AJ336" s="55"/>
      <c r="AK336" s="55"/>
      <c r="AL336" s="55"/>
      <c r="AM336" s="55"/>
      <c r="AN336" s="55"/>
      <c r="AO336" s="55"/>
      <c r="AP336" s="55"/>
      <c r="AQ336" s="55"/>
      <c r="AR336" s="55"/>
      <c r="AS336" s="55"/>
      <c r="AT336" s="55"/>
      <c r="AU336" s="55"/>
      <c r="AV336" s="55"/>
      <c r="AW336" s="55"/>
      <c r="AX336" s="55"/>
      <c r="AY336" s="55"/>
    </row>
    <row r="337" spans="1:51" ht="39" customHeight="1">
      <c r="C337" s="76" t="s">
        <v>34</v>
      </c>
      <c r="D337" s="102"/>
      <c r="E337" s="101"/>
      <c r="F337" s="105">
        <f>IF(D337=0,0,ROUND(IF(D337*D230&gt;D337-E337,D337-E337,D337*D230),0))</f>
        <v>0</v>
      </c>
      <c r="G337" s="105">
        <f t="shared" si="210"/>
        <v>0</v>
      </c>
      <c r="H337" s="59"/>
      <c r="U337" s="55"/>
      <c r="V337" s="55"/>
      <c r="W337" s="55"/>
      <c r="X337" s="55"/>
      <c r="Y337" s="55"/>
      <c r="Z337" s="55"/>
      <c r="AA337" s="55"/>
      <c r="AB337" s="55"/>
      <c r="AC337" s="55"/>
      <c r="AD337" s="55"/>
      <c r="AE337" s="55"/>
      <c r="AF337" s="55"/>
      <c r="AG337" s="55"/>
      <c r="AH337" s="55"/>
      <c r="AI337" s="55"/>
      <c r="AJ337" s="55"/>
      <c r="AK337" s="55"/>
      <c r="AL337" s="55"/>
      <c r="AM337" s="55"/>
      <c r="AN337" s="55"/>
      <c r="AO337" s="55"/>
      <c r="AP337" s="55"/>
      <c r="AQ337" s="55"/>
      <c r="AR337" s="55"/>
      <c r="AS337" s="55"/>
      <c r="AT337" s="55"/>
      <c r="AU337" s="55"/>
      <c r="AV337" s="55"/>
      <c r="AW337" s="55"/>
      <c r="AX337" s="55"/>
      <c r="AY337" s="55"/>
    </row>
    <row r="338" spans="1:51" ht="39" customHeight="1">
      <c r="C338" s="76" t="s">
        <v>124</v>
      </c>
      <c r="D338" s="102"/>
      <c r="E338" s="101"/>
      <c r="F338" s="105">
        <f>IF(D338=0,0,ROUND(IF(D338*D231&gt;D338-E338,D338-E338,D338*D231),0))</f>
        <v>0</v>
      </c>
      <c r="G338" s="105">
        <f t="shared" si="210"/>
        <v>0</v>
      </c>
      <c r="H338" s="59"/>
      <c r="U338" s="55"/>
      <c r="V338" s="55"/>
      <c r="W338" s="55"/>
      <c r="X338" s="55"/>
      <c r="Y338" s="55"/>
      <c r="Z338" s="55"/>
      <c r="AA338" s="55"/>
      <c r="AB338" s="55"/>
      <c r="AC338" s="55"/>
      <c r="AD338" s="55"/>
      <c r="AE338" s="55"/>
      <c r="AF338" s="55"/>
      <c r="AG338" s="55"/>
      <c r="AH338" s="55"/>
      <c r="AI338" s="55"/>
      <c r="AJ338" s="55"/>
      <c r="AK338" s="55"/>
      <c r="AL338" s="55"/>
      <c r="AM338" s="55"/>
      <c r="AN338" s="55"/>
      <c r="AO338" s="55"/>
      <c r="AP338" s="55"/>
      <c r="AQ338" s="55"/>
      <c r="AR338" s="55"/>
      <c r="AS338" s="55"/>
      <c r="AT338" s="55"/>
      <c r="AU338" s="55"/>
      <c r="AV338" s="55"/>
      <c r="AW338" s="55"/>
      <c r="AX338" s="55"/>
      <c r="AY338" s="55"/>
    </row>
    <row r="339" spans="1:51" ht="39" customHeight="1">
      <c r="C339" s="76" t="s">
        <v>540</v>
      </c>
      <c r="D339" s="102"/>
      <c r="E339" s="101"/>
      <c r="F339" s="105">
        <f>IF(D339=0,0,ROUND(IF(D339*D232&gt;D339-E339,D339-E339,D339*D232),0))</f>
        <v>0</v>
      </c>
      <c r="G339" s="105">
        <f t="shared" si="210"/>
        <v>0</v>
      </c>
      <c r="H339" s="59"/>
      <c r="U339" s="55"/>
      <c r="V339" s="55"/>
      <c r="W339" s="55"/>
      <c r="X339" s="55"/>
      <c r="Y339" s="55"/>
      <c r="Z339" s="55"/>
      <c r="AA339" s="55"/>
      <c r="AB339" s="55"/>
      <c r="AC339" s="55"/>
      <c r="AD339" s="55"/>
      <c r="AE339" s="55"/>
      <c r="AF339" s="55"/>
      <c r="AG339" s="55"/>
      <c r="AH339" s="55"/>
      <c r="AI339" s="55"/>
      <c r="AJ339" s="55"/>
      <c r="AK339" s="55"/>
      <c r="AL339" s="55"/>
      <c r="AM339" s="55"/>
      <c r="AN339" s="55"/>
      <c r="AO339" s="55"/>
      <c r="AP339" s="55"/>
      <c r="AQ339" s="55"/>
      <c r="AR339" s="55"/>
      <c r="AS339" s="55"/>
      <c r="AT339" s="55"/>
      <c r="AU339" s="55"/>
      <c r="AV339" s="55"/>
      <c r="AW339" s="55"/>
      <c r="AX339" s="55"/>
      <c r="AY339" s="55"/>
    </row>
    <row r="340" spans="1:51" ht="39" customHeight="1" thickBot="1">
      <c r="C340" s="76"/>
      <c r="D340" s="95" t="s">
        <v>70</v>
      </c>
      <c r="E340" s="99" t="s">
        <v>70</v>
      </c>
      <c r="F340" s="99" t="s">
        <v>70</v>
      </c>
      <c r="G340" s="99" t="s">
        <v>70</v>
      </c>
      <c r="H340" s="59"/>
      <c r="U340" s="55"/>
      <c r="V340" s="55"/>
      <c r="W340" s="55"/>
      <c r="X340" s="55"/>
      <c r="Y340" s="55"/>
      <c r="Z340" s="55"/>
      <c r="AA340" s="55"/>
      <c r="AB340" s="55"/>
      <c r="AC340" s="55"/>
      <c r="AD340" s="55"/>
      <c r="AE340" s="55"/>
      <c r="AF340" s="55"/>
      <c r="AG340" s="55"/>
      <c r="AH340" s="55"/>
      <c r="AI340" s="55"/>
      <c r="AJ340" s="55"/>
      <c r="AK340" s="55"/>
      <c r="AL340" s="55"/>
      <c r="AM340" s="55"/>
      <c r="AN340" s="55"/>
      <c r="AO340" s="55"/>
      <c r="AP340" s="55"/>
      <c r="AQ340" s="55"/>
      <c r="AR340" s="55"/>
      <c r="AS340" s="55"/>
      <c r="AT340" s="55"/>
      <c r="AU340" s="55"/>
      <c r="AV340" s="55"/>
      <c r="AW340" s="55"/>
      <c r="AX340" s="55"/>
      <c r="AY340" s="55"/>
    </row>
    <row r="341" spans="1:51" ht="39" customHeight="1" thickTop="1" thickBot="1">
      <c r="C341" s="98" t="s">
        <v>196</v>
      </c>
      <c r="D341" s="96">
        <f>ROUND(SUM(D333:D339),0)</f>
        <v>0</v>
      </c>
      <c r="E341" s="97">
        <f>ROUND(SUM(E334:E339),0)</f>
        <v>0</v>
      </c>
      <c r="F341" s="97">
        <f>ROUND(SUM(F334:F339),0)</f>
        <v>0</v>
      </c>
      <c r="G341" s="97">
        <f>ROUND(SUM(G334:G339),0)</f>
        <v>0</v>
      </c>
      <c r="H341" s="59"/>
      <c r="U341" s="55"/>
      <c r="V341" s="55"/>
      <c r="W341" s="55"/>
      <c r="X341" s="55"/>
      <c r="Y341" s="55"/>
      <c r="Z341" s="55"/>
      <c r="AA341" s="55"/>
      <c r="AB341" s="55"/>
      <c r="AC341" s="55"/>
      <c r="AD341" s="55"/>
      <c r="AE341" s="55"/>
      <c r="AF341" s="55"/>
      <c r="AG341" s="55"/>
      <c r="AH341" s="55"/>
      <c r="AI341" s="55"/>
      <c r="AJ341" s="55"/>
      <c r="AK341" s="55"/>
      <c r="AL341" s="55"/>
      <c r="AM341" s="55"/>
      <c r="AN341" s="55"/>
      <c r="AO341" s="55"/>
      <c r="AP341" s="55"/>
      <c r="AQ341" s="55"/>
      <c r="AR341" s="55"/>
      <c r="AS341" s="55"/>
      <c r="AT341" s="55"/>
      <c r="AU341" s="55"/>
      <c r="AV341" s="55"/>
      <c r="AW341" s="55"/>
      <c r="AX341" s="55"/>
      <c r="AY341" s="55"/>
    </row>
    <row r="342" spans="1:51" ht="39" customHeight="1" thickTop="1">
      <c r="C342" s="521" t="s">
        <v>141</v>
      </c>
      <c r="D342" s="103" t="s">
        <v>70</v>
      </c>
      <c r="E342" s="104" t="s">
        <v>70</v>
      </c>
      <c r="F342" s="103" t="s">
        <v>70</v>
      </c>
      <c r="G342" s="103" t="s">
        <v>70</v>
      </c>
      <c r="U342" s="55"/>
      <c r="V342" s="55"/>
      <c r="W342" s="55"/>
      <c r="X342" s="55"/>
      <c r="Y342" s="55"/>
      <c r="Z342" s="55"/>
      <c r="AA342" s="55"/>
      <c r="AB342" s="55"/>
      <c r="AC342" s="55"/>
      <c r="AD342" s="55"/>
      <c r="AE342" s="55"/>
      <c r="AF342" s="55"/>
      <c r="AG342" s="55"/>
      <c r="AH342" s="55"/>
      <c r="AI342" s="55"/>
      <c r="AJ342" s="55"/>
      <c r="AK342" s="55"/>
      <c r="AL342" s="55"/>
      <c r="AM342" s="55"/>
      <c r="AN342" s="55"/>
      <c r="AO342" s="55"/>
      <c r="AP342" s="55"/>
      <c r="AQ342" s="55"/>
      <c r="AR342" s="55"/>
      <c r="AS342" s="55"/>
      <c r="AT342" s="55"/>
      <c r="AU342" s="55"/>
      <c r="AV342" s="55"/>
      <c r="AW342" s="55"/>
      <c r="AX342" s="55"/>
      <c r="AY342" s="55"/>
    </row>
    <row r="343" spans="1:51" ht="39" customHeight="1">
      <c r="C343" s="76" t="s">
        <v>125</v>
      </c>
      <c r="D343" s="102"/>
      <c r="E343" s="101"/>
      <c r="F343" s="100">
        <f>IF(D343=0,0,ROUND(IF(D343*D236&gt;D343-E343,D343-E343,D343*D236),0))</f>
        <v>0</v>
      </c>
      <c r="G343" s="95"/>
      <c r="U343" s="55"/>
      <c r="V343" s="55"/>
      <c r="W343" s="55"/>
      <c r="X343" s="55"/>
      <c r="Y343" s="55"/>
      <c r="Z343" s="55"/>
      <c r="AA343" s="55"/>
      <c r="AB343" s="55"/>
      <c r="AC343" s="55"/>
      <c r="AD343" s="55"/>
      <c r="AE343" s="55"/>
      <c r="AF343" s="55"/>
      <c r="AG343" s="55"/>
      <c r="AH343" s="55"/>
      <c r="AI343" s="55"/>
      <c r="AJ343" s="55"/>
      <c r="AK343" s="55"/>
      <c r="AL343" s="55"/>
      <c r="AM343" s="55"/>
      <c r="AN343" s="55"/>
      <c r="AO343" s="55"/>
      <c r="AP343" s="55"/>
      <c r="AQ343" s="55"/>
      <c r="AR343" s="55"/>
      <c r="AS343" s="55"/>
      <c r="AT343" s="55"/>
      <c r="AU343" s="55"/>
      <c r="AV343" s="55"/>
      <c r="AW343" s="55"/>
      <c r="AX343" s="55"/>
      <c r="AY343" s="55"/>
    </row>
    <row r="344" spans="1:51" ht="39" customHeight="1">
      <c r="C344" s="76" t="s">
        <v>197</v>
      </c>
      <c r="D344" s="102"/>
      <c r="E344" s="101"/>
      <c r="F344" s="100">
        <f>IF(D344=0,0,ROUND(IF(D344*D237&gt;D344-E344,D344-E344,D344*D237),0))</f>
        <v>0</v>
      </c>
      <c r="G344" s="95"/>
      <c r="U344" s="55"/>
      <c r="V344" s="55"/>
      <c r="W344" s="55"/>
      <c r="X344" s="55"/>
      <c r="Y344" s="55"/>
      <c r="Z344" s="55"/>
      <c r="AA344" s="55"/>
      <c r="AB344" s="55"/>
      <c r="AC344" s="55"/>
      <c r="AD344" s="55"/>
      <c r="AE344" s="55"/>
      <c r="AF344" s="55"/>
      <c r="AG344" s="55"/>
      <c r="AH344" s="55"/>
      <c r="AI344" s="55"/>
      <c r="AJ344" s="55"/>
      <c r="AK344" s="55"/>
      <c r="AL344" s="55"/>
      <c r="AM344" s="55"/>
      <c r="AN344" s="55"/>
      <c r="AO344" s="55"/>
      <c r="AP344" s="55"/>
      <c r="AQ344" s="55"/>
      <c r="AR344" s="55"/>
      <c r="AS344" s="55"/>
      <c r="AT344" s="55"/>
      <c r="AU344" s="55"/>
      <c r="AV344" s="55"/>
      <c r="AW344" s="55"/>
      <c r="AX344" s="55"/>
      <c r="AY344" s="55"/>
    </row>
    <row r="345" spans="1:51" ht="39" customHeight="1" thickBot="1">
      <c r="C345" s="76"/>
      <c r="D345" s="95" t="s">
        <v>70</v>
      </c>
      <c r="E345" s="99" t="s">
        <v>70</v>
      </c>
      <c r="F345" s="95" t="s">
        <v>198</v>
      </c>
      <c r="G345" s="95"/>
      <c r="U345" s="55"/>
      <c r="V345" s="55"/>
      <c r="W345" s="55"/>
      <c r="X345" s="55"/>
      <c r="Y345" s="55"/>
      <c r="Z345" s="55"/>
      <c r="AA345" s="55"/>
      <c r="AB345" s="55"/>
      <c r="AC345" s="55"/>
      <c r="AD345" s="55"/>
      <c r="AE345" s="55"/>
      <c r="AF345" s="55"/>
      <c r="AG345" s="55"/>
      <c r="AH345" s="55"/>
      <c r="AI345" s="55"/>
      <c r="AJ345" s="55"/>
      <c r="AK345" s="55"/>
      <c r="AL345" s="55"/>
      <c r="AM345" s="55"/>
      <c r="AN345" s="55"/>
      <c r="AO345" s="55"/>
      <c r="AP345" s="55"/>
      <c r="AQ345" s="55"/>
      <c r="AR345" s="55"/>
      <c r="AS345" s="55"/>
      <c r="AT345" s="55"/>
      <c r="AU345" s="55"/>
      <c r="AV345" s="55"/>
      <c r="AW345" s="55"/>
      <c r="AX345" s="55"/>
      <c r="AY345" s="55"/>
    </row>
    <row r="346" spans="1:51" ht="39" customHeight="1" thickTop="1" thickBot="1">
      <c r="C346" s="98" t="s">
        <v>199</v>
      </c>
      <c r="D346" s="96">
        <f>ROUND(D343+D344,0)</f>
        <v>0</v>
      </c>
      <c r="E346" s="97">
        <f>ROUND(E343+E344,0)</f>
        <v>0</v>
      </c>
      <c r="F346" s="96">
        <f>ROUND(F343+F344,0)</f>
        <v>0</v>
      </c>
      <c r="G346" s="95"/>
      <c r="U346" s="55"/>
      <c r="V346" s="55"/>
      <c r="W346" s="55"/>
      <c r="X346" s="55"/>
      <c r="Y346" s="55"/>
      <c r="Z346" s="55"/>
      <c r="AA346" s="55"/>
      <c r="AB346" s="55"/>
      <c r="AC346" s="55"/>
      <c r="AD346" s="55"/>
      <c r="AE346" s="55"/>
      <c r="AF346" s="55"/>
      <c r="AG346" s="55"/>
      <c r="AH346" s="55"/>
      <c r="AI346" s="55"/>
      <c r="AJ346" s="55"/>
      <c r="AK346" s="55"/>
      <c r="AL346" s="55"/>
      <c r="AM346" s="55"/>
      <c r="AN346" s="55"/>
      <c r="AO346" s="55"/>
      <c r="AP346" s="55"/>
      <c r="AQ346" s="55"/>
      <c r="AR346" s="55"/>
      <c r="AS346" s="55"/>
      <c r="AT346" s="55"/>
      <c r="AU346" s="55"/>
      <c r="AV346" s="55"/>
      <c r="AW346" s="55"/>
      <c r="AX346" s="55"/>
      <c r="AY346" s="55"/>
    </row>
    <row r="347" spans="1:51" ht="39" customHeight="1" thickTop="1">
      <c r="C347" s="58"/>
      <c r="D347" s="58"/>
      <c r="E347" s="58"/>
      <c r="F347" s="58"/>
      <c r="U347" s="55"/>
      <c r="V347" s="55"/>
      <c r="W347" s="55"/>
      <c r="X347" s="55"/>
      <c r="Y347" s="55"/>
      <c r="Z347" s="55"/>
      <c r="AA347" s="55"/>
      <c r="AB347" s="55"/>
      <c r="AC347" s="55"/>
      <c r="AD347" s="55"/>
      <c r="AE347" s="55"/>
      <c r="AF347" s="55"/>
      <c r="AG347" s="55"/>
      <c r="AH347" s="55"/>
      <c r="AI347" s="55"/>
      <c r="AJ347" s="55"/>
      <c r="AK347" s="55"/>
      <c r="AL347" s="55"/>
      <c r="AM347" s="55"/>
      <c r="AN347" s="55"/>
      <c r="AO347" s="55"/>
      <c r="AP347" s="55"/>
      <c r="AQ347" s="55"/>
      <c r="AR347" s="55"/>
      <c r="AS347" s="55"/>
      <c r="AT347" s="55"/>
      <c r="AU347" s="55"/>
      <c r="AV347" s="55"/>
      <c r="AW347" s="55"/>
      <c r="AX347" s="55"/>
      <c r="AY347" s="55"/>
    </row>
    <row r="348" spans="1:51" ht="39" customHeight="1">
      <c r="D348" s="57"/>
      <c r="E348" s="57"/>
      <c r="U348" s="55"/>
      <c r="V348" s="55"/>
      <c r="W348" s="55"/>
      <c r="X348" s="55"/>
      <c r="Y348" s="55"/>
      <c r="Z348" s="55"/>
      <c r="AA348" s="55"/>
      <c r="AB348" s="55"/>
      <c r="AC348" s="55"/>
      <c r="AD348" s="55"/>
      <c r="AE348" s="55"/>
      <c r="AF348" s="55"/>
      <c r="AG348" s="55"/>
      <c r="AH348" s="55"/>
      <c r="AI348" s="55"/>
      <c r="AJ348" s="55"/>
      <c r="AK348" s="55"/>
      <c r="AL348" s="55"/>
      <c r="AM348" s="55"/>
      <c r="AN348" s="55"/>
      <c r="AO348" s="55"/>
      <c r="AP348" s="55"/>
      <c r="AQ348" s="55"/>
      <c r="AR348" s="55"/>
      <c r="AS348" s="55"/>
      <c r="AT348" s="55"/>
      <c r="AU348" s="55"/>
      <c r="AV348" s="55"/>
      <c r="AW348" s="55"/>
      <c r="AX348" s="55"/>
      <c r="AY348" s="55"/>
    </row>
    <row r="349" spans="1:51" ht="39" customHeight="1" thickBot="1">
      <c r="U349" s="55"/>
      <c r="V349" s="55"/>
      <c r="W349" s="55"/>
      <c r="X349" s="55"/>
      <c r="Y349" s="55"/>
      <c r="Z349" s="55"/>
      <c r="AA349" s="55"/>
      <c r="AB349" s="55"/>
      <c r="AC349" s="55"/>
      <c r="AD349" s="55"/>
      <c r="AE349" s="55"/>
      <c r="AF349" s="55"/>
      <c r="AG349" s="55"/>
      <c r="AH349" s="55"/>
      <c r="AI349" s="55"/>
      <c r="AJ349" s="55"/>
      <c r="AK349" s="55"/>
      <c r="AL349" s="55"/>
      <c r="AM349" s="55"/>
      <c r="AN349" s="55"/>
      <c r="AO349" s="55"/>
      <c r="AP349" s="55"/>
      <c r="AQ349" s="55"/>
      <c r="AR349" s="55"/>
      <c r="AS349" s="55"/>
      <c r="AT349" s="55"/>
      <c r="AU349" s="55"/>
      <c r="AV349" s="55"/>
      <c r="AW349" s="55"/>
      <c r="AX349" s="55"/>
      <c r="AY349" s="55"/>
    </row>
    <row r="350" spans="1:51" ht="39" customHeight="1" thickTop="1" thickBot="1">
      <c r="J350" s="94" t="s">
        <v>200</v>
      </c>
      <c r="K350" s="93"/>
      <c r="U350" s="55"/>
      <c r="V350" s="55"/>
      <c r="W350" s="55"/>
      <c r="X350" s="55"/>
      <c r="Y350" s="55"/>
      <c r="Z350" s="55"/>
      <c r="AA350" s="55"/>
      <c r="AB350" s="55"/>
      <c r="AC350" s="55"/>
      <c r="AD350" s="55"/>
      <c r="AE350" s="55"/>
      <c r="AF350" s="55"/>
      <c r="AG350" s="55"/>
      <c r="AH350" s="55"/>
      <c r="AI350" s="55"/>
      <c r="AJ350" s="55"/>
      <c r="AK350" s="55"/>
      <c r="AL350" s="55"/>
      <c r="AM350" s="55"/>
      <c r="AN350" s="55"/>
      <c r="AO350" s="55"/>
      <c r="AP350" s="55"/>
      <c r="AQ350" s="55"/>
      <c r="AR350" s="55"/>
      <c r="AS350" s="55"/>
      <c r="AT350" s="55"/>
      <c r="AU350" s="55"/>
      <c r="AV350" s="55"/>
      <c r="AW350" s="55"/>
      <c r="AX350" s="55"/>
      <c r="AY350" s="55"/>
    </row>
    <row r="351" spans="1:51" ht="39" customHeight="1" thickTop="1">
      <c r="A351" s="57" t="s">
        <v>201</v>
      </c>
      <c r="B351" s="57"/>
      <c r="C351" s="54" t="s">
        <v>202</v>
      </c>
      <c r="D351" s="57"/>
      <c r="E351" s="57"/>
      <c r="F351" s="57"/>
      <c r="G351" s="57"/>
      <c r="U351" s="55"/>
      <c r="V351" s="55"/>
      <c r="W351" s="55"/>
      <c r="X351" s="55"/>
      <c r="Y351" s="55"/>
      <c r="Z351" s="55"/>
      <c r="AA351" s="55"/>
      <c r="AB351" s="55"/>
      <c r="AC351" s="55"/>
      <c r="AD351" s="55"/>
      <c r="AE351" s="55"/>
      <c r="AF351" s="55"/>
      <c r="AG351" s="55"/>
      <c r="AH351" s="55"/>
      <c r="AI351" s="55"/>
      <c r="AJ351" s="55"/>
      <c r="AK351" s="55"/>
      <c r="AL351" s="55"/>
      <c r="AM351" s="55"/>
      <c r="AN351" s="55"/>
      <c r="AO351" s="55"/>
      <c r="AP351" s="55"/>
      <c r="AQ351" s="55"/>
      <c r="AR351" s="55"/>
      <c r="AS351" s="55"/>
      <c r="AT351" s="55"/>
      <c r="AU351" s="55"/>
      <c r="AV351" s="55"/>
      <c r="AW351" s="55"/>
      <c r="AX351" s="55"/>
      <c r="AY351" s="55"/>
    </row>
    <row r="352" spans="1:51" ht="39" customHeight="1">
      <c r="A352" s="57"/>
      <c r="B352" s="57"/>
      <c r="C352" s="54" t="s">
        <v>203</v>
      </c>
      <c r="D352" s="57"/>
      <c r="E352" s="57"/>
      <c r="F352" s="57"/>
      <c r="G352" s="57"/>
      <c r="U352" s="55"/>
      <c r="V352" s="55"/>
      <c r="W352" s="55"/>
      <c r="X352" s="55"/>
      <c r="Y352" s="55"/>
      <c r="Z352" s="55"/>
      <c r="AA352" s="55"/>
      <c r="AB352" s="55"/>
      <c r="AC352" s="55"/>
      <c r="AD352" s="55"/>
      <c r="AE352" s="55"/>
      <c r="AF352" s="55"/>
      <c r="AG352" s="55"/>
      <c r="AH352" s="55"/>
      <c r="AI352" s="55"/>
      <c r="AJ352" s="55"/>
      <c r="AK352" s="55"/>
      <c r="AL352" s="55"/>
      <c r="AM352" s="55"/>
      <c r="AN352" s="55"/>
      <c r="AO352" s="55"/>
      <c r="AP352" s="55"/>
      <c r="AQ352" s="55"/>
      <c r="AR352" s="55"/>
      <c r="AS352" s="55"/>
      <c r="AT352" s="55"/>
      <c r="AU352" s="55"/>
      <c r="AV352" s="55"/>
      <c r="AW352" s="55"/>
      <c r="AX352" s="55"/>
      <c r="AY352" s="55"/>
    </row>
    <row r="353" spans="1:51" ht="39" customHeight="1">
      <c r="A353" s="57"/>
      <c r="B353" s="57"/>
      <c r="C353" s="54" t="s">
        <v>204</v>
      </c>
      <c r="D353" s="57"/>
      <c r="E353" s="57"/>
      <c r="F353" s="57"/>
      <c r="G353" s="57"/>
      <c r="U353" s="55"/>
      <c r="V353" s="55"/>
      <c r="W353" s="55"/>
      <c r="X353" s="55"/>
      <c r="Y353" s="55"/>
      <c r="Z353" s="55"/>
      <c r="AA353" s="55"/>
      <c r="AB353" s="55"/>
      <c r="AC353" s="55"/>
      <c r="AD353" s="55"/>
      <c r="AE353" s="55"/>
      <c r="AF353" s="55"/>
      <c r="AG353" s="55"/>
      <c r="AH353" s="55"/>
      <c r="AI353" s="55"/>
      <c r="AJ353" s="55"/>
      <c r="AK353" s="55"/>
      <c r="AL353" s="55"/>
      <c r="AM353" s="55"/>
      <c r="AN353" s="55"/>
      <c r="AO353" s="55"/>
      <c r="AP353" s="55"/>
      <c r="AQ353" s="55"/>
      <c r="AR353" s="55"/>
      <c r="AS353" s="55"/>
      <c r="AT353" s="55"/>
      <c r="AU353" s="55"/>
      <c r="AV353" s="55"/>
      <c r="AW353" s="55"/>
      <c r="AX353" s="55"/>
      <c r="AY353" s="55"/>
    </row>
    <row r="354" spans="1:51" ht="39" customHeight="1">
      <c r="A354" s="57"/>
      <c r="B354" s="57"/>
      <c r="C354" s="54" t="s">
        <v>205</v>
      </c>
      <c r="D354" s="57"/>
      <c r="E354" s="57"/>
      <c r="F354" s="57"/>
      <c r="G354" s="57"/>
      <c r="U354" s="55"/>
      <c r="V354" s="55"/>
      <c r="W354" s="55"/>
      <c r="X354" s="55"/>
      <c r="Y354" s="55"/>
      <c r="Z354" s="55"/>
      <c r="AA354" s="55"/>
      <c r="AB354" s="55"/>
      <c r="AC354" s="55"/>
      <c r="AD354" s="55"/>
      <c r="AE354" s="55"/>
      <c r="AF354" s="55"/>
      <c r="AG354" s="55"/>
      <c r="AH354" s="55"/>
      <c r="AN354" s="55"/>
      <c r="AO354" s="55"/>
      <c r="AP354" s="55"/>
      <c r="AQ354" s="55"/>
      <c r="AR354" s="55"/>
      <c r="AS354" s="55"/>
      <c r="AT354" s="55"/>
      <c r="AU354" s="55"/>
      <c r="AV354" s="55"/>
      <c r="AW354" s="55"/>
      <c r="AX354" s="55"/>
      <c r="AY354" s="55"/>
    </row>
    <row r="355" spans="1:51" ht="39" customHeight="1">
      <c r="A355" s="57"/>
      <c r="B355" s="57"/>
      <c r="C355" s="54" t="s">
        <v>206</v>
      </c>
      <c r="D355" s="57"/>
      <c r="E355" s="57"/>
      <c r="F355" s="57"/>
      <c r="G355" s="57"/>
      <c r="U355" s="55"/>
      <c r="V355" s="55"/>
      <c r="W355" s="55"/>
      <c r="X355" s="55"/>
      <c r="Y355" s="55"/>
      <c r="Z355" s="55"/>
      <c r="AA355" s="55"/>
      <c r="AB355" s="55"/>
      <c r="AC355" s="55"/>
      <c r="AD355" s="55"/>
      <c r="AE355" s="55"/>
      <c r="AF355" s="55"/>
      <c r="AG355" s="55"/>
      <c r="AH355" s="55"/>
      <c r="AN355" s="55"/>
      <c r="AO355" s="55"/>
      <c r="AP355" s="55"/>
      <c r="AQ355" s="55"/>
      <c r="AR355" s="55"/>
      <c r="AS355" s="55"/>
      <c r="AT355" s="55"/>
      <c r="AU355" s="55"/>
      <c r="AV355" s="55"/>
      <c r="AW355" s="55"/>
      <c r="AX355" s="55"/>
      <c r="AY355" s="55"/>
    </row>
    <row r="356" spans="1:51" ht="39" customHeight="1">
      <c r="A356" s="57"/>
      <c r="B356" s="57"/>
      <c r="C356" s="54" t="s">
        <v>207</v>
      </c>
      <c r="D356" s="57"/>
      <c r="E356" s="57"/>
      <c r="F356" s="57"/>
      <c r="G356" s="57"/>
      <c r="U356" s="55"/>
      <c r="V356" s="55"/>
      <c r="W356" s="55"/>
      <c r="X356" s="55"/>
      <c r="Y356" s="55"/>
      <c r="Z356" s="55"/>
      <c r="AA356" s="55"/>
      <c r="AB356" s="55"/>
      <c r="AC356" s="55"/>
      <c r="AD356" s="55"/>
      <c r="AE356" s="55"/>
      <c r="AF356" s="55"/>
      <c r="AG356" s="55"/>
      <c r="AH356" s="55"/>
      <c r="AN356" s="55"/>
      <c r="AO356" s="55"/>
      <c r="AP356" s="55"/>
      <c r="AQ356" s="55"/>
      <c r="AR356" s="55"/>
      <c r="AS356" s="55"/>
      <c r="AT356" s="55"/>
      <c r="AU356" s="55"/>
      <c r="AV356" s="55"/>
      <c r="AW356" s="55"/>
      <c r="AX356" s="55"/>
      <c r="AY356" s="55"/>
    </row>
    <row r="357" spans="1:51" ht="39" customHeight="1">
      <c r="A357" s="57"/>
      <c r="B357" s="57"/>
      <c r="D357" s="57"/>
      <c r="E357" s="57"/>
      <c r="F357" s="57"/>
      <c r="G357" s="57"/>
    </row>
    <row r="358" spans="1:51" ht="39" customHeight="1" thickBot="1"/>
    <row r="359" spans="1:51" ht="39" customHeight="1" thickTop="1" thickBot="1">
      <c r="C359" s="92" t="s">
        <v>208</v>
      </c>
      <c r="D359" s="91"/>
      <c r="E359" s="91"/>
      <c r="F359" s="92"/>
      <c r="G359" s="91" t="s">
        <v>209</v>
      </c>
      <c r="H359" s="90"/>
      <c r="I359" s="59"/>
      <c r="U359" s="55"/>
      <c r="V359" s="55"/>
      <c r="W359" s="55"/>
      <c r="X359" s="55"/>
      <c r="Y359" s="55"/>
      <c r="Z359" s="55"/>
      <c r="AA359" s="55"/>
      <c r="AB359" s="55"/>
      <c r="AC359" s="55"/>
      <c r="AD359" s="55"/>
      <c r="AE359" s="55"/>
      <c r="AF359" s="55"/>
      <c r="AG359" s="55"/>
      <c r="AH359" s="55"/>
      <c r="AI359" s="55"/>
      <c r="AJ359" s="55"/>
      <c r="AK359" s="55"/>
      <c r="AL359" s="55"/>
      <c r="AM359" s="55"/>
      <c r="AN359" s="55"/>
      <c r="AO359" s="55"/>
      <c r="AP359" s="55"/>
      <c r="AQ359" s="55"/>
      <c r="AR359" s="55"/>
      <c r="AS359" s="55"/>
      <c r="AT359" s="55"/>
      <c r="AU359" s="55"/>
      <c r="AV359" s="55"/>
      <c r="AW359" s="55"/>
      <c r="AX359" s="55"/>
      <c r="AY359" s="55"/>
    </row>
    <row r="360" spans="1:51" ht="39" customHeight="1" thickTop="1">
      <c r="C360" s="89" t="str">
        <f>IF(ISERR(TRIM(C421)),"**********",LEFT("  ",2)&amp;TRIM(C421)&amp;" Only")</f>
        <v xml:space="preserve">  Other Assets Only</v>
      </c>
      <c r="D360" s="88"/>
      <c r="E360" s="88"/>
      <c r="F360" s="87"/>
      <c r="G360" s="86" t="s">
        <v>524</v>
      </c>
      <c r="H360" s="85" t="str">
        <f>IF(ISERR(E366),"",IF(E366="E","Error ===&gt; You Have Not Made a Y(Yes) Selection",""))</f>
        <v/>
      </c>
      <c r="I360" s="59"/>
      <c r="U360" s="55"/>
      <c r="V360" s="55"/>
      <c r="W360" s="55"/>
      <c r="X360" s="55"/>
      <c r="Y360" s="55"/>
      <c r="Z360" s="55"/>
      <c r="AA360" s="55"/>
      <c r="AB360" s="55"/>
      <c r="AC360" s="55"/>
      <c r="AD360" s="55"/>
      <c r="AE360" s="55"/>
      <c r="AF360" s="55"/>
      <c r="AG360" s="55"/>
      <c r="AH360" s="55"/>
      <c r="AI360" s="55"/>
      <c r="AJ360" s="55"/>
      <c r="AK360" s="55"/>
      <c r="AL360" s="55"/>
      <c r="AM360" s="55"/>
      <c r="AN360" s="55"/>
      <c r="AO360" s="55"/>
      <c r="AP360" s="55"/>
      <c r="AQ360" s="55"/>
      <c r="AR360" s="55"/>
      <c r="AS360" s="55"/>
      <c r="AT360" s="55"/>
      <c r="AU360" s="55"/>
      <c r="AV360" s="55"/>
      <c r="AW360" s="55"/>
      <c r="AX360" s="55"/>
      <c r="AY360" s="55"/>
    </row>
    <row r="361" spans="1:51" ht="39" customHeight="1">
      <c r="C361" s="76" t="str">
        <f>IF(ISERR(TRIM(C446)),"**********",LEFT("  ",2)&amp;TRIM(C446)&amp;" Only")</f>
        <v xml:space="preserve">  Other Liabilities Only</v>
      </c>
      <c r="D361" s="75"/>
      <c r="E361" s="75"/>
      <c r="F361" s="59"/>
      <c r="G361" s="83" t="s">
        <v>525</v>
      </c>
      <c r="I361" s="84"/>
      <c r="U361" s="55"/>
      <c r="V361" s="55"/>
      <c r="W361" s="55"/>
      <c r="X361" s="55"/>
      <c r="Y361" s="55"/>
      <c r="Z361" s="55"/>
      <c r="AA361" s="55"/>
      <c r="AB361" s="55"/>
      <c r="AC361" s="55"/>
      <c r="AD361" s="55"/>
      <c r="AE361" s="55"/>
      <c r="AF361" s="55"/>
      <c r="AG361" s="55"/>
      <c r="AH361" s="55"/>
      <c r="AI361" s="55"/>
      <c r="AJ361" s="55"/>
      <c r="AK361" s="55"/>
      <c r="AL361" s="55"/>
      <c r="AM361" s="55"/>
      <c r="AN361" s="55"/>
      <c r="AO361" s="55"/>
      <c r="AP361" s="55"/>
      <c r="AQ361" s="55"/>
      <c r="AR361" s="55"/>
      <c r="AS361" s="55"/>
      <c r="AT361" s="55"/>
      <c r="AU361" s="55"/>
      <c r="AV361" s="55"/>
      <c r="AW361" s="55"/>
      <c r="AX361" s="55"/>
      <c r="AY361" s="55"/>
    </row>
    <row r="362" spans="1:51" ht="39" customHeight="1">
      <c r="C362" s="76" t="str">
        <f>LEFT("  Both ",7)&amp;IF(ISERR(TRIM(C421)),"**********",TRIM(C421))&amp;" &amp; "&amp;IF(ISERR(TRIM(C446)),"**********",TRIM(C446))</f>
        <v xml:space="preserve">  Both Other Assets &amp; Other Liabilities</v>
      </c>
      <c r="D362" s="75"/>
      <c r="E362" s="75"/>
      <c r="F362" s="59"/>
      <c r="G362" s="83" t="s">
        <v>525</v>
      </c>
      <c r="I362" s="59"/>
      <c r="U362" s="55"/>
      <c r="V362" s="55"/>
      <c r="W362" s="55"/>
      <c r="X362" s="55"/>
      <c r="Y362" s="55"/>
      <c r="Z362" s="55"/>
      <c r="AA362" s="55"/>
      <c r="AB362" s="55"/>
      <c r="AC362" s="55"/>
      <c r="AD362" s="55"/>
      <c r="AE362" s="55"/>
      <c r="AF362" s="55"/>
      <c r="AG362" s="55"/>
      <c r="AH362" s="55"/>
      <c r="AI362" s="55"/>
      <c r="AJ362" s="55"/>
      <c r="AK362" s="55"/>
      <c r="AL362" s="55"/>
      <c r="AM362" s="55"/>
      <c r="AN362" s="55"/>
      <c r="AO362" s="55"/>
      <c r="AP362" s="55"/>
      <c r="AQ362" s="55"/>
      <c r="AR362" s="55"/>
      <c r="AS362" s="55"/>
      <c r="AT362" s="55"/>
      <c r="AU362" s="55"/>
      <c r="AV362" s="55"/>
      <c r="AW362" s="55"/>
      <c r="AX362" s="55"/>
      <c r="AY362" s="55"/>
    </row>
    <row r="363" spans="1:51" ht="39" customHeight="1" thickBot="1">
      <c r="C363" s="76" t="str">
        <f>LEFT("  Neither ",10)&amp;IF(ISERR(TRIM(C421)),"**********",TRIM(C421))&amp;" Or "&amp;IF(ISERR(TRIM(C446)),"**********",TRIM(C446))</f>
        <v xml:space="preserve">  Neither Other Assets Or Other Liabilities</v>
      </c>
      <c r="D363" s="75"/>
      <c r="E363" s="75"/>
      <c r="F363" s="59"/>
      <c r="G363" s="83" t="s">
        <v>525</v>
      </c>
      <c r="I363" s="59"/>
      <c r="U363" s="55"/>
      <c r="V363" s="55"/>
      <c r="W363" s="55"/>
      <c r="X363" s="55"/>
      <c r="Y363" s="55"/>
      <c r="Z363" s="55"/>
      <c r="AA363" s="55"/>
      <c r="AB363" s="55"/>
      <c r="AC363" s="55"/>
      <c r="AD363" s="55"/>
      <c r="AE363" s="55"/>
      <c r="AF363" s="55"/>
      <c r="AG363" s="55"/>
      <c r="AH363" s="55"/>
      <c r="AI363" s="55"/>
      <c r="AJ363" s="55"/>
      <c r="AK363" s="55"/>
      <c r="AL363" s="55"/>
      <c r="AM363" s="55"/>
      <c r="AN363" s="55"/>
      <c r="AO363" s="55"/>
      <c r="AP363" s="55"/>
      <c r="AQ363" s="55"/>
      <c r="AR363" s="55"/>
      <c r="AS363" s="55"/>
      <c r="AT363" s="55"/>
      <c r="AU363" s="55"/>
      <c r="AV363" s="55"/>
      <c r="AW363" s="55"/>
      <c r="AX363" s="55"/>
      <c r="AY363" s="55"/>
    </row>
    <row r="364" spans="1:51" ht="39" customHeight="1" thickTop="1">
      <c r="C364" s="82" t="str">
        <f>IF(OR(OR(OR(ISERR(TRIM(G360)),ISERR(TRIM(G361))),ISERR(TRIM(G362))),ISERR(TRIM(G363))),"E","")</f>
        <v/>
      </c>
      <c r="D364" s="58" t="str">
        <f>IF(C364="E","Error ===&gt; Not All Options Have An Entry","")</f>
        <v/>
      </c>
      <c r="E364" s="58"/>
      <c r="F364" s="58"/>
      <c r="G364" s="58"/>
      <c r="H364" s="58"/>
      <c r="U364" s="55"/>
      <c r="V364" s="55"/>
      <c r="W364" s="55"/>
      <c r="X364" s="55"/>
      <c r="Y364" s="55"/>
      <c r="Z364" s="55"/>
      <c r="AA364" s="55"/>
      <c r="AB364" s="55"/>
      <c r="AC364" s="55"/>
      <c r="AD364" s="55"/>
      <c r="AE364" s="55"/>
      <c r="AF364" s="55"/>
      <c r="AG364" s="55"/>
      <c r="AH364" s="55"/>
      <c r="AI364" s="55"/>
      <c r="AJ364" s="55"/>
      <c r="AK364" s="55"/>
      <c r="AL364" s="55"/>
      <c r="AM364" s="55"/>
      <c r="AN364" s="55"/>
      <c r="AO364" s="55"/>
      <c r="AP364" s="55"/>
      <c r="AQ364" s="55"/>
      <c r="AR364" s="55"/>
      <c r="AS364" s="55"/>
      <c r="AT364" s="55"/>
      <c r="AU364" s="55"/>
      <c r="AV364" s="55"/>
      <c r="AW364" s="55"/>
      <c r="AX364" s="55"/>
      <c r="AY364" s="55"/>
    </row>
    <row r="365" spans="1:51" ht="39" customHeight="1">
      <c r="C365" s="55" t="str">
        <f>IF(COUNTIF(G358:G361,"y")&gt;1,"E","")</f>
        <v/>
      </c>
      <c r="D365" s="54" t="str">
        <f>IF(C365="E","Error ===&gt; More Than One Y(Yes) Response is Given","")</f>
        <v/>
      </c>
      <c r="U365" s="55"/>
      <c r="V365" s="55"/>
      <c r="W365" s="55"/>
      <c r="X365" s="55"/>
      <c r="Y365" s="55"/>
      <c r="Z365" s="55"/>
      <c r="AA365" s="55"/>
      <c r="AB365" s="55"/>
      <c r="AC365" s="55"/>
      <c r="AD365" s="55"/>
      <c r="AE365" s="55"/>
      <c r="AF365" s="55"/>
      <c r="AG365" s="55"/>
      <c r="AH365" s="55"/>
      <c r="AI365" s="55"/>
      <c r="AJ365" s="55"/>
      <c r="AK365" s="55"/>
      <c r="AL365" s="55"/>
      <c r="AM365" s="55"/>
      <c r="AN365" s="55"/>
      <c r="AO365" s="55"/>
      <c r="AP365" s="55"/>
      <c r="AQ365" s="55"/>
      <c r="AR365" s="55"/>
      <c r="AS365" s="55"/>
      <c r="AT365" s="55"/>
      <c r="AU365" s="55"/>
      <c r="AV365" s="55"/>
      <c r="AW365" s="55"/>
      <c r="AX365" s="55"/>
      <c r="AY365" s="55"/>
    </row>
    <row r="366" spans="1:51" ht="39" customHeight="1">
      <c r="A366" s="54" t="s">
        <v>70</v>
      </c>
      <c r="E366" s="55" t="str">
        <f>IF(AND(AND(AND(G360&lt;&gt;"Y",G361&lt;&gt;"Y"),G362&lt;&gt;"Y"),G363&lt;&gt;"Y"),"E","")</f>
        <v/>
      </c>
      <c r="U366" s="55"/>
      <c r="V366" s="55"/>
      <c r="W366" s="55"/>
      <c r="X366" s="55"/>
      <c r="Y366" s="55"/>
      <c r="Z366" s="55"/>
      <c r="AA366" s="55"/>
      <c r="AB366" s="55"/>
      <c r="AC366" s="55"/>
      <c r="AD366" s="55"/>
      <c r="AE366" s="55"/>
      <c r="AF366" s="55"/>
      <c r="AG366" s="55"/>
      <c r="AH366" s="55"/>
      <c r="AI366" s="55"/>
      <c r="AJ366" s="55"/>
      <c r="AK366" s="55"/>
      <c r="AL366" s="55"/>
      <c r="AM366" s="55"/>
      <c r="AN366" s="55"/>
      <c r="AO366" s="55"/>
      <c r="AP366" s="55"/>
      <c r="AQ366" s="55"/>
      <c r="AR366" s="55"/>
      <c r="AS366" s="55"/>
      <c r="AT366" s="55"/>
      <c r="AU366" s="55"/>
      <c r="AV366" s="55"/>
      <c r="AW366" s="55"/>
      <c r="AX366" s="55"/>
      <c r="AY366" s="55"/>
    </row>
    <row r="367" spans="1:51" ht="39" customHeight="1">
      <c r="D367" s="57"/>
      <c r="E367" s="57"/>
      <c r="U367" s="55"/>
      <c r="V367" s="55"/>
      <c r="W367" s="55"/>
      <c r="X367" s="55"/>
      <c r="Y367" s="55"/>
      <c r="Z367" s="55"/>
      <c r="AA367" s="55"/>
      <c r="AB367" s="55"/>
      <c r="AC367" s="55"/>
      <c r="AD367" s="55"/>
      <c r="AE367" s="55"/>
      <c r="AF367" s="55"/>
      <c r="AG367" s="55"/>
      <c r="AH367" s="55"/>
      <c r="AI367" s="55"/>
      <c r="AJ367" s="55"/>
      <c r="AK367" s="55"/>
      <c r="AL367" s="55"/>
      <c r="AM367" s="55"/>
      <c r="AN367" s="55"/>
      <c r="AO367" s="55"/>
      <c r="AP367" s="55"/>
      <c r="AQ367" s="55"/>
      <c r="AR367" s="55"/>
      <c r="AS367" s="55"/>
      <c r="AT367" s="55"/>
      <c r="AU367" s="55"/>
      <c r="AV367" s="55"/>
      <c r="AW367" s="55"/>
      <c r="AX367" s="55"/>
      <c r="AY367" s="55"/>
    </row>
    <row r="368" spans="1:51" ht="39" customHeight="1">
      <c r="A368" s="57" t="s">
        <v>210</v>
      </c>
      <c r="B368" s="57"/>
      <c r="C368" s="54" t="s">
        <v>211</v>
      </c>
      <c r="D368" s="57"/>
      <c r="E368" s="57"/>
      <c r="F368" s="57"/>
      <c r="G368" s="57"/>
      <c r="U368" s="55"/>
      <c r="V368" s="55"/>
      <c r="W368" s="55"/>
      <c r="X368" s="55"/>
      <c r="Y368" s="55"/>
      <c r="Z368" s="55"/>
      <c r="AA368" s="55"/>
      <c r="AB368" s="55"/>
      <c r="AC368" s="55"/>
      <c r="AD368" s="55"/>
      <c r="AE368" s="55"/>
      <c r="AF368" s="55"/>
      <c r="AG368" s="55"/>
      <c r="AH368" s="55"/>
      <c r="AI368" s="55"/>
      <c r="AJ368" s="55"/>
      <c r="AK368" s="55"/>
      <c r="AL368" s="55"/>
      <c r="AM368" s="55"/>
      <c r="AN368" s="55"/>
      <c r="AO368" s="55"/>
      <c r="AP368" s="55"/>
      <c r="AQ368" s="55"/>
      <c r="AR368" s="55"/>
      <c r="AS368" s="55"/>
      <c r="AT368" s="55"/>
      <c r="AU368" s="55"/>
      <c r="AV368" s="55"/>
      <c r="AW368" s="55"/>
      <c r="AX368" s="55"/>
      <c r="AY368" s="55"/>
    </row>
    <row r="369" spans="1:51" ht="39" customHeight="1">
      <c r="A369" s="57"/>
      <c r="B369" s="57"/>
      <c r="C369" s="54" t="s">
        <v>212</v>
      </c>
      <c r="D369" s="57"/>
      <c r="E369" s="57"/>
      <c r="F369" s="57"/>
      <c r="G369" s="57"/>
      <c r="U369" s="55"/>
      <c r="V369" s="55"/>
      <c r="W369" s="55"/>
      <c r="X369" s="55"/>
      <c r="Y369" s="55"/>
      <c r="Z369" s="55"/>
      <c r="AA369" s="55"/>
      <c r="AB369" s="55"/>
      <c r="AC369" s="55"/>
      <c r="AD369" s="55"/>
      <c r="AE369" s="55"/>
      <c r="AF369" s="55"/>
      <c r="AG369" s="55"/>
      <c r="AH369" s="55"/>
      <c r="AI369" s="55"/>
      <c r="AJ369" s="55"/>
      <c r="AK369" s="55"/>
      <c r="AL369" s="55"/>
      <c r="AM369" s="55"/>
      <c r="AN369" s="55"/>
      <c r="AO369" s="55"/>
      <c r="AP369" s="55"/>
      <c r="AQ369" s="55"/>
      <c r="AR369" s="55"/>
      <c r="AS369" s="55"/>
      <c r="AT369" s="55"/>
      <c r="AU369" s="55"/>
      <c r="AV369" s="55"/>
      <c r="AW369" s="55"/>
      <c r="AX369" s="55"/>
      <c r="AY369" s="55"/>
    </row>
    <row r="370" spans="1:51" ht="39" customHeight="1">
      <c r="A370" s="57"/>
      <c r="B370" s="57"/>
      <c r="C370" s="54" t="s">
        <v>213</v>
      </c>
      <c r="D370" s="57"/>
      <c r="E370" s="57"/>
      <c r="F370" s="57"/>
      <c r="G370" s="57"/>
      <c r="U370" s="55"/>
      <c r="V370" s="55"/>
      <c r="W370" s="55"/>
      <c r="X370" s="55"/>
      <c r="Y370" s="55"/>
      <c r="Z370" s="55"/>
      <c r="AA370" s="55"/>
      <c r="AB370" s="55"/>
      <c r="AC370" s="55"/>
      <c r="AD370" s="55"/>
      <c r="AE370" s="55"/>
      <c r="AF370" s="55"/>
      <c r="AG370" s="55"/>
      <c r="AH370" s="55"/>
      <c r="AI370" s="55"/>
      <c r="AJ370" s="55"/>
      <c r="AK370" s="55"/>
      <c r="AL370" s="55"/>
      <c r="AM370" s="55"/>
      <c r="AN370" s="55"/>
      <c r="AO370" s="55"/>
      <c r="AP370" s="55"/>
      <c r="AQ370" s="55"/>
      <c r="AR370" s="55"/>
      <c r="AS370" s="55"/>
      <c r="AT370" s="55"/>
      <c r="AU370" s="55"/>
      <c r="AV370" s="55"/>
      <c r="AW370" s="55"/>
      <c r="AX370" s="55"/>
      <c r="AY370" s="55"/>
    </row>
    <row r="371" spans="1:51" ht="39" customHeight="1">
      <c r="A371" s="57"/>
      <c r="B371" s="57"/>
      <c r="C371" s="54" t="s">
        <v>214</v>
      </c>
      <c r="D371" s="57"/>
      <c r="E371" s="57"/>
      <c r="F371" s="57"/>
      <c r="G371" s="57"/>
      <c r="U371" s="55"/>
      <c r="V371" s="55"/>
      <c r="W371" s="55"/>
      <c r="X371" s="55"/>
      <c r="Y371" s="55"/>
      <c r="Z371" s="55"/>
      <c r="AA371" s="55"/>
      <c r="AB371" s="55"/>
      <c r="AC371" s="55"/>
      <c r="AD371" s="55"/>
      <c r="AE371" s="55"/>
      <c r="AF371" s="55"/>
      <c r="AG371" s="55"/>
      <c r="AH371" s="55"/>
      <c r="AI371" s="55"/>
      <c r="AJ371" s="55"/>
      <c r="AK371" s="55"/>
      <c r="AL371" s="55"/>
      <c r="AM371" s="55"/>
      <c r="AN371" s="55"/>
      <c r="AO371" s="55"/>
      <c r="AP371" s="55"/>
      <c r="AQ371" s="55"/>
      <c r="AR371" s="55"/>
      <c r="AS371" s="55"/>
      <c r="AT371" s="55"/>
      <c r="AU371" s="55"/>
      <c r="AV371" s="55"/>
      <c r="AW371" s="55"/>
      <c r="AX371" s="55"/>
      <c r="AY371" s="55"/>
    </row>
    <row r="372" spans="1:51" ht="39" customHeight="1" thickBot="1"/>
    <row r="373" spans="1:51" ht="39" customHeight="1" thickTop="1">
      <c r="E373" s="73" t="s">
        <v>0</v>
      </c>
      <c r="F373" s="72" t="str">
        <f>IF(AF133=1,"Actual","")</f>
        <v>Actual</v>
      </c>
      <c r="G373" s="78"/>
    </row>
    <row r="374" spans="1:51" ht="39" customHeight="1" thickBot="1">
      <c r="E374" s="71" t="s">
        <v>215</v>
      </c>
      <c r="F374" s="70" t="str">
        <f>IF(AF133=1,"Year","")</f>
        <v>Year</v>
      </c>
      <c r="G374" s="78"/>
      <c r="U374" s="55"/>
      <c r="V374" s="55"/>
      <c r="W374" s="55"/>
      <c r="X374" s="55"/>
      <c r="Y374" s="55"/>
      <c r="Z374" s="55"/>
      <c r="AA374" s="55"/>
      <c r="AB374" s="55"/>
      <c r="AC374" s="55"/>
      <c r="AD374" s="55"/>
      <c r="AE374" s="55"/>
      <c r="AF374" s="55"/>
      <c r="AG374" s="55"/>
      <c r="AH374" s="55"/>
      <c r="AI374" s="55"/>
      <c r="AJ374" s="55"/>
      <c r="AK374" s="55"/>
      <c r="AL374" s="55"/>
      <c r="AM374" s="55"/>
      <c r="AN374" s="55"/>
      <c r="AO374" s="55"/>
      <c r="AP374" s="55"/>
      <c r="AQ374" s="55"/>
      <c r="AR374" s="55"/>
      <c r="AS374" s="55"/>
      <c r="AT374" s="55"/>
      <c r="AU374" s="55"/>
      <c r="AV374" s="55"/>
      <c r="AW374" s="55"/>
      <c r="AX374" s="55"/>
      <c r="AY374" s="55"/>
    </row>
    <row r="375" spans="1:51" ht="39" customHeight="1" thickTop="1">
      <c r="C375" s="81"/>
      <c r="D375" s="80"/>
      <c r="E375" s="67" t="s">
        <v>70</v>
      </c>
      <c r="F375" s="79"/>
      <c r="G375" s="78"/>
      <c r="U375" s="55"/>
      <c r="V375" s="55"/>
      <c r="W375" s="55"/>
      <c r="X375" s="55"/>
      <c r="Y375" s="55"/>
      <c r="Z375" s="55"/>
      <c r="AA375" s="55"/>
      <c r="AB375" s="55"/>
      <c r="AC375" s="55"/>
      <c r="AD375" s="55"/>
      <c r="AE375" s="55"/>
      <c r="AF375" s="55"/>
      <c r="AG375" s="55"/>
      <c r="AH375" s="55"/>
      <c r="AI375" s="55"/>
      <c r="AJ375" s="55"/>
      <c r="AK375" s="55"/>
      <c r="AL375" s="55"/>
      <c r="AM375" s="55"/>
      <c r="AN375" s="55"/>
      <c r="AO375" s="55"/>
      <c r="AP375" s="55"/>
      <c r="AQ375" s="55"/>
      <c r="AR375" s="55"/>
      <c r="AS375" s="55"/>
      <c r="AT375" s="55"/>
      <c r="AU375" s="55"/>
      <c r="AV375" s="55"/>
      <c r="AW375" s="55"/>
      <c r="AX375" s="55"/>
      <c r="AY375" s="55"/>
    </row>
    <row r="376" spans="1:51" ht="39" customHeight="1">
      <c r="C376" s="76" t="s">
        <v>216</v>
      </c>
      <c r="D376" s="75"/>
      <c r="E376" s="61">
        <v>10</v>
      </c>
      <c r="F376" s="77">
        <f>IF(AF133=1,+'Financial Stat.'!C320+E376-1,"")</f>
        <v>2035</v>
      </c>
      <c r="G376" s="59"/>
      <c r="U376" s="55"/>
      <c r="V376" s="55"/>
      <c r="W376" s="55"/>
      <c r="X376" s="55"/>
      <c r="Y376" s="55"/>
      <c r="Z376" s="55"/>
      <c r="AA376" s="55"/>
      <c r="AB376" s="55"/>
      <c r="AC376" s="55"/>
      <c r="AD376" s="55"/>
      <c r="AE376" s="55"/>
      <c r="AF376" s="55"/>
      <c r="AG376" s="55"/>
      <c r="AH376" s="55"/>
      <c r="AI376" s="55"/>
      <c r="AJ376" s="55"/>
      <c r="AK376" s="55"/>
      <c r="AL376" s="55"/>
      <c r="AM376" s="55"/>
      <c r="AN376" s="55"/>
      <c r="AO376" s="55"/>
      <c r="AP376" s="55"/>
      <c r="AQ376" s="55"/>
      <c r="AR376" s="55"/>
      <c r="AS376" s="55"/>
      <c r="AT376" s="55"/>
      <c r="AU376" s="55"/>
      <c r="AV376" s="55"/>
      <c r="AW376" s="55"/>
      <c r="AX376" s="55"/>
      <c r="AY376" s="55"/>
    </row>
    <row r="377" spans="1:51" ht="39" customHeight="1" thickBot="1">
      <c r="C377" s="76"/>
      <c r="D377" s="75"/>
      <c r="E377" s="65"/>
      <c r="F377" s="74"/>
      <c r="G377" s="59"/>
      <c r="U377" s="55"/>
      <c r="V377" s="55"/>
      <c r="W377" s="55"/>
      <c r="X377" s="55"/>
      <c r="Y377" s="55"/>
      <c r="Z377" s="55"/>
      <c r="AA377" s="55"/>
      <c r="AB377" s="55"/>
      <c r="AC377" s="55"/>
      <c r="AD377" s="55"/>
      <c r="AE377" s="55"/>
      <c r="AF377" s="55"/>
      <c r="AG377" s="55"/>
      <c r="AH377" s="55"/>
      <c r="AI377" s="55"/>
      <c r="AJ377" s="55"/>
      <c r="AK377" s="55"/>
      <c r="AL377" s="55"/>
      <c r="AM377" s="55"/>
      <c r="AN377" s="55"/>
      <c r="AO377" s="55"/>
      <c r="AP377" s="55"/>
      <c r="AQ377" s="55"/>
      <c r="AR377" s="55"/>
      <c r="AS377" s="55"/>
      <c r="AT377" s="55"/>
      <c r="AU377" s="55"/>
      <c r="AV377" s="55"/>
      <c r="AW377" s="55"/>
      <c r="AX377" s="55"/>
      <c r="AY377" s="55"/>
    </row>
    <row r="378" spans="1:51" ht="39" customHeight="1" thickTop="1">
      <c r="C378" s="58"/>
      <c r="D378" s="58"/>
      <c r="E378" s="58"/>
      <c r="F378" s="58"/>
      <c r="U378" s="55"/>
      <c r="V378" s="55"/>
      <c r="W378" s="55"/>
      <c r="X378" s="55"/>
      <c r="Y378" s="55"/>
      <c r="Z378" s="55"/>
      <c r="AA378" s="55"/>
      <c r="AB378" s="55"/>
      <c r="AC378" s="55"/>
      <c r="AD378" s="55"/>
      <c r="AE378" s="55"/>
      <c r="AF378" s="55"/>
      <c r="AG378" s="55"/>
      <c r="AH378" s="55"/>
      <c r="AI378" s="55"/>
      <c r="AJ378" s="55"/>
      <c r="AK378" s="55"/>
      <c r="AL378" s="55"/>
      <c r="AM378" s="55"/>
      <c r="AN378" s="55"/>
      <c r="AO378" s="55"/>
      <c r="AP378" s="55"/>
      <c r="AQ378" s="55"/>
      <c r="AR378" s="55"/>
      <c r="AS378" s="55"/>
      <c r="AT378" s="55"/>
      <c r="AU378" s="55"/>
      <c r="AV378" s="55"/>
      <c r="AW378" s="55"/>
      <c r="AX378" s="55"/>
      <c r="AY378" s="55"/>
    </row>
    <row r="379" spans="1:51" ht="39" customHeight="1">
      <c r="U379" s="55"/>
      <c r="V379" s="55"/>
      <c r="W379" s="55"/>
      <c r="X379" s="55"/>
      <c r="Y379" s="55"/>
      <c r="Z379" s="55"/>
      <c r="AA379" s="55"/>
      <c r="AB379" s="55"/>
      <c r="AC379" s="55"/>
      <c r="AD379" s="55"/>
      <c r="AE379" s="55"/>
      <c r="AF379" s="55"/>
      <c r="AG379" s="55"/>
      <c r="AH379" s="55"/>
      <c r="AI379" s="55"/>
      <c r="AJ379" s="55"/>
      <c r="AK379" s="55"/>
      <c r="AL379" s="55"/>
      <c r="AM379" s="55"/>
      <c r="AN379" s="55"/>
      <c r="AO379" s="55"/>
      <c r="AP379" s="55"/>
      <c r="AQ379" s="55"/>
      <c r="AR379" s="55"/>
      <c r="AS379" s="55"/>
      <c r="AT379" s="55"/>
      <c r="AU379" s="55"/>
      <c r="AV379" s="55"/>
      <c r="AW379" s="55"/>
      <c r="AX379" s="55"/>
      <c r="AY379" s="55"/>
    </row>
    <row r="380" spans="1:51" ht="39" customHeight="1">
      <c r="A380" s="54" t="s">
        <v>70</v>
      </c>
      <c r="F380" s="54" t="str">
        <f>IF(AC137=1,+Assumptions!A320,"")</f>
        <v/>
      </c>
      <c r="U380" s="55"/>
      <c r="V380" s="55"/>
      <c r="W380" s="55"/>
      <c r="X380" s="55"/>
      <c r="Y380" s="55"/>
      <c r="Z380" s="55"/>
      <c r="AA380" s="55"/>
      <c r="AB380" s="55"/>
      <c r="AC380" s="55"/>
      <c r="AD380" s="55"/>
      <c r="AE380" s="55"/>
      <c r="AF380" s="55"/>
      <c r="AG380" s="55"/>
      <c r="AH380" s="55"/>
      <c r="AI380" s="55"/>
      <c r="AJ380" s="55"/>
      <c r="AK380" s="55"/>
      <c r="AL380" s="55"/>
      <c r="AM380" s="55"/>
      <c r="AN380" s="55"/>
      <c r="AO380" s="55"/>
      <c r="AP380" s="55"/>
      <c r="AQ380" s="55"/>
      <c r="AR380" s="55"/>
      <c r="AS380" s="55"/>
      <c r="AT380" s="55"/>
      <c r="AU380" s="55"/>
      <c r="AV380" s="55"/>
      <c r="AW380" s="55"/>
      <c r="AX380" s="55"/>
      <c r="AY380" s="55"/>
    </row>
    <row r="381" spans="1:51" ht="39" customHeight="1">
      <c r="D381" s="57"/>
      <c r="E381" s="57"/>
      <c r="U381" s="55"/>
      <c r="V381" s="55"/>
      <c r="W381" s="55"/>
      <c r="X381" s="55"/>
      <c r="Y381" s="55"/>
      <c r="Z381" s="55"/>
      <c r="AA381" s="55"/>
      <c r="AB381" s="55"/>
      <c r="AC381" s="55"/>
      <c r="AD381" s="55"/>
      <c r="AE381" s="55"/>
      <c r="AF381" s="55"/>
      <c r="AG381" s="55"/>
      <c r="AH381" s="55"/>
      <c r="AI381" s="55"/>
      <c r="AJ381" s="55"/>
      <c r="AK381" s="55"/>
      <c r="AL381" s="55"/>
      <c r="AM381" s="55"/>
      <c r="AN381" s="55"/>
      <c r="AO381" s="55"/>
      <c r="AP381" s="55"/>
      <c r="AQ381" s="55"/>
      <c r="AR381" s="55"/>
      <c r="AS381" s="55"/>
      <c r="AT381" s="55"/>
      <c r="AU381" s="55"/>
      <c r="AV381" s="55"/>
      <c r="AW381" s="55"/>
      <c r="AX381" s="55"/>
      <c r="AY381" s="55"/>
    </row>
    <row r="382" spans="1:51" ht="39" customHeight="1">
      <c r="A382" s="57" t="s">
        <v>217</v>
      </c>
      <c r="B382" s="57"/>
      <c r="C382" s="54" t="s">
        <v>218</v>
      </c>
      <c r="D382" s="57"/>
      <c r="E382" s="57"/>
      <c r="F382" s="57"/>
      <c r="G382" s="57"/>
      <c r="U382" s="55"/>
      <c r="V382" s="55"/>
      <c r="W382" s="55"/>
      <c r="X382" s="55"/>
      <c r="Y382" s="55"/>
      <c r="Z382" s="55"/>
      <c r="AA382" s="55"/>
      <c r="AB382" s="55"/>
      <c r="AC382" s="55"/>
      <c r="AD382" s="55"/>
      <c r="AE382" s="55"/>
      <c r="AF382" s="55"/>
      <c r="AG382" s="55"/>
      <c r="AH382" s="55"/>
      <c r="AI382" s="55"/>
      <c r="AJ382" s="55"/>
      <c r="AK382" s="55"/>
      <c r="AL382" s="55"/>
      <c r="AM382" s="55"/>
      <c r="AN382" s="55"/>
      <c r="AO382" s="55"/>
      <c r="AP382" s="55"/>
      <c r="AQ382" s="55"/>
      <c r="AR382" s="55"/>
      <c r="AS382" s="55"/>
      <c r="AT382" s="55"/>
      <c r="AU382" s="55"/>
      <c r="AV382" s="55"/>
      <c r="AW382" s="55"/>
      <c r="AX382" s="55"/>
      <c r="AY382" s="55"/>
    </row>
    <row r="383" spans="1:51" ht="39.75" customHeight="1">
      <c r="A383" s="57"/>
      <c r="B383" s="57"/>
      <c r="C383" s="54" t="s">
        <v>219</v>
      </c>
      <c r="D383" s="57"/>
      <c r="E383" s="57"/>
      <c r="F383" s="57"/>
      <c r="G383" s="57"/>
      <c r="U383" s="55"/>
      <c r="V383" s="55"/>
      <c r="W383" s="55"/>
      <c r="X383" s="55"/>
      <c r="Y383" s="55"/>
      <c r="Z383" s="55"/>
      <c r="AA383" s="55"/>
      <c r="AB383" s="55"/>
      <c r="AC383" s="55"/>
      <c r="AD383" s="55"/>
      <c r="AE383" s="55"/>
      <c r="AF383" s="55"/>
      <c r="AG383" s="55"/>
      <c r="AH383" s="55"/>
      <c r="AI383" s="55"/>
      <c r="AJ383" s="55"/>
      <c r="AK383" s="55"/>
      <c r="AL383" s="55"/>
      <c r="AM383" s="55"/>
      <c r="AN383" s="55"/>
      <c r="AO383" s="55"/>
      <c r="AP383" s="55"/>
      <c r="AQ383" s="55"/>
      <c r="AR383" s="55"/>
      <c r="AS383" s="55"/>
      <c r="AT383" s="55"/>
      <c r="AU383" s="55"/>
      <c r="AV383" s="55"/>
      <c r="AW383" s="55"/>
      <c r="AX383" s="55"/>
      <c r="AY383" s="55"/>
    </row>
    <row r="384" spans="1:51" ht="39.75" customHeight="1" thickBot="1">
      <c r="U384" s="55"/>
      <c r="V384" s="55"/>
      <c r="W384" s="55"/>
      <c r="X384" s="55"/>
      <c r="Y384" s="55"/>
      <c r="Z384" s="55"/>
      <c r="AA384" s="55"/>
      <c r="AB384" s="55"/>
      <c r="AC384" s="55"/>
      <c r="AD384" s="55"/>
      <c r="AE384" s="55"/>
      <c r="AF384" s="55"/>
      <c r="AG384" s="55"/>
      <c r="AH384" s="55"/>
      <c r="AI384" s="55"/>
      <c r="AJ384" s="55"/>
      <c r="AK384" s="55"/>
      <c r="AL384" s="55"/>
      <c r="AM384" s="55"/>
      <c r="AN384" s="55"/>
      <c r="AO384" s="55"/>
      <c r="AP384" s="55"/>
      <c r="AQ384" s="55"/>
      <c r="AR384" s="55"/>
      <c r="AS384" s="55"/>
      <c r="AT384" s="55"/>
      <c r="AU384" s="55"/>
      <c r="AV384" s="55"/>
      <c r="AW384" s="55"/>
      <c r="AX384" s="55"/>
      <c r="AY384" s="55"/>
    </row>
    <row r="385" spans="3:51" ht="39.75" customHeight="1" thickTop="1">
      <c r="E385" s="73" t="s">
        <v>0</v>
      </c>
      <c r="F385" s="72" t="str">
        <f>IF(AF133=1,"Actual","")</f>
        <v>Actual</v>
      </c>
      <c r="G385" s="59"/>
      <c r="U385" s="55"/>
      <c r="V385" s="55"/>
      <c r="W385" s="55"/>
      <c r="X385" s="55"/>
      <c r="Y385" s="55"/>
      <c r="Z385" s="55"/>
      <c r="AA385" s="55"/>
      <c r="AB385" s="55"/>
      <c r="AC385" s="55"/>
      <c r="AD385" s="55"/>
      <c r="AE385" s="55"/>
      <c r="AF385" s="55"/>
      <c r="AG385" s="55"/>
      <c r="AH385" s="55"/>
      <c r="AI385" s="55"/>
      <c r="AJ385" s="55"/>
      <c r="AK385" s="55"/>
      <c r="AL385" s="55"/>
      <c r="AM385" s="55"/>
      <c r="AN385" s="55"/>
      <c r="AO385" s="55"/>
      <c r="AP385" s="55"/>
      <c r="AQ385" s="55"/>
      <c r="AR385" s="55"/>
      <c r="AS385" s="55"/>
      <c r="AT385" s="55"/>
      <c r="AU385" s="55"/>
      <c r="AV385" s="55"/>
      <c r="AW385" s="55"/>
      <c r="AX385" s="55"/>
      <c r="AY385" s="55"/>
    </row>
    <row r="386" spans="3:51" ht="39.75" customHeight="1" thickBot="1">
      <c r="E386" s="71" t="s">
        <v>215</v>
      </c>
      <c r="F386" s="70" t="str">
        <f>IF(AF133=1,"Year","")</f>
        <v>Year</v>
      </c>
      <c r="G386" s="59"/>
      <c r="U386" s="55"/>
      <c r="V386" s="55"/>
      <c r="W386" s="55"/>
      <c r="X386" s="55"/>
      <c r="Y386" s="55"/>
      <c r="Z386" s="55"/>
      <c r="AA386" s="55"/>
      <c r="AB386" s="55"/>
      <c r="AC386" s="55"/>
      <c r="AD386" s="55"/>
      <c r="AE386" s="55"/>
      <c r="AF386" s="55"/>
      <c r="AG386" s="55"/>
      <c r="AH386" s="55"/>
      <c r="AI386" s="55"/>
      <c r="AJ386" s="55"/>
      <c r="AK386" s="55"/>
      <c r="AL386" s="55"/>
      <c r="AM386" s="55"/>
      <c r="AN386" s="55"/>
      <c r="AO386" s="55"/>
      <c r="AP386" s="55"/>
      <c r="AQ386" s="55"/>
      <c r="AR386" s="55"/>
      <c r="AS386" s="55"/>
      <c r="AT386" s="55"/>
      <c r="AU386" s="55"/>
      <c r="AV386" s="55"/>
      <c r="AW386" s="55"/>
      <c r="AX386" s="55"/>
      <c r="AY386" s="55"/>
    </row>
    <row r="387" spans="3:51" ht="39.75" customHeight="1" thickTop="1">
      <c r="C387" s="69"/>
      <c r="D387" s="68"/>
      <c r="E387" s="67" t="s">
        <v>70</v>
      </c>
      <c r="F387" s="66"/>
      <c r="G387" s="59"/>
      <c r="U387" s="55"/>
      <c r="V387" s="55"/>
      <c r="W387" s="55"/>
      <c r="X387" s="55"/>
      <c r="Y387" s="55"/>
      <c r="Z387" s="55"/>
      <c r="AA387" s="55"/>
      <c r="AB387" s="55"/>
      <c r="AC387" s="55"/>
      <c r="AD387" s="55"/>
      <c r="AE387" s="55"/>
      <c r="AF387" s="55"/>
      <c r="AG387" s="55"/>
      <c r="AH387" s="55"/>
      <c r="AI387" s="55"/>
      <c r="AJ387" s="55"/>
      <c r="AK387" s="55"/>
      <c r="AL387" s="55"/>
      <c r="AM387" s="55"/>
      <c r="AN387" s="55"/>
      <c r="AO387" s="55"/>
      <c r="AP387" s="55"/>
      <c r="AQ387" s="55"/>
      <c r="AR387" s="55"/>
      <c r="AS387" s="55"/>
      <c r="AT387" s="55"/>
      <c r="AU387" s="55"/>
      <c r="AV387" s="55"/>
      <c r="AW387" s="55"/>
      <c r="AX387" s="55"/>
      <c r="AY387" s="55"/>
    </row>
    <row r="388" spans="3:51" ht="39.75" customHeight="1">
      <c r="C388" s="63" t="s">
        <v>220</v>
      </c>
      <c r="D388" s="62"/>
      <c r="E388" s="65">
        <v>1</v>
      </c>
      <c r="F388" s="64" t="str">
        <f>IF(AF133=1,+'Financial Stat.'!C318,"")</f>
        <v xml:space="preserve">  2026</v>
      </c>
      <c r="G388" s="59"/>
      <c r="U388" s="55"/>
      <c r="V388" s="55"/>
      <c r="W388" s="55"/>
      <c r="X388" s="55"/>
      <c r="Y388" s="55"/>
      <c r="Z388" s="55"/>
      <c r="AA388" s="55"/>
      <c r="AB388" s="55"/>
      <c r="AC388" s="55"/>
      <c r="AD388" s="55"/>
      <c r="AE388" s="55"/>
      <c r="AF388" s="55"/>
      <c r="AG388" s="55"/>
      <c r="AH388" s="55"/>
      <c r="AI388" s="55"/>
      <c r="AJ388" s="55"/>
      <c r="AK388" s="55"/>
      <c r="AL388" s="55"/>
      <c r="AM388" s="55"/>
      <c r="AN388" s="55"/>
      <c r="AO388" s="55"/>
      <c r="AP388" s="55"/>
      <c r="AQ388" s="55"/>
      <c r="AR388" s="55"/>
      <c r="AS388" s="55"/>
      <c r="AT388" s="55"/>
      <c r="AU388" s="55"/>
      <c r="AV388" s="55"/>
      <c r="AW388" s="55"/>
      <c r="AX388" s="55"/>
      <c r="AY388" s="55"/>
    </row>
    <row r="389" spans="3:51" ht="39.75" customHeight="1" thickBot="1">
      <c r="C389" s="63" t="s">
        <v>221</v>
      </c>
      <c r="D389" s="62"/>
      <c r="E389" s="61">
        <v>10</v>
      </c>
      <c r="F389" s="60" t="str">
        <f>IF(AF133=1,CHOOSE((E389)+1,'Financial Stat.'!B318,'Financial Stat.'!C318,'Financial Stat.'!D318,'Financial Stat.'!E318,'Financial Stat.'!F318,'Financial Stat.'!G318,'Financial Stat.'!H318,'Financial Stat.'!I318,'Financial Stat.'!J318,'Financial Stat.'!K318,'Financial Stat.'!L318,'Financial Stat.'!M318,'Financial Stat.'!N318,'Financial Stat.'!O318,'Financial Stat.'!P318,'Financial Stat.'!Q318,'Financial Stat.'!R318,'Financial Stat.'!S318,'Financial Stat.'!T318,'Financial Stat.'!U318,'Financial Stat.'!V318),"")</f>
        <v xml:space="preserve">  2035</v>
      </c>
      <c r="G389" s="59"/>
      <c r="U389" s="55"/>
      <c r="V389" s="55"/>
      <c r="W389" s="55"/>
      <c r="X389" s="55"/>
      <c r="Y389" s="55"/>
      <c r="Z389" s="55"/>
      <c r="AA389" s="55"/>
      <c r="AB389" s="55"/>
      <c r="AC389" s="55"/>
      <c r="AD389" s="55"/>
      <c r="AE389" s="55"/>
      <c r="AF389" s="55"/>
      <c r="AG389" s="55"/>
      <c r="AH389" s="55"/>
      <c r="AI389" s="55"/>
      <c r="AJ389" s="55"/>
      <c r="AK389" s="55"/>
      <c r="AL389" s="55"/>
      <c r="AM389" s="55"/>
      <c r="AN389" s="55"/>
      <c r="AO389" s="55"/>
      <c r="AP389" s="55"/>
      <c r="AQ389" s="55"/>
      <c r="AR389" s="55"/>
      <c r="AS389" s="55"/>
      <c r="AT389" s="55"/>
      <c r="AU389" s="55"/>
      <c r="AV389" s="55"/>
      <c r="AW389" s="55"/>
      <c r="AX389" s="55"/>
      <c r="AY389" s="55"/>
    </row>
    <row r="390" spans="3:51" ht="14.25" customHeight="1" thickTop="1">
      <c r="C390" s="58"/>
      <c r="D390" s="58"/>
      <c r="E390" s="58"/>
      <c r="F390" s="58"/>
      <c r="U390" s="55"/>
      <c r="V390" s="55"/>
      <c r="W390" s="55"/>
      <c r="X390" s="55"/>
      <c r="Y390" s="55"/>
      <c r="Z390" s="55"/>
      <c r="AA390" s="55"/>
      <c r="AB390" s="55"/>
      <c r="AC390" s="55"/>
      <c r="AD390" s="55"/>
      <c r="AE390" s="55"/>
      <c r="AF390" s="55"/>
      <c r="AG390" s="55"/>
      <c r="AH390" s="55"/>
      <c r="AI390" s="55"/>
      <c r="AJ390" s="55"/>
      <c r="AK390" s="55"/>
      <c r="AL390" s="55"/>
      <c r="AM390" s="55"/>
      <c r="AN390" s="55"/>
      <c r="AO390" s="55"/>
      <c r="AP390" s="55"/>
      <c r="AQ390" s="55"/>
      <c r="AR390" s="55"/>
      <c r="AS390" s="55"/>
      <c r="AT390" s="55"/>
      <c r="AU390" s="55"/>
      <c r="AV390" s="55"/>
      <c r="AW390" s="55"/>
      <c r="AX390" s="55"/>
      <c r="AY390" s="55"/>
    </row>
    <row r="391" spans="3:51" ht="20.100000000000001" customHeight="1">
      <c r="U391" s="55"/>
      <c r="V391" s="55"/>
      <c r="W391" s="55"/>
      <c r="X391" s="55"/>
      <c r="Y391" s="55"/>
      <c r="Z391" s="55"/>
      <c r="AA391" s="55"/>
      <c r="AB391" s="55"/>
      <c r="AC391" s="55"/>
      <c r="AD391" s="55"/>
      <c r="AE391" s="55"/>
      <c r="AF391" s="55"/>
      <c r="AG391" s="55"/>
      <c r="AH391" s="55"/>
      <c r="AI391" s="55"/>
      <c r="AJ391" s="55"/>
      <c r="AK391" s="55"/>
      <c r="AL391" s="55"/>
      <c r="AM391" s="55"/>
      <c r="AN391" s="55"/>
      <c r="AO391" s="55"/>
      <c r="AP391" s="55"/>
      <c r="AQ391" s="55"/>
      <c r="AR391" s="55"/>
      <c r="AS391" s="55"/>
      <c r="AT391" s="55"/>
      <c r="AU391" s="55"/>
      <c r="AV391" s="55"/>
      <c r="AW391" s="55"/>
      <c r="AX391" s="55"/>
      <c r="AY391" s="55"/>
    </row>
    <row r="392" spans="3:51" ht="20.100000000000001" customHeight="1">
      <c r="U392" s="55"/>
      <c r="V392" s="55"/>
      <c r="W392" s="55"/>
      <c r="X392" s="55"/>
      <c r="Y392" s="55"/>
      <c r="Z392" s="55"/>
      <c r="AA392" s="55"/>
      <c r="AB392" s="55"/>
      <c r="AC392" s="55"/>
      <c r="AD392" s="55"/>
      <c r="AE392" s="55"/>
      <c r="AF392" s="55"/>
      <c r="AG392" s="55"/>
      <c r="AH392" s="55"/>
      <c r="AI392" s="55"/>
      <c r="AJ392" s="55"/>
      <c r="AK392" s="55"/>
      <c r="AL392" s="55"/>
      <c r="AM392" s="55"/>
      <c r="AN392" s="55"/>
      <c r="AO392" s="55"/>
      <c r="AP392" s="55"/>
      <c r="AQ392" s="55"/>
      <c r="AR392" s="55"/>
      <c r="AS392" s="55"/>
      <c r="AT392" s="55"/>
      <c r="AU392" s="55"/>
      <c r="AV392" s="55"/>
      <c r="AW392" s="55"/>
      <c r="AX392" s="55"/>
      <c r="AY392" s="55"/>
    </row>
    <row r="393" spans="3:51" ht="20.100000000000001" customHeight="1">
      <c r="U393" s="55"/>
      <c r="V393" s="55"/>
      <c r="W393" s="55"/>
      <c r="X393" s="55"/>
      <c r="Y393" s="55"/>
      <c r="Z393" s="55"/>
      <c r="AA393" s="55"/>
      <c r="AB393" s="55"/>
      <c r="AC393" s="55"/>
      <c r="AD393" s="55"/>
      <c r="AE393" s="55"/>
      <c r="AF393" s="55"/>
      <c r="AG393" s="55"/>
      <c r="AH393" s="55"/>
      <c r="AI393" s="55"/>
      <c r="AJ393" s="55"/>
      <c r="AK393" s="55"/>
      <c r="AL393" s="55"/>
      <c r="AM393" s="55"/>
      <c r="AN393" s="55"/>
      <c r="AO393" s="55"/>
      <c r="AP393" s="55"/>
      <c r="AQ393" s="55"/>
      <c r="AR393" s="55"/>
      <c r="AS393" s="55"/>
      <c r="AT393" s="55"/>
      <c r="AU393" s="55"/>
      <c r="AV393" s="55"/>
      <c r="AW393" s="55"/>
      <c r="AX393" s="55"/>
      <c r="AY393" s="55"/>
    </row>
    <row r="394" spans="3:51" ht="20.100000000000001" customHeight="1">
      <c r="U394" s="55"/>
      <c r="V394" s="55"/>
      <c r="W394" s="55"/>
      <c r="X394" s="55"/>
      <c r="Y394" s="55"/>
      <c r="Z394" s="55"/>
      <c r="AA394" s="55"/>
      <c r="AB394" s="55"/>
      <c r="AC394" s="55"/>
      <c r="AD394" s="55"/>
      <c r="AE394" s="55"/>
      <c r="AF394" s="55"/>
      <c r="AG394" s="55"/>
      <c r="AH394" s="55"/>
      <c r="AI394" s="55"/>
      <c r="AJ394" s="55"/>
      <c r="AK394" s="55"/>
      <c r="AL394" s="55"/>
      <c r="AM394" s="55"/>
      <c r="AN394" s="55"/>
      <c r="AO394" s="55"/>
      <c r="AP394" s="55"/>
      <c r="AQ394" s="55"/>
      <c r="AR394" s="55"/>
      <c r="AS394" s="55"/>
      <c r="AT394" s="55"/>
      <c r="AU394" s="55"/>
      <c r="AV394" s="55"/>
      <c r="AW394" s="55"/>
      <c r="AX394" s="55"/>
      <c r="AY394" s="55"/>
    </row>
    <row r="395" spans="3:51" ht="20.100000000000001" customHeight="1">
      <c r="U395" s="55"/>
      <c r="V395" s="55"/>
      <c r="W395" s="55"/>
      <c r="X395" s="55"/>
      <c r="Y395" s="55"/>
      <c r="Z395" s="55"/>
      <c r="AA395" s="55"/>
      <c r="AB395" s="55"/>
      <c r="AC395" s="55"/>
      <c r="AD395" s="55"/>
      <c r="AE395" s="55"/>
      <c r="AF395" s="55"/>
      <c r="AG395" s="55"/>
      <c r="AH395" s="55"/>
      <c r="AI395" s="55"/>
      <c r="AJ395" s="55"/>
      <c r="AK395" s="55"/>
      <c r="AL395" s="55"/>
      <c r="AM395" s="55"/>
      <c r="AN395" s="55"/>
      <c r="AO395" s="55"/>
      <c r="AP395" s="55"/>
      <c r="AQ395" s="55"/>
      <c r="AR395" s="55"/>
      <c r="AS395" s="55"/>
      <c r="AT395" s="55"/>
      <c r="AU395" s="55"/>
      <c r="AV395" s="55"/>
      <c r="AW395" s="55"/>
      <c r="AX395" s="55"/>
      <c r="AY395" s="55"/>
    </row>
    <row r="396" spans="3:51" ht="20.100000000000001" customHeight="1">
      <c r="U396" s="55"/>
      <c r="V396" s="55"/>
      <c r="W396" s="55"/>
      <c r="X396" s="55"/>
      <c r="Y396" s="55"/>
      <c r="Z396" s="55"/>
      <c r="AA396" s="55"/>
      <c r="AB396" s="55"/>
      <c r="AC396" s="55"/>
      <c r="AD396" s="55"/>
      <c r="AE396" s="55"/>
      <c r="AF396" s="55"/>
      <c r="AG396" s="55"/>
      <c r="AH396" s="55"/>
      <c r="AI396" s="55"/>
      <c r="AJ396" s="55"/>
      <c r="AK396" s="55"/>
      <c r="AL396" s="55"/>
      <c r="AM396" s="55"/>
      <c r="AN396" s="55"/>
      <c r="AO396" s="55"/>
      <c r="AP396" s="55"/>
      <c r="AQ396" s="55"/>
      <c r="AR396" s="55"/>
      <c r="AS396" s="55"/>
      <c r="AT396" s="55"/>
      <c r="AU396" s="55"/>
      <c r="AV396" s="55"/>
      <c r="AW396" s="55"/>
      <c r="AX396" s="55"/>
      <c r="AY396" s="55"/>
    </row>
    <row r="397" spans="3:51" ht="20.100000000000001" customHeight="1">
      <c r="U397" s="55"/>
      <c r="V397" s="55"/>
      <c r="W397" s="55"/>
      <c r="X397" s="55"/>
      <c r="Y397" s="55"/>
      <c r="Z397" s="55"/>
      <c r="AA397" s="55"/>
      <c r="AB397" s="55"/>
      <c r="AC397" s="55"/>
      <c r="AD397" s="55"/>
      <c r="AE397" s="55"/>
      <c r="AF397" s="55"/>
      <c r="AG397" s="55"/>
      <c r="AH397" s="55"/>
      <c r="AI397" s="55"/>
      <c r="AJ397" s="55"/>
      <c r="AK397" s="55"/>
      <c r="AL397" s="55"/>
      <c r="AM397" s="55"/>
      <c r="AN397" s="55"/>
      <c r="AO397" s="55"/>
      <c r="AP397" s="55"/>
      <c r="AQ397" s="55"/>
      <c r="AR397" s="55"/>
      <c r="AS397" s="55"/>
      <c r="AT397" s="55"/>
      <c r="AU397" s="55"/>
      <c r="AV397" s="55"/>
      <c r="AW397" s="55"/>
      <c r="AX397" s="55"/>
      <c r="AY397" s="55"/>
    </row>
    <row r="398" spans="3:51" ht="20.100000000000001" customHeight="1">
      <c r="U398" s="55"/>
      <c r="V398" s="55"/>
      <c r="W398" s="55"/>
      <c r="X398" s="55"/>
      <c r="Y398" s="55"/>
      <c r="Z398" s="55"/>
      <c r="AA398" s="55"/>
      <c r="AB398" s="55"/>
      <c r="AC398" s="55"/>
      <c r="AD398" s="55"/>
      <c r="AE398" s="55"/>
      <c r="AF398" s="55"/>
      <c r="AG398" s="55"/>
      <c r="AH398" s="55"/>
      <c r="AI398" s="55"/>
      <c r="AJ398" s="55"/>
      <c r="AK398" s="55"/>
      <c r="AL398" s="55"/>
      <c r="AM398" s="55"/>
      <c r="AN398" s="55"/>
      <c r="AO398" s="55"/>
      <c r="AP398" s="55"/>
      <c r="AQ398" s="55"/>
      <c r="AR398" s="55"/>
      <c r="AS398" s="55"/>
      <c r="AT398" s="55"/>
      <c r="AU398" s="55"/>
      <c r="AV398" s="55"/>
      <c r="AW398" s="55"/>
      <c r="AX398" s="55"/>
      <c r="AY398" s="55"/>
    </row>
    <row r="399" spans="3:51" ht="20.100000000000001" customHeight="1">
      <c r="U399" s="55"/>
      <c r="V399" s="55"/>
      <c r="W399" s="55"/>
      <c r="X399" s="55"/>
      <c r="Y399" s="55"/>
      <c r="Z399" s="55"/>
      <c r="AA399" s="55"/>
      <c r="AB399" s="55"/>
      <c r="AC399" s="55"/>
      <c r="AD399" s="55"/>
      <c r="AE399" s="55"/>
      <c r="AF399" s="55"/>
      <c r="AG399" s="55"/>
      <c r="AH399" s="55"/>
      <c r="AI399" s="55"/>
      <c r="AJ399" s="55"/>
      <c r="AK399" s="55"/>
      <c r="AL399" s="55"/>
      <c r="AM399" s="55"/>
      <c r="AN399" s="55"/>
      <c r="AO399" s="55"/>
      <c r="AP399" s="55"/>
      <c r="AQ399" s="55"/>
      <c r="AR399" s="55"/>
      <c r="AS399" s="55"/>
      <c r="AT399" s="55"/>
      <c r="AU399" s="55"/>
      <c r="AV399" s="55"/>
      <c r="AW399" s="55"/>
      <c r="AX399" s="55"/>
      <c r="AY399" s="55"/>
    </row>
    <row r="400" spans="3:51" ht="20.100000000000001" customHeight="1">
      <c r="U400" s="55"/>
      <c r="V400" s="55"/>
      <c r="W400" s="55"/>
      <c r="X400" s="55"/>
      <c r="Y400" s="55"/>
      <c r="Z400" s="55"/>
      <c r="AA400" s="55"/>
      <c r="AB400" s="55"/>
      <c r="AC400" s="55"/>
      <c r="AD400" s="55"/>
      <c r="AE400" s="55"/>
      <c r="AF400" s="55"/>
      <c r="AG400" s="55"/>
      <c r="AH400" s="55"/>
      <c r="AI400" s="55"/>
      <c r="AJ400" s="55"/>
      <c r="AK400" s="55"/>
      <c r="AL400" s="55"/>
      <c r="AM400" s="55"/>
      <c r="AN400" s="55"/>
      <c r="AO400" s="55"/>
      <c r="AP400" s="55"/>
      <c r="AQ400" s="55"/>
      <c r="AR400" s="55"/>
      <c r="AS400" s="55"/>
      <c r="AT400" s="55"/>
      <c r="AU400" s="55"/>
      <c r="AV400" s="55"/>
      <c r="AW400" s="55"/>
      <c r="AX400" s="55"/>
      <c r="AY400" s="55"/>
    </row>
    <row r="401" spans="1:51" ht="20.100000000000001" customHeight="1">
      <c r="U401" s="55"/>
      <c r="V401" s="55"/>
      <c r="W401" s="55"/>
      <c r="X401" s="55"/>
      <c r="Y401" s="55"/>
      <c r="Z401" s="55"/>
      <c r="AA401" s="55"/>
      <c r="AB401" s="55"/>
      <c r="AC401" s="55"/>
      <c r="AD401" s="55"/>
      <c r="AE401" s="55"/>
      <c r="AF401" s="55"/>
      <c r="AG401" s="55"/>
      <c r="AH401" s="55"/>
      <c r="AI401" s="55"/>
      <c r="AJ401" s="55"/>
      <c r="AK401" s="55"/>
      <c r="AL401" s="55"/>
      <c r="AM401" s="55"/>
      <c r="AN401" s="55"/>
      <c r="AO401" s="55"/>
      <c r="AP401" s="55"/>
      <c r="AQ401" s="55"/>
      <c r="AR401" s="55"/>
      <c r="AS401" s="55"/>
      <c r="AT401" s="55"/>
      <c r="AU401" s="55"/>
      <c r="AV401" s="55"/>
      <c r="AW401" s="55"/>
      <c r="AX401" s="55"/>
      <c r="AY401" s="55"/>
    </row>
    <row r="402" spans="1:51" ht="20.100000000000001" customHeight="1">
      <c r="A402" s="55"/>
      <c r="B402" s="55"/>
      <c r="C402" s="55"/>
      <c r="D402" s="56"/>
      <c r="E402" s="56"/>
      <c r="F402" s="55"/>
      <c r="U402" s="55"/>
      <c r="V402" s="55"/>
      <c r="W402" s="55"/>
      <c r="X402" s="55"/>
      <c r="Y402" s="55"/>
      <c r="Z402" s="55"/>
      <c r="AA402" s="55"/>
      <c r="AB402" s="55"/>
      <c r="AC402" s="55"/>
      <c r="AD402" s="55"/>
      <c r="AE402" s="55"/>
      <c r="AF402" s="55"/>
      <c r="AG402" s="55"/>
      <c r="AH402" s="55"/>
      <c r="AI402" s="55"/>
      <c r="AJ402" s="55"/>
      <c r="AK402" s="55"/>
      <c r="AL402" s="55"/>
      <c r="AM402" s="55"/>
      <c r="AN402" s="55"/>
      <c r="AO402" s="55"/>
      <c r="AP402" s="55"/>
      <c r="AQ402" s="55"/>
      <c r="AR402" s="55"/>
      <c r="AS402" s="55"/>
      <c r="AT402" s="55"/>
      <c r="AU402" s="55"/>
      <c r="AV402" s="55"/>
      <c r="AW402" s="55"/>
      <c r="AX402" s="55"/>
      <c r="AY402" s="55"/>
    </row>
    <row r="403" spans="1:51" ht="20.100000000000001" customHeight="1">
      <c r="A403" s="56" t="s">
        <v>222</v>
      </c>
      <c r="B403" s="56"/>
      <c r="C403" s="56" t="s">
        <v>223</v>
      </c>
      <c r="D403" s="56"/>
      <c r="E403" s="56"/>
      <c r="F403" s="56"/>
      <c r="G403" s="57"/>
      <c r="U403" s="55"/>
      <c r="V403" s="55"/>
      <c r="W403" s="55"/>
      <c r="X403" s="55"/>
      <c r="Y403" s="55"/>
      <c r="Z403" s="55"/>
      <c r="AA403" s="55"/>
      <c r="AB403" s="55"/>
      <c r="AC403" s="55"/>
      <c r="AD403" s="55"/>
      <c r="AE403" s="55"/>
      <c r="AF403" s="55"/>
      <c r="AG403" s="55"/>
      <c r="AH403" s="55"/>
      <c r="AI403" s="55"/>
      <c r="AJ403" s="55"/>
      <c r="AK403" s="55"/>
      <c r="AL403" s="55"/>
      <c r="AM403" s="55"/>
      <c r="AN403" s="55"/>
      <c r="AO403" s="55"/>
      <c r="AP403" s="55"/>
      <c r="AQ403" s="55"/>
      <c r="AR403" s="55"/>
      <c r="AS403" s="55"/>
      <c r="AT403" s="55"/>
      <c r="AU403" s="55"/>
      <c r="AV403" s="55"/>
      <c r="AW403" s="55"/>
      <c r="AX403" s="55"/>
      <c r="AY403" s="55"/>
    </row>
    <row r="404" spans="1:51" ht="20.100000000000001" customHeight="1">
      <c r="A404" s="56"/>
      <c r="B404" s="56"/>
      <c r="C404" s="56" t="s">
        <v>224</v>
      </c>
      <c r="D404" s="56"/>
      <c r="E404" s="56"/>
      <c r="F404" s="56"/>
      <c r="G404" s="57"/>
      <c r="U404" s="55"/>
      <c r="V404" s="55"/>
      <c r="W404" s="55"/>
      <c r="X404" s="55"/>
      <c r="Y404" s="55"/>
      <c r="Z404" s="55"/>
      <c r="AA404" s="55"/>
      <c r="AB404" s="55"/>
      <c r="AC404" s="55"/>
      <c r="AD404" s="55"/>
      <c r="AE404" s="55"/>
      <c r="AF404" s="55"/>
      <c r="AG404" s="55"/>
      <c r="AH404" s="55"/>
      <c r="AI404" s="55"/>
      <c r="AJ404" s="55"/>
      <c r="AK404" s="55"/>
      <c r="AL404" s="55"/>
      <c r="AM404" s="55"/>
      <c r="AN404" s="55"/>
      <c r="AO404" s="55"/>
      <c r="AP404" s="55"/>
      <c r="AQ404" s="55"/>
      <c r="AR404" s="55"/>
      <c r="AS404" s="55"/>
      <c r="AT404" s="55"/>
      <c r="AU404" s="55"/>
      <c r="AV404" s="55"/>
      <c r="AW404" s="55"/>
      <c r="AX404" s="55"/>
      <c r="AY404" s="55"/>
    </row>
    <row r="405" spans="1:51" ht="20.100000000000001" customHeight="1">
      <c r="A405" s="56"/>
      <c r="B405" s="56"/>
      <c r="C405" s="56" t="str">
        <f>"determine the opening balance sheet for "&amp;TRIM(Assumptions!B317)&amp;".  Fixed and Intangible"</f>
        <v>determine the opening balance sheet for .  Fixed and Intangible</v>
      </c>
      <c r="D405" s="56"/>
      <c r="E405" s="56"/>
      <c r="F405" s="56"/>
      <c r="G405" s="57"/>
      <c r="U405" s="55"/>
      <c r="V405" s="55"/>
      <c r="W405" s="55"/>
      <c r="X405" s="55"/>
      <c r="Y405" s="55"/>
      <c r="Z405" s="55"/>
      <c r="AA405" s="55"/>
      <c r="AB405" s="55"/>
      <c r="AC405" s="55"/>
      <c r="AD405" s="55"/>
      <c r="AE405" s="55"/>
      <c r="AF405" s="55"/>
      <c r="AG405" s="55"/>
      <c r="AH405" s="55"/>
      <c r="AI405" s="55"/>
      <c r="AJ405" s="55"/>
      <c r="AK405" s="55"/>
      <c r="AL405" s="55"/>
      <c r="AM405" s="55"/>
      <c r="AN405" s="55"/>
      <c r="AO405" s="55"/>
      <c r="AP405" s="55"/>
      <c r="AQ405" s="55"/>
      <c r="AR405" s="55"/>
      <c r="AS405" s="55"/>
      <c r="AT405" s="55"/>
      <c r="AU405" s="55"/>
      <c r="AV405" s="55"/>
      <c r="AW405" s="55"/>
      <c r="AX405" s="55"/>
      <c r="AY405" s="55"/>
    </row>
    <row r="406" spans="1:51" ht="20.100000000000001" customHeight="1">
      <c r="A406" s="56"/>
      <c r="B406" s="56"/>
      <c r="C406" s="56" t="s">
        <v>225</v>
      </c>
      <c r="D406" s="55"/>
      <c r="E406" s="55"/>
      <c r="F406" s="56"/>
      <c r="G406" s="57"/>
      <c r="U406" s="55"/>
      <c r="V406" s="55"/>
      <c r="W406" s="55"/>
      <c r="X406" s="55"/>
      <c r="Y406" s="55"/>
      <c r="Z406" s="55"/>
      <c r="AA406" s="55"/>
      <c r="AB406" s="55"/>
      <c r="AC406" s="55"/>
      <c r="AD406" s="55"/>
      <c r="AE406" s="55"/>
      <c r="AF406" s="55"/>
      <c r="AG406" s="55"/>
      <c r="AH406" s="55"/>
      <c r="AI406" s="55"/>
      <c r="AJ406" s="55"/>
      <c r="AK406" s="55"/>
      <c r="AL406" s="55"/>
      <c r="AM406" s="55"/>
      <c r="AN406" s="55"/>
      <c r="AO406" s="55"/>
      <c r="AP406" s="55"/>
      <c r="AQ406" s="55"/>
      <c r="AR406" s="55"/>
      <c r="AS406" s="55"/>
      <c r="AT406" s="55"/>
      <c r="AU406" s="55"/>
      <c r="AV406" s="55"/>
      <c r="AW406" s="55"/>
      <c r="AX406" s="55"/>
      <c r="AY406" s="55"/>
    </row>
    <row r="407" spans="1:51" ht="20.100000000000001" customHeight="1">
      <c r="A407" s="55"/>
      <c r="B407" s="55"/>
      <c r="C407" s="55"/>
      <c r="D407" s="55"/>
      <c r="E407" s="55"/>
      <c r="F407" s="55"/>
      <c r="U407" s="55"/>
      <c r="V407" s="55"/>
      <c r="W407" s="55"/>
      <c r="X407" s="55"/>
      <c r="Y407" s="55"/>
      <c r="Z407" s="55"/>
      <c r="AA407" s="55"/>
      <c r="AB407" s="55"/>
      <c r="AC407" s="55"/>
      <c r="AD407" s="55"/>
      <c r="AE407" s="55"/>
      <c r="AF407" s="55"/>
      <c r="AG407" s="55"/>
      <c r="AH407" s="55"/>
      <c r="AI407" s="55"/>
      <c r="AJ407" s="55"/>
      <c r="AK407" s="55"/>
      <c r="AL407" s="55"/>
      <c r="AM407" s="55"/>
      <c r="AN407" s="55"/>
      <c r="AO407" s="55"/>
      <c r="AP407" s="55"/>
      <c r="AQ407" s="55"/>
      <c r="AR407" s="55"/>
      <c r="AS407" s="55"/>
      <c r="AT407" s="55"/>
      <c r="AU407" s="55"/>
      <c r="AV407" s="55"/>
      <c r="AW407" s="55"/>
      <c r="AX407" s="55"/>
      <c r="AY407" s="55"/>
    </row>
    <row r="408" spans="1:51" ht="20.100000000000001" customHeight="1">
      <c r="A408" s="55"/>
      <c r="B408" s="55"/>
      <c r="C408" s="55"/>
      <c r="D408" s="55"/>
      <c r="E408" s="55"/>
      <c r="F408" s="55"/>
      <c r="U408" s="55"/>
      <c r="V408" s="55"/>
      <c r="W408" s="55"/>
      <c r="X408" s="55"/>
      <c r="Y408" s="55"/>
      <c r="Z408" s="55"/>
      <c r="AA408" s="55"/>
      <c r="AB408" s="55"/>
      <c r="AC408" s="55"/>
      <c r="AD408" s="55"/>
      <c r="AE408" s="55"/>
      <c r="AF408" s="55"/>
      <c r="AG408" s="55"/>
      <c r="AH408" s="55"/>
      <c r="AI408" s="55"/>
      <c r="AJ408" s="55"/>
      <c r="AK408" s="55"/>
      <c r="AL408" s="55"/>
      <c r="AM408" s="55"/>
      <c r="AN408" s="55"/>
      <c r="AO408" s="55"/>
      <c r="AP408" s="55"/>
      <c r="AQ408" s="55"/>
      <c r="AR408" s="55"/>
      <c r="AS408" s="55"/>
      <c r="AT408" s="55"/>
      <c r="AU408" s="55"/>
      <c r="AV408" s="55"/>
      <c r="AW408" s="55"/>
      <c r="AX408" s="55"/>
      <c r="AY408" s="55"/>
    </row>
    <row r="409" spans="1:51" ht="20.100000000000001" customHeight="1">
      <c r="A409" s="55"/>
      <c r="B409" s="55"/>
      <c r="C409" s="55"/>
      <c r="D409" s="55"/>
      <c r="E409" s="55" t="s">
        <v>226</v>
      </c>
      <c r="F409" s="55"/>
      <c r="G409" s="54" t="s">
        <v>70</v>
      </c>
      <c r="U409" s="55"/>
      <c r="V409" s="55"/>
      <c r="W409" s="55"/>
      <c r="X409" s="55"/>
      <c r="Y409" s="55"/>
      <c r="Z409" s="55"/>
      <c r="AA409" s="55"/>
      <c r="AB409" s="55"/>
      <c r="AC409" s="55"/>
      <c r="AD409" s="55"/>
      <c r="AE409" s="55"/>
      <c r="AF409" s="55"/>
      <c r="AG409" s="55"/>
      <c r="AH409" s="55"/>
      <c r="AI409" s="55"/>
      <c r="AJ409" s="55"/>
      <c r="AK409" s="55"/>
      <c r="AL409" s="55"/>
      <c r="AM409" s="55"/>
      <c r="AN409" s="55"/>
      <c r="AO409" s="55"/>
      <c r="AP409" s="55"/>
      <c r="AQ409" s="55"/>
      <c r="AR409" s="55"/>
      <c r="AS409" s="55"/>
      <c r="AT409" s="55"/>
      <c r="AU409" s="55"/>
      <c r="AV409" s="55"/>
      <c r="AW409" s="55"/>
      <c r="AX409" s="55"/>
      <c r="AY409" s="55"/>
    </row>
    <row r="410" spans="1:51" ht="20.100000000000001" customHeight="1">
      <c r="A410" s="55"/>
      <c r="B410" s="55"/>
      <c r="C410" s="55"/>
      <c r="D410" s="55"/>
      <c r="E410" s="55" t="s">
        <v>70</v>
      </c>
      <c r="F410" s="56"/>
      <c r="G410" s="57"/>
      <c r="H410" s="57"/>
      <c r="U410" s="55"/>
      <c r="V410" s="55"/>
      <c r="W410" s="55"/>
      <c r="X410" s="55"/>
      <c r="Y410" s="55"/>
      <c r="Z410" s="55"/>
      <c r="AA410" s="55"/>
      <c r="AB410" s="55"/>
      <c r="AC410" s="55"/>
      <c r="AD410" s="55"/>
      <c r="AE410" s="55"/>
      <c r="AF410" s="55"/>
      <c r="AG410" s="55"/>
      <c r="AH410" s="55"/>
      <c r="AI410" s="55"/>
      <c r="AJ410" s="55"/>
      <c r="AK410" s="55"/>
      <c r="AL410" s="55"/>
      <c r="AM410" s="55"/>
      <c r="AN410" s="55"/>
      <c r="AO410" s="55"/>
      <c r="AP410" s="55"/>
      <c r="AQ410" s="55"/>
      <c r="AR410" s="55"/>
      <c r="AS410" s="55"/>
      <c r="AT410" s="55"/>
      <c r="AU410" s="55"/>
      <c r="AV410" s="55"/>
      <c r="AW410" s="55"/>
      <c r="AX410" s="55"/>
      <c r="AY410" s="55"/>
    </row>
    <row r="411" spans="1:51" ht="20.100000000000001" customHeight="1">
      <c r="A411" s="55"/>
      <c r="B411" s="55"/>
      <c r="C411" s="55" t="s">
        <v>227</v>
      </c>
      <c r="D411" s="55"/>
      <c r="E411" s="55"/>
      <c r="F411" s="56"/>
      <c r="G411" s="57"/>
      <c r="H411" s="57"/>
      <c r="U411" s="55"/>
      <c r="V411" s="55"/>
      <c r="W411" s="55"/>
      <c r="X411" s="55"/>
      <c r="Y411" s="55"/>
      <c r="Z411" s="55"/>
      <c r="AA411" s="55"/>
      <c r="AB411" s="55"/>
      <c r="AC411" s="55"/>
      <c r="AD411" s="55"/>
      <c r="AE411" s="55"/>
      <c r="AF411" s="55"/>
      <c r="AG411" s="55"/>
      <c r="AH411" s="55"/>
      <c r="AI411" s="55"/>
      <c r="AJ411" s="55"/>
      <c r="AK411" s="55"/>
      <c r="AL411" s="55"/>
      <c r="AM411" s="55"/>
      <c r="AN411" s="55"/>
      <c r="AO411" s="55"/>
      <c r="AP411" s="55"/>
      <c r="AQ411" s="55"/>
      <c r="AR411" s="55"/>
      <c r="AS411" s="55"/>
      <c r="AT411" s="55"/>
      <c r="AU411" s="55"/>
      <c r="AV411" s="55"/>
      <c r="AW411" s="55"/>
      <c r="AX411" s="55"/>
      <c r="AY411" s="55"/>
    </row>
    <row r="412" spans="1:51" ht="20.100000000000001" customHeight="1">
      <c r="A412" s="55"/>
      <c r="B412" s="55"/>
      <c r="C412" s="55" t="s">
        <v>228</v>
      </c>
      <c r="D412" s="55"/>
      <c r="E412" s="55"/>
      <c r="F412" s="55"/>
      <c r="U412" s="55"/>
      <c r="V412" s="55"/>
      <c r="W412" s="55"/>
      <c r="X412" s="55"/>
      <c r="Y412" s="55"/>
      <c r="Z412" s="55"/>
      <c r="AA412" s="55"/>
      <c r="AB412" s="55"/>
      <c r="AC412" s="55"/>
      <c r="AD412" s="55"/>
      <c r="AE412" s="55"/>
      <c r="AF412" s="55"/>
      <c r="AG412" s="55"/>
      <c r="AH412" s="55"/>
      <c r="AI412" s="55"/>
      <c r="AJ412" s="55"/>
      <c r="AK412" s="55"/>
      <c r="AL412" s="55"/>
      <c r="AM412" s="55"/>
      <c r="AN412" s="55"/>
      <c r="AO412" s="55"/>
      <c r="AP412" s="55"/>
      <c r="AQ412" s="55"/>
      <c r="AR412" s="55"/>
      <c r="AS412" s="55"/>
      <c r="AT412" s="55"/>
      <c r="AU412" s="55"/>
      <c r="AV412" s="55"/>
      <c r="AW412" s="55"/>
      <c r="AX412" s="55"/>
      <c r="AY412" s="55"/>
    </row>
    <row r="413" spans="1:51" ht="20.100000000000001" customHeight="1">
      <c r="A413" s="55"/>
      <c r="B413" s="55"/>
      <c r="C413" s="55" t="s">
        <v>26</v>
      </c>
      <c r="D413" s="55"/>
      <c r="E413" s="55"/>
      <c r="F413" s="55"/>
      <c r="U413" s="55"/>
      <c r="V413" s="55"/>
      <c r="W413" s="55"/>
      <c r="X413" s="55"/>
      <c r="Y413" s="55"/>
      <c r="Z413" s="55"/>
      <c r="AA413" s="55"/>
      <c r="AB413" s="55"/>
      <c r="AC413" s="55"/>
      <c r="AD413" s="55"/>
      <c r="AE413" s="55"/>
      <c r="AF413" s="55"/>
      <c r="AG413" s="55"/>
      <c r="AH413" s="55"/>
      <c r="AI413" s="55"/>
      <c r="AJ413" s="55"/>
      <c r="AK413" s="55"/>
      <c r="AL413" s="55"/>
      <c r="AM413" s="55"/>
      <c r="AN413" s="55"/>
      <c r="AO413" s="55"/>
      <c r="AP413" s="55"/>
      <c r="AQ413" s="55"/>
      <c r="AR413" s="55"/>
      <c r="AS413" s="55"/>
      <c r="AT413" s="55"/>
      <c r="AU413" s="55"/>
      <c r="AV413" s="55"/>
      <c r="AW413" s="55"/>
      <c r="AX413" s="55"/>
      <c r="AY413" s="55"/>
    </row>
    <row r="414" spans="1:51" ht="20.100000000000001" customHeight="1">
      <c r="A414" s="55"/>
      <c r="B414" s="55"/>
      <c r="C414" s="55" t="s">
        <v>172</v>
      </c>
      <c r="D414" s="55"/>
      <c r="E414" s="55"/>
      <c r="F414" s="55"/>
      <c r="U414" s="55"/>
      <c r="V414" s="55"/>
      <c r="W414" s="55"/>
      <c r="X414" s="55"/>
      <c r="Y414" s="55"/>
      <c r="Z414" s="55"/>
      <c r="AA414" s="55"/>
      <c r="AB414" s="55"/>
      <c r="AC414" s="55"/>
      <c r="AD414" s="55"/>
      <c r="AE414" s="55"/>
      <c r="AF414" s="55"/>
      <c r="AG414" s="55"/>
      <c r="AH414" s="55"/>
      <c r="AI414" s="55"/>
      <c r="AJ414" s="55"/>
      <c r="AK414" s="55"/>
      <c r="AL414" s="55"/>
      <c r="AM414" s="55"/>
      <c r="AN414" s="55"/>
      <c r="AO414" s="55"/>
      <c r="AP414" s="55"/>
      <c r="AQ414" s="55"/>
      <c r="AR414" s="55"/>
      <c r="AS414" s="55"/>
      <c r="AT414" s="55"/>
      <c r="AU414" s="55"/>
      <c r="AV414" s="55"/>
      <c r="AW414" s="55"/>
      <c r="AX414" s="55"/>
      <c r="AY414" s="55"/>
    </row>
    <row r="415" spans="1:51" ht="20.100000000000001" customHeight="1">
      <c r="A415" s="55"/>
      <c r="B415" s="55"/>
      <c r="C415" s="55" t="s">
        <v>123</v>
      </c>
      <c r="D415" s="55"/>
      <c r="E415" s="55"/>
      <c r="F415" s="55"/>
      <c r="U415" s="55"/>
      <c r="V415" s="55"/>
      <c r="W415" s="55"/>
      <c r="X415" s="55"/>
      <c r="Y415" s="55"/>
      <c r="Z415" s="55"/>
      <c r="AA415" s="55"/>
      <c r="AB415" s="55"/>
      <c r="AC415" s="55"/>
      <c r="AD415" s="55"/>
      <c r="AE415" s="55"/>
      <c r="AF415" s="55"/>
      <c r="AG415" s="55"/>
      <c r="AH415" s="55"/>
      <c r="AI415" s="55"/>
      <c r="AJ415" s="55"/>
      <c r="AK415" s="55"/>
      <c r="AL415" s="55"/>
      <c r="AM415" s="55"/>
      <c r="AN415" s="55"/>
      <c r="AO415" s="55"/>
      <c r="AP415" s="55"/>
      <c r="AQ415" s="55"/>
      <c r="AR415" s="55"/>
      <c r="AS415" s="55"/>
      <c r="AT415" s="55"/>
      <c r="AU415" s="55"/>
      <c r="AV415" s="55"/>
      <c r="AW415" s="55"/>
      <c r="AX415" s="55"/>
      <c r="AY415" s="55"/>
    </row>
    <row r="416" spans="1:51" ht="20.100000000000001" customHeight="1">
      <c r="A416" s="55"/>
      <c r="B416" s="55"/>
      <c r="C416" s="55"/>
      <c r="D416" s="55"/>
      <c r="E416" s="55" t="s">
        <v>70</v>
      </c>
      <c r="F416" s="55"/>
      <c r="U416" s="55"/>
      <c r="V416" s="55"/>
      <c r="W416" s="55"/>
      <c r="X416" s="55"/>
      <c r="Y416" s="55"/>
      <c r="Z416" s="55"/>
      <c r="AA416" s="55"/>
      <c r="AB416" s="55"/>
      <c r="AC416" s="55"/>
      <c r="AD416" s="55"/>
      <c r="AE416" s="55"/>
      <c r="AF416" s="55"/>
      <c r="AG416" s="55"/>
      <c r="AH416" s="55"/>
      <c r="AI416" s="55"/>
      <c r="AJ416" s="55"/>
      <c r="AK416" s="55"/>
      <c r="AL416" s="55"/>
      <c r="AM416" s="55"/>
      <c r="AN416" s="55"/>
      <c r="AO416" s="55"/>
      <c r="AP416" s="55"/>
      <c r="AQ416" s="55"/>
      <c r="AR416" s="55"/>
      <c r="AS416" s="55"/>
      <c r="AT416" s="55"/>
      <c r="AU416" s="55"/>
      <c r="AV416" s="55"/>
      <c r="AW416" s="55"/>
      <c r="AX416" s="55"/>
      <c r="AY416" s="55"/>
    </row>
    <row r="417" spans="1:51" ht="20.100000000000001" customHeight="1">
      <c r="A417" s="55"/>
      <c r="B417" s="55"/>
      <c r="C417" s="55" t="s">
        <v>229</v>
      </c>
      <c r="D417" s="55"/>
      <c r="E417" s="55"/>
      <c r="F417" s="55"/>
      <c r="U417" s="55"/>
      <c r="V417" s="55"/>
      <c r="W417" s="55"/>
      <c r="X417" s="55"/>
      <c r="Y417" s="55"/>
      <c r="Z417" s="55"/>
      <c r="AA417" s="55"/>
      <c r="AB417" s="55"/>
      <c r="AC417" s="55"/>
      <c r="AD417" s="55"/>
      <c r="AE417" s="55"/>
      <c r="AF417" s="55"/>
      <c r="AG417" s="55"/>
      <c r="AH417" s="55"/>
      <c r="AI417" s="55"/>
      <c r="AJ417" s="55"/>
      <c r="AK417" s="55"/>
      <c r="AL417" s="55"/>
      <c r="AM417" s="55"/>
      <c r="AN417" s="55"/>
      <c r="AO417" s="55"/>
      <c r="AP417" s="55"/>
      <c r="AQ417" s="55"/>
      <c r="AR417" s="55"/>
      <c r="AS417" s="55"/>
      <c r="AT417" s="55"/>
      <c r="AU417" s="55"/>
      <c r="AV417" s="55"/>
      <c r="AW417" s="55"/>
      <c r="AX417" s="55"/>
      <c r="AY417" s="55"/>
    </row>
    <row r="418" spans="1:51" ht="21" customHeight="1">
      <c r="A418" s="55"/>
      <c r="B418" s="55"/>
      <c r="C418" s="55"/>
      <c r="D418" s="55"/>
      <c r="E418" s="55"/>
      <c r="F418" s="55"/>
      <c r="U418" s="55"/>
      <c r="V418" s="55"/>
      <c r="W418" s="55"/>
      <c r="X418" s="55"/>
      <c r="Y418" s="55"/>
      <c r="Z418" s="55"/>
      <c r="AA418" s="55"/>
      <c r="AB418" s="55"/>
      <c r="AC418" s="55"/>
      <c r="AD418" s="55"/>
      <c r="AE418" s="55"/>
      <c r="AF418" s="55"/>
      <c r="AG418" s="55"/>
      <c r="AH418" s="55"/>
      <c r="AI418" s="55"/>
      <c r="AJ418" s="55"/>
      <c r="AK418" s="55"/>
      <c r="AL418" s="55"/>
      <c r="AM418" s="55"/>
      <c r="AN418" s="55"/>
      <c r="AO418" s="55"/>
      <c r="AP418" s="55"/>
      <c r="AQ418" s="55"/>
      <c r="AR418" s="55"/>
      <c r="AS418" s="55"/>
      <c r="AT418" s="55"/>
      <c r="AU418" s="55"/>
      <c r="AV418" s="55"/>
      <c r="AW418" s="55"/>
      <c r="AX418" s="55"/>
      <c r="AY418" s="55"/>
    </row>
    <row r="419" spans="1:51" ht="6" customHeight="1">
      <c r="A419" s="55"/>
      <c r="B419" s="55"/>
      <c r="C419" s="55" t="s">
        <v>230</v>
      </c>
      <c r="D419" s="55"/>
      <c r="E419" s="55"/>
      <c r="F419" s="55"/>
      <c r="U419" s="55"/>
      <c r="V419" s="55"/>
      <c r="W419" s="55"/>
      <c r="X419" s="55"/>
      <c r="Y419" s="55"/>
      <c r="Z419" s="55"/>
      <c r="AA419" s="55"/>
      <c r="AB419" s="55"/>
      <c r="AC419" s="55"/>
      <c r="AD419" s="55"/>
      <c r="AE419" s="55"/>
      <c r="AF419" s="55"/>
      <c r="AG419" s="55"/>
      <c r="AH419" s="55"/>
      <c r="AI419" s="55"/>
      <c r="AJ419" s="55"/>
      <c r="AK419" s="55"/>
      <c r="AL419" s="55"/>
      <c r="AM419" s="55"/>
      <c r="AN419" s="55"/>
      <c r="AO419" s="55"/>
      <c r="AP419" s="55"/>
      <c r="AQ419" s="55"/>
      <c r="AR419" s="55"/>
      <c r="AS419" s="55"/>
      <c r="AT419" s="55"/>
      <c r="AU419" s="55"/>
      <c r="AV419" s="55"/>
      <c r="AW419" s="55"/>
      <c r="AX419" s="55"/>
      <c r="AY419" s="55"/>
    </row>
    <row r="420" spans="1:51" ht="20.100000000000001" customHeight="1">
      <c r="A420" s="55"/>
      <c r="B420" s="55"/>
      <c r="C420" s="55"/>
      <c r="D420" s="55"/>
      <c r="E420" s="55"/>
      <c r="F420" s="55"/>
      <c r="U420" s="55"/>
      <c r="V420" s="55"/>
      <c r="W420" s="55"/>
      <c r="X420" s="55"/>
      <c r="Y420" s="55"/>
      <c r="Z420" s="55"/>
      <c r="AA420" s="55"/>
      <c r="AB420" s="55"/>
      <c r="AC420" s="55"/>
      <c r="AD420" s="55"/>
      <c r="AE420" s="55"/>
      <c r="AF420" s="55"/>
      <c r="AG420" s="55"/>
      <c r="AH420" s="55"/>
      <c r="AI420" s="55"/>
      <c r="AJ420" s="55"/>
      <c r="AK420" s="55"/>
      <c r="AL420" s="55"/>
      <c r="AM420" s="55"/>
      <c r="AN420" s="55"/>
      <c r="AO420" s="55"/>
      <c r="AP420" s="55"/>
      <c r="AQ420" s="55"/>
      <c r="AR420" s="55"/>
      <c r="AS420" s="55"/>
      <c r="AT420" s="55"/>
      <c r="AU420" s="55"/>
      <c r="AV420" s="55"/>
      <c r="AW420" s="55"/>
      <c r="AX420" s="55"/>
      <c r="AY420" s="55"/>
    </row>
    <row r="421" spans="1:51" ht="20.100000000000001" customHeight="1">
      <c r="A421" s="55"/>
      <c r="B421" s="55"/>
      <c r="C421" s="55" t="s">
        <v>231</v>
      </c>
      <c r="D421" s="55"/>
      <c r="E421" s="55"/>
      <c r="F421" s="55"/>
      <c r="U421" s="55"/>
      <c r="V421" s="55"/>
      <c r="W421" s="55"/>
      <c r="X421" s="55"/>
      <c r="Y421" s="55"/>
      <c r="Z421" s="55"/>
      <c r="AA421" s="55"/>
      <c r="AB421" s="55"/>
      <c r="AC421" s="55"/>
      <c r="AD421" s="55"/>
      <c r="AE421" s="55"/>
      <c r="AF421" s="55"/>
      <c r="AG421" s="55"/>
      <c r="AH421" s="55"/>
      <c r="AI421" s="55"/>
      <c r="AJ421" s="55"/>
      <c r="AK421" s="55"/>
      <c r="AL421" s="55"/>
      <c r="AM421" s="55"/>
      <c r="AN421" s="55"/>
      <c r="AO421" s="55"/>
      <c r="AP421" s="55"/>
      <c r="AQ421" s="55"/>
      <c r="AR421" s="55"/>
      <c r="AS421" s="55"/>
      <c r="AT421" s="55"/>
      <c r="AU421" s="55"/>
      <c r="AV421" s="55"/>
      <c r="AW421" s="55"/>
      <c r="AX421" s="55"/>
      <c r="AY421" s="55"/>
    </row>
    <row r="422" spans="1:51" ht="20.100000000000001" customHeight="1">
      <c r="A422" s="55"/>
      <c r="B422" s="55"/>
      <c r="C422" s="55"/>
      <c r="D422" s="55"/>
      <c r="E422" s="55"/>
      <c r="F422" s="55"/>
      <c r="U422" s="55"/>
      <c r="V422" s="55"/>
      <c r="W422" s="55"/>
      <c r="X422" s="55"/>
      <c r="Y422" s="55"/>
      <c r="Z422" s="55"/>
      <c r="AA422" s="55"/>
      <c r="AB422" s="55"/>
      <c r="AC422" s="55"/>
      <c r="AD422" s="55"/>
      <c r="AE422" s="55"/>
      <c r="AF422" s="55"/>
      <c r="AG422" s="55"/>
      <c r="AH422" s="55"/>
      <c r="AI422" s="55"/>
      <c r="AJ422" s="55"/>
      <c r="AK422" s="55"/>
      <c r="AL422" s="55"/>
      <c r="AM422" s="55"/>
      <c r="AN422" s="55"/>
      <c r="AO422" s="55"/>
      <c r="AP422" s="55"/>
      <c r="AQ422" s="55"/>
      <c r="AR422" s="55"/>
      <c r="AS422" s="55"/>
      <c r="AT422" s="55"/>
      <c r="AU422" s="55"/>
      <c r="AV422" s="55"/>
      <c r="AW422" s="55"/>
      <c r="AX422" s="55"/>
      <c r="AY422" s="55"/>
    </row>
    <row r="423" spans="1:51" ht="20.100000000000001" customHeight="1">
      <c r="A423" s="55"/>
      <c r="B423" s="55"/>
      <c r="C423" s="55" t="s">
        <v>232</v>
      </c>
      <c r="D423" s="55"/>
      <c r="E423" s="55"/>
      <c r="F423" s="55"/>
      <c r="U423" s="55"/>
      <c r="V423" s="55"/>
      <c r="W423" s="55"/>
      <c r="X423" s="55"/>
      <c r="Y423" s="55"/>
      <c r="Z423" s="55"/>
      <c r="AA423" s="55"/>
      <c r="AB423" s="55"/>
      <c r="AC423" s="55"/>
      <c r="AD423" s="55"/>
      <c r="AE423" s="55"/>
      <c r="AF423" s="55"/>
      <c r="AG423" s="55"/>
      <c r="AH423" s="55"/>
      <c r="AI423" s="55"/>
      <c r="AJ423" s="55"/>
      <c r="AK423" s="55"/>
      <c r="AL423" s="55"/>
      <c r="AM423" s="55"/>
      <c r="AN423" s="55"/>
      <c r="AO423" s="55"/>
      <c r="AP423" s="55"/>
      <c r="AQ423" s="55"/>
      <c r="AR423" s="55"/>
      <c r="AS423" s="55"/>
      <c r="AT423" s="55"/>
      <c r="AU423" s="55"/>
      <c r="AV423" s="55"/>
      <c r="AW423" s="55"/>
      <c r="AX423" s="55"/>
      <c r="AY423" s="55"/>
    </row>
    <row r="424" spans="1:51" ht="20.100000000000001" customHeight="1">
      <c r="A424" s="55"/>
      <c r="B424" s="55"/>
      <c r="C424" s="55" t="s">
        <v>70</v>
      </c>
      <c r="D424" s="55"/>
      <c r="E424" s="55" t="s">
        <v>70</v>
      </c>
      <c r="F424" s="55"/>
      <c r="U424" s="55"/>
      <c r="V424" s="55"/>
      <c r="W424" s="55"/>
      <c r="X424" s="55"/>
      <c r="Y424" s="55"/>
      <c r="Z424" s="55"/>
      <c r="AA424" s="55"/>
      <c r="AB424" s="55"/>
      <c r="AC424" s="55"/>
      <c r="AD424" s="55"/>
      <c r="AE424" s="55"/>
      <c r="AF424" s="55"/>
      <c r="AG424" s="55"/>
      <c r="AH424" s="55"/>
      <c r="AI424" s="55"/>
      <c r="AJ424" s="55"/>
      <c r="AK424" s="55"/>
      <c r="AL424" s="55"/>
      <c r="AM424" s="55"/>
      <c r="AN424" s="55"/>
      <c r="AO424" s="55"/>
      <c r="AP424" s="55"/>
      <c r="AQ424" s="55"/>
      <c r="AR424" s="55"/>
      <c r="AS424" s="55"/>
      <c r="AT424" s="55"/>
      <c r="AU424" s="55"/>
      <c r="AV424" s="55"/>
      <c r="AW424" s="55"/>
      <c r="AX424" s="55"/>
      <c r="AY424" s="55"/>
    </row>
    <row r="425" spans="1:51" ht="20.100000000000001" customHeight="1">
      <c r="A425" s="55"/>
      <c r="B425" s="55"/>
      <c r="C425" s="55" t="s">
        <v>233</v>
      </c>
      <c r="D425" s="55"/>
      <c r="E425" s="55">
        <f>ROUND(Assumptions!F57+Assumptions!F69+Assumptions!F71+Assumptions!F77,0)</f>
        <v>11564</v>
      </c>
      <c r="F425" s="55"/>
      <c r="U425" s="55"/>
      <c r="V425" s="55"/>
      <c r="W425" s="55"/>
      <c r="X425" s="55"/>
      <c r="Y425" s="55"/>
      <c r="Z425" s="55"/>
      <c r="AA425" s="55"/>
      <c r="AB425" s="55"/>
      <c r="AC425" s="55"/>
      <c r="AD425" s="55"/>
      <c r="AE425" s="55"/>
      <c r="AF425" s="55"/>
      <c r="AG425" s="55"/>
      <c r="AH425" s="55"/>
      <c r="AI425" s="55"/>
      <c r="AJ425" s="55"/>
      <c r="AK425" s="55"/>
      <c r="AL425" s="55"/>
      <c r="AM425" s="55"/>
      <c r="AN425" s="55"/>
      <c r="AO425" s="55"/>
      <c r="AP425" s="55"/>
      <c r="AQ425" s="55"/>
      <c r="AR425" s="55"/>
      <c r="AS425" s="55"/>
      <c r="AT425" s="55"/>
      <c r="AU425" s="55"/>
      <c r="AV425" s="55"/>
      <c r="AW425" s="55"/>
      <c r="AX425" s="55"/>
      <c r="AY425" s="55"/>
    </row>
    <row r="426" spans="1:51" ht="20.100000000000001" customHeight="1">
      <c r="A426" s="55"/>
      <c r="B426" s="55"/>
      <c r="C426" s="55"/>
      <c r="D426" s="55"/>
      <c r="E426" s="55"/>
      <c r="F426" s="55"/>
      <c r="U426" s="55"/>
      <c r="V426" s="55"/>
      <c r="W426" s="55"/>
      <c r="X426" s="55"/>
      <c r="Y426" s="55"/>
      <c r="Z426" s="55"/>
      <c r="AA426" s="55"/>
      <c r="AB426" s="55"/>
      <c r="AC426" s="55"/>
      <c r="AD426" s="55"/>
      <c r="AE426" s="55"/>
      <c r="AF426" s="55"/>
      <c r="AG426" s="55"/>
      <c r="AH426" s="55"/>
      <c r="AI426" s="55"/>
      <c r="AJ426" s="55"/>
      <c r="AK426" s="55"/>
      <c r="AL426" s="55"/>
      <c r="AM426" s="55"/>
      <c r="AN426" s="55"/>
      <c r="AO426" s="55"/>
      <c r="AP426" s="55"/>
      <c r="AQ426" s="55"/>
      <c r="AR426" s="55"/>
      <c r="AS426" s="55"/>
      <c r="AT426" s="55"/>
      <c r="AU426" s="55"/>
      <c r="AV426" s="55"/>
      <c r="AW426" s="55"/>
      <c r="AX426" s="55"/>
      <c r="AY426" s="55"/>
    </row>
    <row r="427" spans="1:51" ht="20.100000000000001" customHeight="1">
      <c r="A427" s="55"/>
      <c r="B427" s="55"/>
      <c r="C427" s="55"/>
      <c r="D427" s="55"/>
      <c r="E427" s="55"/>
      <c r="F427" s="55"/>
      <c r="U427" s="55"/>
      <c r="V427" s="55"/>
      <c r="W427" s="55"/>
      <c r="X427" s="55"/>
      <c r="Y427" s="55"/>
      <c r="Z427" s="55"/>
      <c r="AA427" s="55"/>
      <c r="AB427" s="55"/>
      <c r="AC427" s="55"/>
      <c r="AD427" s="55"/>
      <c r="AE427" s="55"/>
      <c r="AF427" s="55"/>
      <c r="AG427" s="55"/>
      <c r="AH427" s="55"/>
      <c r="AI427" s="55"/>
      <c r="AJ427" s="55"/>
      <c r="AK427" s="55"/>
      <c r="AL427" s="55"/>
      <c r="AM427" s="55"/>
      <c r="AN427" s="55"/>
      <c r="AO427" s="55"/>
      <c r="AP427" s="55"/>
      <c r="AQ427" s="55"/>
      <c r="AR427" s="55"/>
      <c r="AS427" s="55"/>
      <c r="AT427" s="55"/>
      <c r="AU427" s="55"/>
      <c r="AV427" s="55"/>
      <c r="AW427" s="55"/>
      <c r="AX427" s="55"/>
      <c r="AY427" s="55"/>
    </row>
    <row r="428" spans="1:51" ht="20.100000000000001" customHeight="1">
      <c r="A428" s="55"/>
      <c r="B428" s="55"/>
      <c r="C428" s="55"/>
      <c r="D428" s="55"/>
      <c r="E428" s="55" t="s">
        <v>234</v>
      </c>
      <c r="F428" s="55"/>
      <c r="U428" s="55"/>
      <c r="V428" s="55"/>
      <c r="W428" s="55"/>
      <c r="X428" s="55"/>
      <c r="Y428" s="55"/>
      <c r="Z428" s="55"/>
      <c r="AA428" s="55"/>
      <c r="AB428" s="55"/>
      <c r="AC428" s="55"/>
      <c r="AD428" s="55"/>
      <c r="AE428" s="55"/>
      <c r="AF428" s="55"/>
      <c r="AG428" s="55"/>
      <c r="AH428" s="55"/>
      <c r="AI428" s="55"/>
      <c r="AJ428" s="55"/>
      <c r="AK428" s="55"/>
      <c r="AL428" s="55"/>
      <c r="AM428" s="55"/>
      <c r="AN428" s="55"/>
      <c r="AO428" s="55"/>
      <c r="AP428" s="55"/>
      <c r="AQ428" s="55"/>
      <c r="AR428" s="55"/>
      <c r="AS428" s="55"/>
      <c r="AT428" s="55"/>
      <c r="AU428" s="55"/>
      <c r="AV428" s="55"/>
      <c r="AW428" s="55"/>
      <c r="AX428" s="55"/>
      <c r="AY428" s="55"/>
    </row>
    <row r="429" spans="1:51" ht="20.100000000000001" customHeight="1">
      <c r="A429" s="55"/>
      <c r="B429" s="55"/>
      <c r="C429" s="55"/>
      <c r="D429" s="55"/>
      <c r="E429" s="55" t="s">
        <v>226</v>
      </c>
      <c r="F429" s="56"/>
      <c r="U429" s="55"/>
      <c r="V429" s="55"/>
      <c r="W429" s="55"/>
      <c r="X429" s="55"/>
      <c r="Y429" s="55"/>
      <c r="Z429" s="55"/>
      <c r="AA429" s="55"/>
      <c r="AB429" s="55"/>
      <c r="AC429" s="55"/>
      <c r="AD429" s="55"/>
      <c r="AE429" s="55"/>
      <c r="AF429" s="55"/>
      <c r="AG429" s="55"/>
      <c r="AH429" s="55"/>
      <c r="AI429" s="55"/>
      <c r="AJ429" s="55"/>
      <c r="AK429" s="55"/>
      <c r="AL429" s="55"/>
      <c r="AM429" s="55"/>
      <c r="AN429" s="55"/>
      <c r="AO429" s="55"/>
      <c r="AP429" s="55"/>
      <c r="AQ429" s="55"/>
      <c r="AR429" s="55"/>
      <c r="AS429" s="55"/>
      <c r="AT429" s="55"/>
      <c r="AU429" s="55"/>
      <c r="AV429" s="55"/>
      <c r="AW429" s="55"/>
      <c r="AX429" s="55"/>
      <c r="AY429" s="55"/>
    </row>
    <row r="430" spans="1:51" ht="20.100000000000001" customHeight="1">
      <c r="A430" s="55"/>
      <c r="B430" s="55"/>
      <c r="C430" s="55"/>
      <c r="D430" s="55"/>
      <c r="E430" s="55" t="s">
        <v>70</v>
      </c>
      <c r="F430" s="56"/>
      <c r="U430" s="55"/>
      <c r="V430" s="55"/>
      <c r="W430" s="55"/>
      <c r="X430" s="55"/>
      <c r="Y430" s="55"/>
      <c r="Z430" s="55"/>
      <c r="AA430" s="55"/>
      <c r="AB430" s="55"/>
      <c r="AC430" s="55"/>
      <c r="AD430" s="55"/>
      <c r="AE430" s="55"/>
      <c r="AF430" s="55"/>
      <c r="AG430" s="55"/>
      <c r="AH430" s="55"/>
      <c r="AI430" s="55"/>
      <c r="AJ430" s="55"/>
      <c r="AK430" s="55"/>
      <c r="AL430" s="55"/>
      <c r="AM430" s="55"/>
      <c r="AN430" s="55"/>
      <c r="AO430" s="55"/>
      <c r="AP430" s="55"/>
      <c r="AQ430" s="55"/>
      <c r="AR430" s="55"/>
      <c r="AS430" s="55"/>
      <c r="AT430" s="55"/>
      <c r="AU430" s="55"/>
      <c r="AV430" s="55"/>
      <c r="AW430" s="55"/>
      <c r="AX430" s="55"/>
      <c r="AY430" s="55"/>
    </row>
    <row r="431" spans="1:51" ht="20.100000000000001" customHeight="1">
      <c r="A431" s="55"/>
      <c r="B431" s="55"/>
      <c r="C431" s="55" t="s">
        <v>235</v>
      </c>
      <c r="D431" s="55"/>
      <c r="E431" s="55"/>
      <c r="F431" s="56"/>
      <c r="U431" s="55"/>
      <c r="V431" s="55"/>
      <c r="W431" s="55"/>
      <c r="X431" s="55"/>
      <c r="Y431" s="55"/>
      <c r="Z431" s="55"/>
      <c r="AA431" s="55"/>
      <c r="AB431" s="55"/>
      <c r="AC431" s="55"/>
      <c r="AD431" s="55"/>
      <c r="AE431" s="55"/>
      <c r="AF431" s="55"/>
      <c r="AG431" s="55"/>
      <c r="AH431" s="55"/>
      <c r="AI431" s="55"/>
      <c r="AJ431" s="55"/>
      <c r="AK431" s="55"/>
      <c r="AL431" s="55"/>
      <c r="AM431" s="55"/>
      <c r="AN431" s="55"/>
      <c r="AO431" s="55"/>
      <c r="AP431" s="55"/>
      <c r="AQ431" s="55"/>
      <c r="AR431" s="55"/>
      <c r="AS431" s="55"/>
      <c r="AT431" s="55"/>
      <c r="AU431" s="55"/>
      <c r="AV431" s="55"/>
      <c r="AW431" s="55"/>
      <c r="AX431" s="55"/>
      <c r="AY431" s="55"/>
    </row>
    <row r="432" spans="1:51" ht="20.100000000000001" customHeight="1">
      <c r="A432" s="55"/>
      <c r="B432" s="55"/>
      <c r="C432" s="55" t="s">
        <v>236</v>
      </c>
      <c r="D432" s="55"/>
      <c r="E432" s="55"/>
      <c r="F432" s="55"/>
      <c r="U432" s="55"/>
      <c r="V432" s="55"/>
      <c r="W432" s="55"/>
      <c r="X432" s="55"/>
      <c r="Y432" s="55"/>
      <c r="Z432" s="55"/>
      <c r="AA432" s="55"/>
      <c r="AB432" s="55"/>
      <c r="AC432" s="55"/>
      <c r="AD432" s="55"/>
      <c r="AE432" s="55"/>
      <c r="AF432" s="55"/>
      <c r="AG432" s="55"/>
      <c r="AH432" s="55"/>
      <c r="AI432" s="55"/>
      <c r="AJ432" s="55"/>
      <c r="AK432" s="55"/>
      <c r="AL432" s="55"/>
      <c r="AM432" s="55"/>
      <c r="AN432" s="55"/>
      <c r="AO432" s="55"/>
      <c r="AP432" s="55"/>
      <c r="AQ432" s="55"/>
      <c r="AR432" s="55"/>
      <c r="AS432" s="55"/>
      <c r="AT432" s="55"/>
      <c r="AU432" s="55"/>
      <c r="AV432" s="55"/>
      <c r="AW432" s="55"/>
      <c r="AX432" s="55"/>
      <c r="AY432" s="55"/>
    </row>
    <row r="433" spans="1:51" ht="20.100000000000001" customHeight="1">
      <c r="A433" s="55"/>
      <c r="B433" s="55"/>
      <c r="C433" s="55" t="s">
        <v>3</v>
      </c>
      <c r="D433" s="55"/>
      <c r="E433" s="55"/>
      <c r="F433" s="55"/>
      <c r="U433" s="55"/>
      <c r="V433" s="55"/>
      <c r="W433" s="55"/>
      <c r="X433" s="55"/>
      <c r="Y433" s="55"/>
      <c r="Z433" s="55"/>
      <c r="AA433" s="55"/>
      <c r="AB433" s="55"/>
      <c r="AC433" s="55"/>
      <c r="AD433" s="55"/>
      <c r="AE433" s="55"/>
      <c r="AF433" s="55"/>
      <c r="AG433" s="55"/>
      <c r="AH433" s="55"/>
      <c r="AI433" s="55"/>
      <c r="AJ433" s="55"/>
      <c r="AK433" s="55"/>
      <c r="AL433" s="55"/>
      <c r="AM433" s="55"/>
      <c r="AN433" s="55"/>
      <c r="AO433" s="55"/>
      <c r="AP433" s="55"/>
      <c r="AQ433" s="55"/>
      <c r="AR433" s="55"/>
      <c r="AS433" s="55"/>
      <c r="AT433" s="55"/>
      <c r="AU433" s="55"/>
      <c r="AV433" s="55"/>
      <c r="AW433" s="55"/>
      <c r="AX433" s="55"/>
      <c r="AY433" s="55"/>
    </row>
    <row r="434" spans="1:51" ht="20.100000000000001" customHeight="1">
      <c r="A434" s="55"/>
      <c r="B434" s="55"/>
      <c r="C434" s="55" t="s">
        <v>237</v>
      </c>
      <c r="D434" s="55"/>
      <c r="E434" s="55"/>
      <c r="F434" s="55"/>
      <c r="U434" s="55"/>
      <c r="V434" s="55"/>
      <c r="W434" s="55"/>
      <c r="X434" s="55"/>
      <c r="Y434" s="55"/>
      <c r="Z434" s="55"/>
      <c r="AA434" s="55"/>
      <c r="AB434" s="55"/>
      <c r="AC434" s="55"/>
      <c r="AD434" s="55"/>
      <c r="AE434" s="55"/>
      <c r="AF434" s="55"/>
      <c r="AG434" s="55"/>
      <c r="AH434" s="55"/>
      <c r="AI434" s="55"/>
      <c r="AJ434" s="55"/>
      <c r="AK434" s="55"/>
      <c r="AL434" s="55"/>
      <c r="AM434" s="55"/>
      <c r="AN434" s="55"/>
      <c r="AO434" s="55"/>
      <c r="AP434" s="55"/>
      <c r="AQ434" s="55"/>
      <c r="AR434" s="55"/>
      <c r="AS434" s="55"/>
      <c r="AT434" s="55"/>
      <c r="AU434" s="55"/>
      <c r="AV434" s="55"/>
      <c r="AW434" s="55"/>
      <c r="AX434" s="55"/>
      <c r="AY434" s="55"/>
    </row>
    <row r="435" spans="1:51" ht="20.100000000000001" customHeight="1">
      <c r="A435" s="55"/>
      <c r="B435" s="55"/>
      <c r="C435" s="55" t="s">
        <v>238</v>
      </c>
      <c r="D435" s="55"/>
      <c r="E435" s="55"/>
      <c r="F435" s="55"/>
      <c r="U435" s="55"/>
      <c r="V435" s="55"/>
      <c r="W435" s="55"/>
      <c r="X435" s="55"/>
      <c r="Y435" s="55"/>
      <c r="Z435" s="55"/>
      <c r="AA435" s="55"/>
      <c r="AB435" s="55"/>
      <c r="AC435" s="55"/>
      <c r="AD435" s="55"/>
      <c r="AE435" s="55"/>
      <c r="AF435" s="55"/>
      <c r="AG435" s="55"/>
      <c r="AH435" s="55"/>
      <c r="AI435" s="55"/>
      <c r="AJ435" s="55"/>
      <c r="AK435" s="55"/>
      <c r="AL435" s="55"/>
      <c r="AM435" s="55"/>
      <c r="AN435" s="55"/>
      <c r="AO435" s="55"/>
      <c r="AP435" s="55"/>
      <c r="AQ435" s="55"/>
      <c r="AR435" s="55"/>
      <c r="AS435" s="55"/>
      <c r="AT435" s="55"/>
      <c r="AU435" s="55"/>
      <c r="AV435" s="55"/>
      <c r="AW435" s="55"/>
      <c r="AX435" s="55"/>
      <c r="AY435" s="55"/>
    </row>
    <row r="436" spans="1:51" ht="20.100000000000001" customHeight="1">
      <c r="A436" s="55"/>
      <c r="B436" s="55"/>
      <c r="C436" s="55" t="s">
        <v>123</v>
      </c>
      <c r="D436" s="55"/>
      <c r="E436" s="55"/>
      <c r="F436" s="55"/>
      <c r="U436" s="55"/>
      <c r="V436" s="55"/>
      <c r="W436" s="55"/>
      <c r="X436" s="55"/>
      <c r="Y436" s="55"/>
      <c r="Z436" s="55"/>
      <c r="AA436" s="55"/>
      <c r="AB436" s="55"/>
      <c r="AC436" s="55"/>
      <c r="AD436" s="55"/>
      <c r="AE436" s="55"/>
      <c r="AF436" s="55"/>
      <c r="AG436" s="55"/>
      <c r="AH436" s="55"/>
      <c r="AI436" s="55"/>
      <c r="AJ436" s="55"/>
      <c r="AK436" s="55"/>
      <c r="AL436" s="55"/>
      <c r="AM436" s="55"/>
      <c r="AN436" s="55"/>
      <c r="AO436" s="55"/>
      <c r="AP436" s="55"/>
      <c r="AQ436" s="55"/>
      <c r="AR436" s="55"/>
      <c r="AS436" s="55"/>
      <c r="AT436" s="55"/>
      <c r="AU436" s="55"/>
      <c r="AV436" s="55"/>
      <c r="AW436" s="55"/>
      <c r="AX436" s="55"/>
      <c r="AY436" s="55"/>
    </row>
    <row r="437" spans="1:51" ht="20.100000000000001" customHeight="1">
      <c r="A437" s="55"/>
      <c r="B437" s="55"/>
      <c r="C437" s="55"/>
      <c r="D437" s="55"/>
      <c r="E437" s="55" t="s">
        <v>70</v>
      </c>
      <c r="F437" s="55"/>
      <c r="U437" s="55"/>
      <c r="V437" s="55"/>
      <c r="W437" s="55"/>
      <c r="X437" s="55"/>
      <c r="Y437" s="55"/>
      <c r="Z437" s="55"/>
      <c r="AA437" s="55"/>
      <c r="AB437" s="55"/>
      <c r="AC437" s="55"/>
      <c r="AD437" s="55"/>
      <c r="AE437" s="55"/>
      <c r="AF437" s="55"/>
      <c r="AG437" s="55"/>
      <c r="AH437" s="55"/>
      <c r="AI437" s="55"/>
      <c r="AJ437" s="55"/>
      <c r="AK437" s="55"/>
      <c r="AL437" s="55"/>
      <c r="AM437" s="55"/>
      <c r="AN437" s="55"/>
      <c r="AO437" s="55"/>
      <c r="AP437" s="55"/>
      <c r="AQ437" s="55"/>
      <c r="AR437" s="55"/>
      <c r="AS437" s="55"/>
      <c r="AT437" s="55"/>
      <c r="AU437" s="55"/>
      <c r="AV437" s="55"/>
      <c r="AW437" s="55"/>
      <c r="AX437" s="55"/>
      <c r="AY437" s="55"/>
    </row>
    <row r="438" spans="1:51" ht="20.100000000000001" customHeight="1">
      <c r="A438" s="55"/>
      <c r="B438" s="55"/>
      <c r="C438" s="55" t="s">
        <v>239</v>
      </c>
      <c r="D438" s="55"/>
      <c r="E438" s="55"/>
      <c r="F438" s="55"/>
      <c r="U438" s="55"/>
      <c r="V438" s="55"/>
      <c r="W438" s="55"/>
      <c r="X438" s="55"/>
      <c r="Y438" s="55"/>
      <c r="Z438" s="55"/>
      <c r="AA438" s="55"/>
      <c r="AB438" s="55"/>
      <c r="AC438" s="55"/>
      <c r="AD438" s="55"/>
      <c r="AE438" s="55"/>
      <c r="AF438" s="55"/>
      <c r="AG438" s="55"/>
      <c r="AH438" s="55"/>
      <c r="AI438" s="55"/>
      <c r="AJ438" s="55"/>
      <c r="AK438" s="55"/>
      <c r="AL438" s="55"/>
      <c r="AM438" s="55"/>
      <c r="AN438" s="55"/>
      <c r="AO438" s="55"/>
      <c r="AP438" s="55"/>
      <c r="AQ438" s="55"/>
      <c r="AR438" s="55"/>
      <c r="AS438" s="55"/>
      <c r="AT438" s="55"/>
      <c r="AU438" s="55"/>
      <c r="AV438" s="55"/>
      <c r="AW438" s="55"/>
      <c r="AX438" s="55"/>
      <c r="AY438" s="55"/>
    </row>
    <row r="439" spans="1:51" ht="20.100000000000001" customHeight="1">
      <c r="A439" s="55"/>
      <c r="B439" s="55"/>
      <c r="C439" s="55"/>
      <c r="D439" s="55"/>
      <c r="E439" s="55"/>
      <c r="F439" s="55"/>
      <c r="U439" s="55"/>
      <c r="V439" s="55"/>
      <c r="W439" s="55"/>
      <c r="X439" s="55"/>
      <c r="Y439" s="55"/>
      <c r="Z439" s="55"/>
      <c r="AA439" s="55"/>
      <c r="AB439" s="55"/>
      <c r="AC439" s="55"/>
      <c r="AD439" s="55"/>
      <c r="AE439" s="55"/>
      <c r="AF439" s="55"/>
      <c r="AG439" s="55"/>
      <c r="AH439" s="55"/>
      <c r="AI439" s="55"/>
      <c r="AJ439" s="55"/>
      <c r="AK439" s="55"/>
      <c r="AL439" s="55"/>
      <c r="AM439" s="55"/>
      <c r="AN439" s="55"/>
      <c r="AO439" s="55"/>
      <c r="AP439" s="55"/>
      <c r="AQ439" s="55"/>
      <c r="AR439" s="55"/>
      <c r="AS439" s="55"/>
      <c r="AT439" s="55"/>
      <c r="AU439" s="55"/>
      <c r="AV439" s="55"/>
      <c r="AW439" s="55"/>
      <c r="AX439" s="55"/>
      <c r="AY439" s="55"/>
    </row>
    <row r="440" spans="1:51" ht="20.100000000000001" customHeight="1">
      <c r="A440" s="55"/>
      <c r="B440" s="55"/>
      <c r="C440" s="55" t="s">
        <v>182</v>
      </c>
      <c r="D440" s="55"/>
      <c r="E440" s="55"/>
      <c r="F440" s="55"/>
      <c r="U440" s="55"/>
      <c r="V440" s="55"/>
      <c r="W440" s="55"/>
      <c r="X440" s="55"/>
      <c r="Y440" s="55"/>
      <c r="Z440" s="55"/>
      <c r="AA440" s="55"/>
      <c r="AB440" s="55"/>
      <c r="AC440" s="55"/>
      <c r="AD440" s="55"/>
      <c r="AE440" s="55"/>
      <c r="AF440" s="55"/>
      <c r="AG440" s="55"/>
      <c r="AH440" s="55"/>
      <c r="AI440" s="55"/>
      <c r="AJ440" s="55"/>
      <c r="AK440" s="55"/>
      <c r="AL440" s="55"/>
      <c r="AM440" s="55"/>
      <c r="AN440" s="55"/>
      <c r="AO440" s="55"/>
      <c r="AP440" s="55"/>
      <c r="AQ440" s="55"/>
      <c r="AR440" s="55"/>
      <c r="AS440" s="55"/>
      <c r="AT440" s="55"/>
      <c r="AU440" s="55"/>
      <c r="AV440" s="55"/>
      <c r="AW440" s="55"/>
      <c r="AX440" s="55"/>
      <c r="AY440" s="55"/>
    </row>
    <row r="441" spans="1:51" ht="20.100000000000001" customHeight="1">
      <c r="A441" s="55"/>
      <c r="B441" s="55"/>
      <c r="C441" s="55" t="s">
        <v>183</v>
      </c>
      <c r="D441" s="55"/>
      <c r="E441" s="55"/>
      <c r="F441" s="55"/>
      <c r="U441" s="55"/>
      <c r="V441" s="55"/>
      <c r="W441" s="55"/>
      <c r="X441" s="55"/>
      <c r="Y441" s="55"/>
      <c r="Z441" s="55"/>
      <c r="AA441" s="55"/>
      <c r="AB441" s="55"/>
      <c r="AC441" s="55"/>
      <c r="AD441" s="55"/>
      <c r="AE441" s="55"/>
      <c r="AF441" s="55"/>
      <c r="AG441" s="55"/>
      <c r="AH441" s="55"/>
      <c r="AI441" s="55"/>
      <c r="AJ441" s="55"/>
      <c r="AK441" s="55"/>
      <c r="AL441" s="55"/>
      <c r="AM441" s="55"/>
      <c r="AN441" s="55"/>
      <c r="AO441" s="55"/>
      <c r="AP441" s="55"/>
      <c r="AQ441" s="55"/>
      <c r="AR441" s="55"/>
      <c r="AS441" s="55"/>
      <c r="AT441" s="55"/>
      <c r="AU441" s="55"/>
      <c r="AV441" s="55"/>
      <c r="AW441" s="55"/>
      <c r="AX441" s="55"/>
      <c r="AY441" s="55"/>
    </row>
    <row r="442" spans="1:51" ht="20.100000000000001" customHeight="1">
      <c r="A442" s="55"/>
      <c r="B442" s="55"/>
      <c r="C442" s="55" t="s">
        <v>123</v>
      </c>
      <c r="D442" s="55"/>
      <c r="E442" s="55"/>
      <c r="F442" s="55"/>
      <c r="U442" s="55"/>
      <c r="V442" s="55"/>
      <c r="W442" s="55"/>
      <c r="X442" s="55"/>
      <c r="Y442" s="55"/>
      <c r="Z442" s="55"/>
      <c r="AA442" s="55"/>
      <c r="AB442" s="55"/>
      <c r="AC442" s="55"/>
      <c r="AD442" s="55"/>
      <c r="AE442" s="55"/>
      <c r="AF442" s="55"/>
      <c r="AG442" s="55"/>
      <c r="AH442" s="55"/>
      <c r="AI442" s="55"/>
      <c r="AJ442" s="55"/>
      <c r="AK442" s="55"/>
      <c r="AL442" s="55"/>
      <c r="AM442" s="55"/>
      <c r="AN442" s="55"/>
      <c r="AO442" s="55"/>
      <c r="AP442" s="55"/>
      <c r="AQ442" s="55"/>
      <c r="AR442" s="55"/>
      <c r="AS442" s="55"/>
      <c r="AT442" s="55"/>
      <c r="AU442" s="55"/>
      <c r="AV442" s="55"/>
      <c r="AW442" s="55"/>
      <c r="AX442" s="55"/>
      <c r="AY442" s="55"/>
    </row>
    <row r="443" spans="1:51" ht="20.100000000000001" customHeight="1">
      <c r="A443" s="55"/>
      <c r="B443" s="55"/>
      <c r="C443" s="55" t="s">
        <v>70</v>
      </c>
      <c r="D443" s="55"/>
      <c r="E443" s="55" t="s">
        <v>70</v>
      </c>
      <c r="F443" s="55"/>
      <c r="U443" s="55"/>
      <c r="V443" s="55"/>
      <c r="W443" s="55"/>
      <c r="X443" s="55"/>
      <c r="Y443" s="55"/>
      <c r="Z443" s="55"/>
      <c r="AA443" s="55"/>
      <c r="AB443" s="55"/>
      <c r="AC443" s="55"/>
      <c r="AD443" s="55"/>
      <c r="AE443" s="55"/>
      <c r="AF443" s="55"/>
      <c r="AG443" s="55"/>
      <c r="AH443" s="55"/>
      <c r="AI443" s="55"/>
      <c r="AJ443" s="55"/>
      <c r="AK443" s="55"/>
      <c r="AL443" s="55"/>
      <c r="AM443" s="55"/>
      <c r="AN443" s="55"/>
      <c r="AO443" s="55"/>
      <c r="AP443" s="55"/>
      <c r="AQ443" s="55"/>
      <c r="AR443" s="55"/>
      <c r="AS443" s="55"/>
      <c r="AT443" s="55"/>
      <c r="AU443" s="55"/>
      <c r="AV443" s="55"/>
      <c r="AW443" s="55"/>
      <c r="AX443" s="55"/>
      <c r="AY443" s="55"/>
    </row>
    <row r="444" spans="1:51" ht="20.100000000000001" customHeight="1">
      <c r="A444" s="55"/>
      <c r="B444" s="55"/>
      <c r="C444" s="55" t="s">
        <v>240</v>
      </c>
      <c r="D444" s="55"/>
      <c r="E444" s="55"/>
      <c r="F444" s="55"/>
      <c r="U444" s="55"/>
      <c r="V444" s="55"/>
      <c r="W444" s="55"/>
      <c r="X444" s="55"/>
      <c r="Y444" s="55"/>
      <c r="Z444" s="55"/>
      <c r="AA444" s="55"/>
      <c r="AB444" s="55"/>
      <c r="AC444" s="55"/>
      <c r="AD444" s="55"/>
      <c r="AE444" s="55"/>
      <c r="AF444" s="55"/>
      <c r="AG444" s="55"/>
      <c r="AH444" s="55"/>
      <c r="AI444" s="55"/>
      <c r="AJ444" s="55"/>
      <c r="AK444" s="55"/>
      <c r="AL444" s="55"/>
      <c r="AM444" s="55"/>
      <c r="AN444" s="55"/>
      <c r="AO444" s="55"/>
      <c r="AP444" s="55"/>
      <c r="AQ444" s="55"/>
      <c r="AR444" s="55"/>
      <c r="AS444" s="55"/>
      <c r="AT444" s="55"/>
      <c r="AU444" s="55"/>
      <c r="AV444" s="55"/>
      <c r="AW444" s="55"/>
      <c r="AX444" s="55"/>
      <c r="AY444" s="55"/>
    </row>
    <row r="445" spans="1:51" ht="20.100000000000001" customHeight="1">
      <c r="A445" s="55"/>
      <c r="B445" s="55"/>
      <c r="C445" s="55"/>
      <c r="D445" s="55"/>
      <c r="E445" s="55"/>
      <c r="F445" s="55"/>
      <c r="U445" s="55"/>
      <c r="V445" s="55"/>
      <c r="W445" s="55"/>
      <c r="X445" s="55"/>
      <c r="Y445" s="55"/>
      <c r="Z445" s="55"/>
      <c r="AA445" s="55"/>
      <c r="AB445" s="55"/>
      <c r="AC445" s="55"/>
      <c r="AD445" s="55"/>
      <c r="AE445" s="55"/>
      <c r="AF445" s="55"/>
      <c r="AG445" s="55"/>
      <c r="AH445" s="55"/>
      <c r="AI445" s="55"/>
      <c r="AJ445" s="55"/>
      <c r="AK445" s="55"/>
      <c r="AL445" s="55"/>
      <c r="AM445" s="55"/>
      <c r="AN445" s="55"/>
      <c r="AO445" s="55"/>
      <c r="AP445" s="55"/>
      <c r="AQ445" s="55"/>
      <c r="AR445" s="55"/>
      <c r="AS445" s="55"/>
      <c r="AT445" s="55"/>
      <c r="AU445" s="55"/>
      <c r="AV445" s="55"/>
      <c r="AW445" s="55"/>
      <c r="AX445" s="55"/>
      <c r="AY445" s="55"/>
    </row>
    <row r="446" spans="1:51" ht="20.100000000000001" customHeight="1">
      <c r="A446" s="55"/>
      <c r="B446" s="55"/>
      <c r="C446" s="55" t="s">
        <v>241</v>
      </c>
      <c r="D446" s="55"/>
      <c r="E446" s="55"/>
      <c r="F446" s="55"/>
      <c r="U446" s="55"/>
      <c r="V446" s="55"/>
      <c r="W446" s="55"/>
      <c r="X446" s="55"/>
      <c r="Y446" s="55"/>
      <c r="Z446" s="55"/>
      <c r="AA446" s="55"/>
      <c r="AB446" s="55"/>
      <c r="AC446" s="55"/>
      <c r="AD446" s="55"/>
      <c r="AE446" s="55"/>
      <c r="AF446" s="55"/>
      <c r="AG446" s="55"/>
      <c r="AH446" s="55"/>
      <c r="AI446" s="55"/>
      <c r="AJ446" s="55"/>
      <c r="AK446" s="55"/>
      <c r="AL446" s="55"/>
      <c r="AM446" s="55"/>
      <c r="AN446" s="55"/>
      <c r="AO446" s="55"/>
      <c r="AP446" s="55"/>
      <c r="AQ446" s="55"/>
      <c r="AR446" s="55"/>
      <c r="AS446" s="55"/>
      <c r="AT446" s="55"/>
      <c r="AU446" s="55"/>
      <c r="AV446" s="55"/>
      <c r="AW446" s="55"/>
      <c r="AX446" s="55"/>
      <c r="AY446" s="55"/>
    </row>
    <row r="447" spans="1:51" ht="20.100000000000001" customHeight="1">
      <c r="A447" s="55"/>
      <c r="B447" s="55"/>
      <c r="C447" s="55"/>
      <c r="D447" s="55"/>
      <c r="E447" s="55" t="s">
        <v>70</v>
      </c>
      <c r="F447" s="55"/>
      <c r="U447" s="55"/>
      <c r="V447" s="55"/>
      <c r="W447" s="55"/>
      <c r="X447" s="55"/>
      <c r="Y447" s="55"/>
      <c r="Z447" s="55"/>
      <c r="AA447" s="55"/>
      <c r="AB447" s="55"/>
      <c r="AC447" s="55"/>
      <c r="AD447" s="55"/>
      <c r="AE447" s="55"/>
      <c r="AF447" s="55"/>
      <c r="AG447" s="55"/>
      <c r="AH447" s="55"/>
      <c r="AI447" s="55"/>
      <c r="AJ447" s="55"/>
      <c r="AK447" s="55"/>
      <c r="AL447" s="55"/>
      <c r="AM447" s="55"/>
      <c r="AN447" s="55"/>
      <c r="AO447" s="55"/>
      <c r="AP447" s="55"/>
      <c r="AQ447" s="55"/>
      <c r="AR447" s="55"/>
      <c r="AS447" s="55"/>
      <c r="AT447" s="55"/>
      <c r="AU447" s="55"/>
      <c r="AV447" s="55"/>
      <c r="AW447" s="55"/>
      <c r="AX447" s="55"/>
      <c r="AY447" s="55"/>
    </row>
    <row r="448" spans="1:51" ht="20.100000000000001" customHeight="1">
      <c r="A448" s="55"/>
      <c r="B448" s="55"/>
      <c r="C448" s="55" t="s">
        <v>242</v>
      </c>
      <c r="D448" s="55"/>
      <c r="E448" s="55"/>
      <c r="F448" s="55"/>
      <c r="U448" s="55"/>
      <c r="V448" s="55"/>
      <c r="W448" s="55"/>
      <c r="X448" s="55"/>
      <c r="Y448" s="55"/>
      <c r="Z448" s="55"/>
      <c r="AA448" s="55"/>
      <c r="AB448" s="55"/>
      <c r="AC448" s="55"/>
      <c r="AD448" s="55"/>
      <c r="AE448" s="55"/>
      <c r="AF448" s="55"/>
      <c r="AG448" s="55"/>
      <c r="AH448" s="55"/>
      <c r="AI448" s="55"/>
      <c r="AJ448" s="55"/>
      <c r="AK448" s="55"/>
      <c r="AL448" s="55"/>
      <c r="AM448" s="55"/>
      <c r="AN448" s="55"/>
      <c r="AO448" s="55"/>
      <c r="AP448" s="55"/>
      <c r="AQ448" s="55"/>
      <c r="AR448" s="55"/>
      <c r="AS448" s="55"/>
      <c r="AT448" s="55"/>
      <c r="AU448" s="55"/>
      <c r="AV448" s="55"/>
      <c r="AW448" s="55"/>
      <c r="AX448" s="55"/>
      <c r="AY448" s="55"/>
    </row>
    <row r="449" spans="1:51" ht="20.100000000000001" customHeight="1">
      <c r="A449" s="55"/>
      <c r="B449" s="55"/>
      <c r="C449" s="55"/>
      <c r="D449" s="55"/>
      <c r="E449" s="55"/>
      <c r="F449" s="55"/>
      <c r="U449" s="55"/>
      <c r="V449" s="55"/>
      <c r="W449" s="55"/>
      <c r="X449" s="55"/>
      <c r="Y449" s="55"/>
      <c r="Z449" s="55"/>
      <c r="AA449" s="55"/>
      <c r="AB449" s="55"/>
      <c r="AC449" s="55"/>
      <c r="AD449" s="55"/>
      <c r="AE449" s="55"/>
      <c r="AF449" s="55"/>
      <c r="AG449" s="55"/>
      <c r="AH449" s="55"/>
      <c r="AI449" s="55"/>
      <c r="AJ449" s="55"/>
      <c r="AK449" s="55"/>
      <c r="AL449" s="55"/>
      <c r="AM449" s="55"/>
      <c r="AN449" s="55"/>
      <c r="AO449" s="55"/>
      <c r="AP449" s="55"/>
      <c r="AQ449" s="55"/>
      <c r="AR449" s="55"/>
      <c r="AS449" s="55"/>
      <c r="AT449" s="55"/>
      <c r="AU449" s="55"/>
      <c r="AV449" s="55"/>
      <c r="AW449" s="55"/>
      <c r="AX449" s="55"/>
      <c r="AY449" s="55"/>
    </row>
    <row r="450" spans="1:51" ht="20.100000000000001" customHeight="1">
      <c r="A450" s="55"/>
      <c r="B450" s="55"/>
      <c r="C450" s="55" t="s">
        <v>243</v>
      </c>
      <c r="D450" s="55"/>
      <c r="E450" s="55"/>
      <c r="F450" s="55"/>
      <c r="U450" s="55"/>
      <c r="V450" s="55"/>
      <c r="W450" s="55"/>
      <c r="X450" s="55"/>
      <c r="Y450" s="55"/>
      <c r="Z450" s="55"/>
      <c r="AA450" s="55"/>
      <c r="AB450" s="55"/>
      <c r="AC450" s="55"/>
      <c r="AD450" s="55"/>
      <c r="AE450" s="55"/>
      <c r="AF450" s="55"/>
      <c r="AG450" s="55"/>
      <c r="AH450" s="55"/>
      <c r="AI450" s="55"/>
      <c r="AJ450" s="55"/>
      <c r="AK450" s="55"/>
      <c r="AL450" s="55"/>
      <c r="AM450" s="55"/>
      <c r="AN450" s="55"/>
      <c r="AO450" s="55"/>
      <c r="AP450" s="55"/>
      <c r="AQ450" s="55"/>
      <c r="AR450" s="55"/>
      <c r="AS450" s="55"/>
      <c r="AT450" s="55"/>
      <c r="AU450" s="55"/>
      <c r="AV450" s="55"/>
      <c r="AW450" s="55"/>
      <c r="AX450" s="55"/>
      <c r="AY450" s="55"/>
    </row>
    <row r="451" spans="1:51" ht="20.100000000000001" customHeight="1">
      <c r="A451" s="55"/>
      <c r="B451" s="55"/>
      <c r="C451" s="55" t="s">
        <v>244</v>
      </c>
      <c r="D451" s="55"/>
      <c r="E451" s="55"/>
      <c r="F451" s="55"/>
      <c r="U451" s="55"/>
      <c r="V451" s="55"/>
      <c r="W451" s="55"/>
      <c r="X451" s="55"/>
      <c r="Y451" s="55"/>
      <c r="Z451" s="55"/>
      <c r="AA451" s="55"/>
      <c r="AB451" s="55"/>
      <c r="AC451" s="55"/>
      <c r="AD451" s="55"/>
      <c r="AE451" s="55"/>
      <c r="AF451" s="55"/>
      <c r="AG451" s="55"/>
      <c r="AH451" s="55"/>
      <c r="AI451" s="55"/>
      <c r="AJ451" s="55"/>
      <c r="AK451" s="55"/>
      <c r="AL451" s="55"/>
      <c r="AM451" s="55"/>
      <c r="AN451" s="55"/>
      <c r="AO451" s="55"/>
      <c r="AP451" s="55"/>
      <c r="AQ451" s="55"/>
      <c r="AR451" s="55"/>
      <c r="AS451" s="55"/>
      <c r="AT451" s="55"/>
      <c r="AU451" s="55"/>
      <c r="AV451" s="55"/>
      <c r="AW451" s="55"/>
      <c r="AX451" s="55"/>
      <c r="AY451" s="55"/>
    </row>
    <row r="452" spans="1:51" ht="20.100000000000001" customHeight="1">
      <c r="A452" s="55"/>
      <c r="B452" s="55"/>
      <c r="C452" s="55" t="s">
        <v>245</v>
      </c>
      <c r="D452" s="55"/>
      <c r="E452" s="55"/>
      <c r="F452" s="55"/>
      <c r="U452" s="55"/>
      <c r="V452" s="55"/>
      <c r="W452" s="55"/>
      <c r="X452" s="55"/>
      <c r="Y452" s="55"/>
      <c r="Z452" s="55"/>
      <c r="AA452" s="55"/>
      <c r="AB452" s="55"/>
      <c r="AC452" s="55"/>
      <c r="AD452" s="55"/>
      <c r="AE452" s="55"/>
      <c r="AF452" s="55"/>
      <c r="AG452" s="55"/>
      <c r="AH452" s="55"/>
      <c r="AI452" s="55"/>
      <c r="AJ452" s="55"/>
      <c r="AK452" s="55"/>
      <c r="AL452" s="55"/>
      <c r="AM452" s="55"/>
      <c r="AN452" s="55"/>
      <c r="AO452" s="55"/>
      <c r="AP452" s="55"/>
      <c r="AQ452" s="55"/>
      <c r="AR452" s="55"/>
      <c r="AS452" s="55"/>
      <c r="AT452" s="55"/>
      <c r="AU452" s="55"/>
      <c r="AV452" s="55"/>
      <c r="AW452" s="55"/>
      <c r="AX452" s="55"/>
      <c r="AY452" s="55"/>
    </row>
    <row r="453" spans="1:51" ht="20.100000000000001" customHeight="1">
      <c r="A453" s="55"/>
      <c r="B453" s="55"/>
      <c r="C453" s="55"/>
      <c r="D453" s="55"/>
      <c r="E453" s="55" t="s">
        <v>70</v>
      </c>
      <c r="F453" s="55"/>
      <c r="U453" s="55"/>
      <c r="V453" s="55"/>
      <c r="W453" s="55"/>
      <c r="X453" s="55"/>
      <c r="Y453" s="55"/>
      <c r="Z453" s="55"/>
      <c r="AA453" s="55"/>
      <c r="AB453" s="55"/>
      <c r="AC453" s="55"/>
      <c r="AD453" s="55"/>
      <c r="AE453" s="55"/>
      <c r="AF453" s="55"/>
      <c r="AG453" s="55"/>
      <c r="AH453" s="55"/>
      <c r="AI453" s="55"/>
      <c r="AJ453" s="55"/>
      <c r="AK453" s="55"/>
      <c r="AL453" s="55"/>
      <c r="AM453" s="55"/>
      <c r="AN453" s="55"/>
      <c r="AO453" s="55"/>
      <c r="AP453" s="55"/>
      <c r="AQ453" s="55"/>
      <c r="AR453" s="55"/>
      <c r="AS453" s="55"/>
      <c r="AT453" s="55"/>
      <c r="AU453" s="55"/>
      <c r="AV453" s="55"/>
      <c r="AW453" s="55"/>
      <c r="AX453" s="55"/>
      <c r="AY453" s="55"/>
    </row>
    <row r="454" spans="1:51" ht="20.100000000000001" customHeight="1">
      <c r="A454" s="55"/>
      <c r="B454" s="55"/>
      <c r="C454" s="55" t="s">
        <v>246</v>
      </c>
      <c r="D454" s="55"/>
      <c r="E454" s="55"/>
      <c r="F454" s="55"/>
      <c r="U454" s="55"/>
      <c r="V454" s="55"/>
      <c r="W454" s="55"/>
      <c r="X454" s="55"/>
      <c r="Y454" s="55"/>
      <c r="Z454" s="55"/>
      <c r="AA454" s="55"/>
      <c r="AB454" s="55"/>
      <c r="AC454" s="55"/>
      <c r="AD454" s="55"/>
      <c r="AE454" s="55"/>
      <c r="AF454" s="55"/>
      <c r="AG454" s="55"/>
      <c r="AH454" s="55"/>
      <c r="AI454" s="55"/>
      <c r="AJ454" s="55"/>
      <c r="AK454" s="55"/>
      <c r="AL454" s="55"/>
      <c r="AM454" s="55"/>
      <c r="AN454" s="55"/>
      <c r="AO454" s="55"/>
      <c r="AP454" s="55"/>
      <c r="AQ454" s="55"/>
      <c r="AR454" s="55"/>
      <c r="AS454" s="55"/>
      <c r="AT454" s="55"/>
      <c r="AU454" s="55"/>
      <c r="AV454" s="55"/>
      <c r="AW454" s="55"/>
      <c r="AX454" s="55"/>
      <c r="AY454" s="55"/>
    </row>
    <row r="455" spans="1:51" ht="20.100000000000001" customHeight="1">
      <c r="A455" s="55"/>
      <c r="B455" s="55"/>
      <c r="C455" s="55"/>
      <c r="D455" s="55"/>
      <c r="E455" s="55" t="s">
        <v>70</v>
      </c>
      <c r="F455" s="55"/>
      <c r="U455" s="55"/>
      <c r="V455" s="55"/>
      <c r="W455" s="55"/>
      <c r="X455" s="55"/>
      <c r="Y455" s="55"/>
      <c r="Z455" s="55"/>
      <c r="AA455" s="55"/>
      <c r="AB455" s="55"/>
      <c r="AC455" s="55"/>
      <c r="AD455" s="55"/>
      <c r="AE455" s="55"/>
      <c r="AF455" s="55"/>
      <c r="AG455" s="55"/>
      <c r="AH455" s="55"/>
      <c r="AI455" s="55"/>
      <c r="AJ455" s="55"/>
      <c r="AK455" s="55"/>
      <c r="AL455" s="55"/>
      <c r="AM455" s="55"/>
      <c r="AN455" s="55"/>
      <c r="AO455" s="55"/>
      <c r="AP455" s="55"/>
      <c r="AQ455" s="55"/>
      <c r="AR455" s="55"/>
      <c r="AS455" s="55"/>
      <c r="AT455" s="55"/>
      <c r="AU455" s="55"/>
      <c r="AV455" s="55"/>
      <c r="AW455" s="55"/>
      <c r="AX455" s="55"/>
      <c r="AY455" s="55"/>
    </row>
    <row r="456" spans="1:51" ht="20.100000000000001" customHeight="1">
      <c r="A456" s="55"/>
      <c r="B456" s="55"/>
      <c r="C456" s="55" t="s">
        <v>247</v>
      </c>
      <c r="D456" s="55"/>
      <c r="E456" s="55">
        <f>Assumptions!F109+Assumptions!F116</f>
        <v>0</v>
      </c>
      <c r="F456" s="55"/>
      <c r="U456" s="55"/>
      <c r="V456" s="55"/>
      <c r="W456" s="55"/>
      <c r="X456" s="55"/>
      <c r="Y456" s="55"/>
      <c r="Z456" s="55"/>
      <c r="AA456" s="55"/>
      <c r="AB456" s="55"/>
      <c r="AC456" s="55"/>
      <c r="AD456" s="55"/>
      <c r="AE456" s="55"/>
      <c r="AF456" s="55"/>
      <c r="AG456" s="55"/>
      <c r="AH456" s="55"/>
      <c r="AI456" s="55"/>
      <c r="AJ456" s="55"/>
      <c r="AK456" s="55"/>
      <c r="AL456" s="55"/>
      <c r="AM456" s="55"/>
      <c r="AN456" s="55"/>
      <c r="AO456" s="55"/>
      <c r="AP456" s="55"/>
      <c r="AQ456" s="55"/>
      <c r="AR456" s="55"/>
      <c r="AS456" s="55"/>
      <c r="AT456" s="55"/>
      <c r="AU456" s="55"/>
      <c r="AV456" s="55"/>
      <c r="AW456" s="55"/>
      <c r="AX456" s="55"/>
      <c r="AY456" s="55"/>
    </row>
    <row r="457" spans="1:51" ht="20.100000000000001" customHeight="1">
      <c r="A457" s="55"/>
      <c r="B457" s="55"/>
      <c r="C457" s="55"/>
      <c r="D457" s="55"/>
      <c r="E457" s="55"/>
      <c r="F457" s="55"/>
      <c r="U457" s="55"/>
      <c r="V457" s="55"/>
      <c r="W457" s="55"/>
      <c r="X457" s="55"/>
      <c r="Y457" s="55"/>
      <c r="Z457" s="55"/>
      <c r="AA457" s="55"/>
      <c r="AB457" s="55"/>
      <c r="AC457" s="55"/>
      <c r="AD457" s="55"/>
      <c r="AE457" s="55"/>
      <c r="AF457" s="55"/>
      <c r="AG457" s="55"/>
      <c r="AH457" s="55"/>
      <c r="AI457" s="55"/>
      <c r="AJ457" s="55"/>
      <c r="AK457" s="55"/>
      <c r="AL457" s="55"/>
      <c r="AM457" s="55"/>
      <c r="AN457" s="55"/>
      <c r="AO457" s="55"/>
      <c r="AP457" s="55"/>
      <c r="AQ457" s="55"/>
      <c r="AR457" s="55"/>
      <c r="AS457" s="55"/>
      <c r="AT457" s="55"/>
      <c r="AU457" s="55"/>
      <c r="AV457" s="55"/>
      <c r="AW457" s="55"/>
      <c r="AX457" s="55"/>
      <c r="AY457" s="55"/>
    </row>
    <row r="458" spans="1:51" ht="20.100000000000001" customHeight="1">
      <c r="A458" s="55"/>
      <c r="B458" s="55"/>
      <c r="C458" s="55"/>
      <c r="D458" s="55"/>
      <c r="E458" s="55"/>
      <c r="F458" s="55"/>
      <c r="U458" s="55"/>
      <c r="V458" s="55"/>
      <c r="W458" s="55"/>
      <c r="X458" s="55"/>
      <c r="Y458" s="55"/>
      <c r="Z458" s="55"/>
      <c r="AA458" s="55"/>
      <c r="AB458" s="55"/>
      <c r="AC458" s="55"/>
      <c r="AD458" s="55"/>
      <c r="AE458" s="55"/>
      <c r="AF458" s="55"/>
      <c r="AG458" s="55"/>
      <c r="AH458" s="55"/>
      <c r="AI458" s="55"/>
      <c r="AJ458" s="55"/>
      <c r="AK458" s="55"/>
      <c r="AL458" s="55"/>
      <c r="AM458" s="55"/>
      <c r="AN458" s="55"/>
      <c r="AO458" s="55"/>
      <c r="AP458" s="55"/>
      <c r="AQ458" s="55"/>
      <c r="AR458" s="55"/>
      <c r="AS458" s="55"/>
      <c r="AT458" s="55"/>
      <c r="AU458" s="55"/>
      <c r="AV458" s="55"/>
      <c r="AW458" s="55"/>
      <c r="AX458" s="55"/>
      <c r="AY458" s="55"/>
    </row>
    <row r="459" spans="1:51" ht="20.100000000000001" customHeight="1">
      <c r="U459" s="55"/>
      <c r="V459" s="55"/>
      <c r="W459" s="55"/>
      <c r="X459" s="55"/>
      <c r="Y459" s="55"/>
      <c r="Z459" s="55"/>
      <c r="AA459" s="55"/>
      <c r="AB459" s="55"/>
      <c r="AC459" s="55"/>
      <c r="AD459" s="55"/>
      <c r="AE459" s="55"/>
      <c r="AF459" s="55"/>
      <c r="AG459" s="55"/>
      <c r="AH459" s="55"/>
      <c r="AI459" s="55"/>
      <c r="AJ459" s="55"/>
      <c r="AK459" s="55"/>
      <c r="AL459" s="55"/>
      <c r="AM459" s="55"/>
      <c r="AN459" s="55"/>
      <c r="AO459" s="55"/>
      <c r="AP459" s="55"/>
      <c r="AQ459" s="55"/>
      <c r="AR459" s="55"/>
      <c r="AS459" s="55"/>
      <c r="AT459" s="55"/>
      <c r="AU459" s="55"/>
      <c r="AV459" s="55"/>
      <c r="AW459" s="55"/>
      <c r="AX459" s="55"/>
      <c r="AY459" s="55"/>
    </row>
    <row r="460" spans="1:51" ht="20.100000000000001" customHeight="1">
      <c r="U460" s="55"/>
      <c r="V460" s="55"/>
      <c r="W460" s="55"/>
      <c r="X460" s="55"/>
      <c r="Y460" s="55"/>
      <c r="Z460" s="55"/>
      <c r="AA460" s="55"/>
      <c r="AB460" s="55"/>
      <c r="AC460" s="55"/>
      <c r="AD460" s="55"/>
      <c r="AE460" s="55"/>
      <c r="AF460" s="55"/>
      <c r="AG460" s="55"/>
      <c r="AH460" s="55"/>
      <c r="AI460" s="55"/>
      <c r="AJ460" s="55"/>
      <c r="AK460" s="55"/>
      <c r="AL460" s="55"/>
      <c r="AM460" s="55"/>
      <c r="AN460" s="55"/>
      <c r="AO460" s="55"/>
      <c r="AP460" s="55"/>
      <c r="AQ460" s="55"/>
      <c r="AR460" s="55"/>
      <c r="AS460" s="55"/>
      <c r="AT460" s="55"/>
      <c r="AU460" s="55"/>
      <c r="AV460" s="55"/>
      <c r="AW460" s="55"/>
      <c r="AX460" s="55"/>
      <c r="AY460" s="55"/>
    </row>
    <row r="461" spans="1:51" ht="20.100000000000001" customHeight="1">
      <c r="U461" s="55"/>
      <c r="V461" s="55"/>
      <c r="W461" s="55"/>
      <c r="X461" s="55"/>
      <c r="Y461" s="55"/>
      <c r="Z461" s="55"/>
      <c r="AA461" s="55"/>
      <c r="AB461" s="55"/>
      <c r="AC461" s="55"/>
      <c r="AD461" s="55"/>
      <c r="AE461" s="55"/>
      <c r="AF461" s="55"/>
      <c r="AG461" s="55"/>
      <c r="AH461" s="55"/>
      <c r="AI461" s="55"/>
      <c r="AJ461" s="55"/>
      <c r="AK461" s="55"/>
      <c r="AL461" s="55"/>
      <c r="AM461" s="55"/>
      <c r="AN461" s="55"/>
      <c r="AO461" s="55"/>
      <c r="AP461" s="55"/>
      <c r="AQ461" s="55"/>
      <c r="AR461" s="55"/>
      <c r="AS461" s="55"/>
      <c r="AT461" s="55"/>
      <c r="AU461" s="55"/>
      <c r="AV461" s="55"/>
      <c r="AW461" s="55"/>
      <c r="AX461" s="55"/>
      <c r="AY461" s="55"/>
    </row>
    <row r="462" spans="1:51" ht="20.100000000000001" customHeight="1">
      <c r="U462" s="55"/>
      <c r="V462" s="55"/>
      <c r="W462" s="55"/>
      <c r="X462" s="55"/>
      <c r="Y462" s="55"/>
      <c r="Z462" s="55"/>
      <c r="AA462" s="55"/>
      <c r="AB462" s="55"/>
      <c r="AC462" s="55"/>
      <c r="AD462" s="55"/>
      <c r="AE462" s="55"/>
      <c r="AF462" s="55"/>
      <c r="AG462" s="55"/>
      <c r="AH462" s="55"/>
      <c r="AI462" s="55"/>
      <c r="AJ462" s="55"/>
      <c r="AK462" s="55"/>
      <c r="AL462" s="55"/>
      <c r="AM462" s="55"/>
      <c r="AN462" s="55"/>
      <c r="AO462" s="55"/>
      <c r="AP462" s="55"/>
      <c r="AQ462" s="55"/>
      <c r="AR462" s="55"/>
      <c r="AS462" s="55"/>
      <c r="AT462" s="55"/>
      <c r="AU462" s="55"/>
      <c r="AV462" s="55"/>
      <c r="AW462" s="55"/>
      <c r="AX462" s="55"/>
      <c r="AY462" s="55"/>
    </row>
    <row r="463" spans="1:51" ht="20.100000000000001" customHeight="1">
      <c r="U463" s="55"/>
      <c r="V463" s="55"/>
      <c r="W463" s="55"/>
      <c r="X463" s="55"/>
      <c r="Y463" s="55"/>
      <c r="Z463" s="55"/>
      <c r="AA463" s="55"/>
      <c r="AB463" s="55"/>
      <c r="AC463" s="55"/>
      <c r="AD463" s="55"/>
      <c r="AE463" s="55"/>
      <c r="AF463" s="55"/>
      <c r="AG463" s="55"/>
      <c r="AH463" s="55"/>
      <c r="AI463" s="55"/>
      <c r="AJ463" s="55"/>
      <c r="AK463" s="55"/>
      <c r="AL463" s="55"/>
      <c r="AM463" s="55"/>
      <c r="AN463" s="55"/>
      <c r="AO463" s="55"/>
      <c r="AP463" s="55"/>
      <c r="AQ463" s="55"/>
      <c r="AR463" s="55"/>
      <c r="AS463" s="55"/>
      <c r="AT463" s="55"/>
      <c r="AU463" s="55"/>
      <c r="AV463" s="55"/>
      <c r="AW463" s="55"/>
      <c r="AX463" s="55"/>
      <c r="AY463" s="55"/>
    </row>
    <row r="464" spans="1:51" ht="20.100000000000001" customHeight="1">
      <c r="U464" s="55"/>
      <c r="V464" s="55"/>
      <c r="W464" s="55"/>
      <c r="X464" s="55"/>
      <c r="Y464" s="55"/>
      <c r="Z464" s="55"/>
      <c r="AA464" s="55"/>
      <c r="AB464" s="55"/>
      <c r="AC464" s="55"/>
      <c r="AD464" s="55"/>
      <c r="AE464" s="55"/>
      <c r="AF464" s="55"/>
      <c r="AG464" s="55"/>
      <c r="AH464" s="55"/>
      <c r="AI464" s="55"/>
      <c r="AJ464" s="55"/>
      <c r="AK464" s="55"/>
      <c r="AL464" s="55"/>
      <c r="AM464" s="55"/>
      <c r="AN464" s="55"/>
      <c r="AO464" s="55"/>
      <c r="AP464" s="55"/>
      <c r="AQ464" s="55"/>
      <c r="AR464" s="55"/>
      <c r="AS464" s="55"/>
      <c r="AT464" s="55"/>
      <c r="AU464" s="55"/>
      <c r="AV464" s="55"/>
      <c r="AW464" s="55"/>
      <c r="AX464" s="55"/>
      <c r="AY464" s="55"/>
    </row>
    <row r="465" spans="21:51" ht="20.100000000000001" customHeight="1">
      <c r="U465" s="55"/>
      <c r="V465" s="55"/>
      <c r="W465" s="55"/>
      <c r="X465" s="55"/>
      <c r="Y465" s="55"/>
      <c r="Z465" s="55"/>
      <c r="AA465" s="55"/>
      <c r="AB465" s="55"/>
      <c r="AC465" s="55"/>
      <c r="AD465" s="55"/>
      <c r="AE465" s="55"/>
      <c r="AF465" s="55"/>
      <c r="AG465" s="55"/>
      <c r="AH465" s="55"/>
      <c r="AI465" s="55"/>
      <c r="AJ465" s="55"/>
      <c r="AK465" s="55"/>
      <c r="AL465" s="55"/>
      <c r="AM465" s="55"/>
      <c r="AN465" s="55"/>
      <c r="AO465" s="55"/>
      <c r="AP465" s="55"/>
      <c r="AQ465" s="55"/>
      <c r="AR465" s="55"/>
      <c r="AS465" s="55"/>
      <c r="AT465" s="55"/>
      <c r="AU465" s="55"/>
      <c r="AV465" s="55"/>
      <c r="AW465" s="55"/>
      <c r="AX465" s="55"/>
      <c r="AY465" s="55"/>
    </row>
    <row r="466" spans="21:51" ht="20.100000000000001" customHeight="1">
      <c r="U466" s="55"/>
      <c r="V466" s="55"/>
      <c r="W466" s="55"/>
      <c r="X466" s="55"/>
      <c r="Y466" s="55"/>
      <c r="Z466" s="55"/>
      <c r="AA466" s="55"/>
      <c r="AB466" s="55"/>
      <c r="AC466" s="55"/>
      <c r="AD466" s="55"/>
      <c r="AE466" s="55"/>
      <c r="AF466" s="55"/>
      <c r="AG466" s="55"/>
      <c r="AH466" s="55"/>
      <c r="AI466" s="55"/>
      <c r="AJ466" s="55"/>
      <c r="AK466" s="55"/>
      <c r="AL466" s="55"/>
      <c r="AM466" s="55"/>
      <c r="AN466" s="55"/>
      <c r="AO466" s="55"/>
      <c r="AP466" s="55"/>
      <c r="AQ466" s="55"/>
      <c r="AR466" s="55"/>
      <c r="AS466" s="55"/>
      <c r="AT466" s="55"/>
      <c r="AU466" s="55"/>
      <c r="AV466" s="55"/>
      <c r="AW466" s="55"/>
      <c r="AX466" s="55"/>
      <c r="AY466" s="55"/>
    </row>
    <row r="467" spans="21:51" ht="20.100000000000001" customHeight="1">
      <c r="U467" s="55"/>
      <c r="V467" s="55"/>
      <c r="W467" s="55"/>
      <c r="X467" s="55"/>
      <c r="Y467" s="55"/>
      <c r="Z467" s="55"/>
      <c r="AA467" s="55"/>
      <c r="AB467" s="55"/>
      <c r="AC467" s="55"/>
      <c r="AD467" s="55"/>
      <c r="AE467" s="55"/>
      <c r="AF467" s="55"/>
      <c r="AG467" s="55"/>
      <c r="AH467" s="55"/>
      <c r="AI467" s="55"/>
      <c r="AJ467" s="55"/>
      <c r="AK467" s="55"/>
      <c r="AL467" s="55"/>
      <c r="AM467" s="55"/>
      <c r="AN467" s="55"/>
      <c r="AO467" s="55"/>
      <c r="AP467" s="55"/>
      <c r="AQ467" s="55"/>
      <c r="AR467" s="55"/>
      <c r="AS467" s="55"/>
      <c r="AT467" s="55"/>
      <c r="AU467" s="55"/>
      <c r="AV467" s="55"/>
      <c r="AW467" s="55"/>
      <c r="AX467" s="55"/>
      <c r="AY467" s="55"/>
    </row>
    <row r="468" spans="21:51">
      <c r="U468" s="55"/>
      <c r="V468" s="55"/>
      <c r="W468" s="55"/>
      <c r="X468" s="55"/>
      <c r="Y468" s="55"/>
      <c r="Z468" s="55"/>
      <c r="AA468" s="55"/>
      <c r="AB468" s="55"/>
      <c r="AC468" s="55"/>
      <c r="AD468" s="55"/>
      <c r="AE468" s="55"/>
      <c r="AF468" s="55"/>
      <c r="AG468" s="55"/>
      <c r="AH468" s="55"/>
      <c r="AI468" s="55"/>
      <c r="AJ468" s="55"/>
      <c r="AK468" s="55"/>
      <c r="AL468" s="55"/>
      <c r="AM468" s="55"/>
      <c r="AN468" s="55"/>
      <c r="AO468" s="55"/>
      <c r="AP468" s="55"/>
      <c r="AQ468" s="55"/>
      <c r="AR468" s="55"/>
      <c r="AS468" s="55"/>
      <c r="AT468" s="55"/>
      <c r="AU468" s="55"/>
      <c r="AV468" s="55"/>
      <c r="AW468" s="55"/>
      <c r="AX468" s="55"/>
      <c r="AY468" s="55"/>
    </row>
    <row r="469" spans="21:51">
      <c r="U469" s="55"/>
      <c r="V469" s="55"/>
      <c r="W469" s="55"/>
      <c r="X469" s="55"/>
      <c r="Y469" s="55"/>
      <c r="Z469" s="55"/>
      <c r="AA469" s="55"/>
      <c r="AB469" s="55"/>
      <c r="AC469" s="55"/>
      <c r="AD469" s="55"/>
      <c r="AE469" s="55"/>
      <c r="AF469" s="55"/>
      <c r="AG469" s="55"/>
      <c r="AH469" s="55"/>
      <c r="AI469" s="55"/>
      <c r="AJ469" s="55"/>
      <c r="AK469" s="55"/>
      <c r="AL469" s="55"/>
      <c r="AM469" s="55"/>
      <c r="AN469" s="55"/>
      <c r="AO469" s="55"/>
      <c r="AP469" s="55"/>
      <c r="AQ469" s="55"/>
      <c r="AR469" s="55"/>
      <c r="AS469" s="55"/>
      <c r="AT469" s="55"/>
      <c r="AU469" s="55"/>
      <c r="AV469" s="55"/>
      <c r="AW469" s="55"/>
      <c r="AX469" s="55"/>
      <c r="AY469" s="55"/>
    </row>
    <row r="470" spans="21:51">
      <c r="U470" s="55"/>
      <c r="V470" s="55"/>
      <c r="W470" s="55"/>
      <c r="X470" s="55"/>
      <c r="Y470" s="55"/>
      <c r="Z470" s="55"/>
      <c r="AA470" s="55"/>
      <c r="AB470" s="55"/>
      <c r="AC470" s="55"/>
      <c r="AD470" s="55"/>
      <c r="AE470" s="55"/>
      <c r="AF470" s="55"/>
      <c r="AG470" s="55"/>
      <c r="AH470" s="55"/>
      <c r="AI470" s="55"/>
      <c r="AJ470" s="55"/>
      <c r="AK470" s="55"/>
      <c r="AL470" s="55"/>
      <c r="AM470" s="55"/>
      <c r="AN470" s="55"/>
      <c r="AO470" s="55"/>
      <c r="AP470" s="55"/>
      <c r="AQ470" s="55"/>
      <c r="AR470" s="55"/>
      <c r="AS470" s="55"/>
      <c r="AT470" s="55"/>
      <c r="AU470" s="55"/>
      <c r="AV470" s="55"/>
      <c r="AW470" s="55"/>
      <c r="AX470" s="55"/>
      <c r="AY470" s="55"/>
    </row>
    <row r="471" spans="21:51">
      <c r="U471" s="55"/>
      <c r="V471" s="55"/>
      <c r="W471" s="55"/>
      <c r="X471" s="55"/>
      <c r="Y471" s="55"/>
      <c r="Z471" s="55"/>
      <c r="AA471" s="55"/>
      <c r="AB471" s="55"/>
      <c r="AC471" s="55"/>
      <c r="AD471" s="55"/>
      <c r="AE471" s="55"/>
      <c r="AF471" s="55"/>
      <c r="AG471" s="55"/>
      <c r="AH471" s="55"/>
      <c r="AI471" s="55"/>
      <c r="AJ471" s="55"/>
      <c r="AK471" s="55"/>
      <c r="AL471" s="55"/>
      <c r="AM471" s="55"/>
      <c r="AN471" s="55"/>
      <c r="AO471" s="55"/>
      <c r="AP471" s="55"/>
      <c r="AQ471" s="55"/>
      <c r="AR471" s="55"/>
      <c r="AS471" s="55"/>
      <c r="AT471" s="55"/>
      <c r="AU471" s="55"/>
      <c r="AV471" s="55"/>
      <c r="AW471" s="55"/>
      <c r="AX471" s="55"/>
      <c r="AY471" s="55"/>
    </row>
    <row r="472" spans="21:51">
      <c r="U472" s="55"/>
      <c r="V472" s="55"/>
      <c r="W472" s="55"/>
      <c r="X472" s="55"/>
      <c r="Y472" s="55"/>
      <c r="Z472" s="55"/>
      <c r="AA472" s="55"/>
      <c r="AB472" s="55"/>
      <c r="AC472" s="55"/>
      <c r="AD472" s="55"/>
      <c r="AE472" s="55"/>
      <c r="AF472" s="55"/>
      <c r="AG472" s="55"/>
      <c r="AH472" s="55"/>
      <c r="AI472" s="55"/>
      <c r="AJ472" s="55"/>
      <c r="AK472" s="55"/>
      <c r="AL472" s="55"/>
      <c r="AM472" s="55"/>
      <c r="AN472" s="55"/>
      <c r="AO472" s="55"/>
      <c r="AP472" s="55"/>
      <c r="AQ472" s="55"/>
      <c r="AR472" s="55"/>
      <c r="AS472" s="55"/>
      <c r="AT472" s="55"/>
      <c r="AU472" s="55"/>
      <c r="AV472" s="55"/>
      <c r="AW472" s="55"/>
      <c r="AX472" s="55"/>
      <c r="AY472" s="55"/>
    </row>
    <row r="473" spans="21:51">
      <c r="U473" s="55"/>
      <c r="V473" s="55"/>
      <c r="W473" s="55"/>
      <c r="X473" s="55"/>
      <c r="Y473" s="55"/>
      <c r="Z473" s="55"/>
      <c r="AA473" s="55"/>
      <c r="AB473" s="55"/>
      <c r="AC473" s="55"/>
      <c r="AD473" s="55"/>
      <c r="AE473" s="55"/>
      <c r="AF473" s="55"/>
      <c r="AG473" s="55"/>
      <c r="AH473" s="55"/>
      <c r="AI473" s="55"/>
      <c r="AJ473" s="55"/>
      <c r="AK473" s="55"/>
      <c r="AL473" s="55"/>
      <c r="AM473" s="55"/>
      <c r="AN473" s="55"/>
      <c r="AO473" s="55"/>
      <c r="AP473" s="55"/>
      <c r="AQ473" s="55"/>
      <c r="AR473" s="55"/>
      <c r="AS473" s="55"/>
      <c r="AT473" s="55"/>
      <c r="AU473" s="55"/>
      <c r="AV473" s="55"/>
      <c r="AW473" s="55"/>
      <c r="AX473" s="55"/>
      <c r="AY473" s="55"/>
    </row>
    <row r="474" spans="21:51">
      <c r="U474" s="55"/>
      <c r="V474" s="55"/>
      <c r="W474" s="55"/>
      <c r="X474" s="55"/>
      <c r="Y474" s="55"/>
      <c r="Z474" s="55"/>
      <c r="AA474" s="55"/>
      <c r="AB474" s="55"/>
      <c r="AC474" s="55"/>
      <c r="AD474" s="55"/>
      <c r="AE474" s="55"/>
      <c r="AF474" s="55"/>
      <c r="AG474" s="55"/>
      <c r="AH474" s="55"/>
      <c r="AI474" s="55"/>
      <c r="AJ474" s="55"/>
      <c r="AK474" s="55"/>
      <c r="AL474" s="55"/>
      <c r="AM474" s="55"/>
      <c r="AN474" s="55"/>
      <c r="AO474" s="55"/>
      <c r="AP474" s="55"/>
      <c r="AQ474" s="55"/>
      <c r="AR474" s="55"/>
      <c r="AS474" s="55"/>
      <c r="AT474" s="55"/>
      <c r="AU474" s="55"/>
      <c r="AV474" s="55"/>
      <c r="AW474" s="55"/>
      <c r="AX474" s="55"/>
      <c r="AY474" s="55"/>
    </row>
    <row r="475" spans="21:51">
      <c r="U475" s="55"/>
      <c r="V475" s="55"/>
      <c r="W475" s="55"/>
      <c r="X475" s="55"/>
      <c r="Y475" s="55"/>
      <c r="Z475" s="55"/>
      <c r="AA475" s="55"/>
      <c r="AB475" s="55"/>
      <c r="AC475" s="55"/>
      <c r="AD475" s="55"/>
      <c r="AE475" s="55"/>
      <c r="AF475" s="55"/>
      <c r="AG475" s="55"/>
      <c r="AH475" s="55"/>
      <c r="AI475" s="55"/>
      <c r="AJ475" s="55"/>
      <c r="AK475" s="55"/>
      <c r="AL475" s="55"/>
      <c r="AM475" s="55"/>
      <c r="AN475" s="55"/>
      <c r="AO475" s="55"/>
      <c r="AP475" s="55"/>
      <c r="AQ475" s="55"/>
      <c r="AR475" s="55"/>
      <c r="AS475" s="55"/>
      <c r="AT475" s="55"/>
      <c r="AU475" s="55"/>
      <c r="AV475" s="55"/>
      <c r="AW475" s="55"/>
      <c r="AX475" s="55"/>
      <c r="AY475" s="55"/>
    </row>
    <row r="476" spans="21:51">
      <c r="U476" s="55"/>
      <c r="V476" s="55"/>
      <c r="W476" s="55"/>
      <c r="X476" s="55"/>
      <c r="Y476" s="55"/>
      <c r="Z476" s="55"/>
      <c r="AA476" s="55"/>
      <c r="AB476" s="55"/>
      <c r="AC476" s="55"/>
      <c r="AD476" s="55"/>
      <c r="AE476" s="55"/>
      <c r="AF476" s="55"/>
      <c r="AG476" s="55"/>
      <c r="AH476" s="55"/>
      <c r="AI476" s="55"/>
      <c r="AJ476" s="55"/>
      <c r="AK476" s="55"/>
      <c r="AL476" s="55"/>
      <c r="AM476" s="55"/>
      <c r="AN476" s="55"/>
      <c r="AO476" s="55"/>
      <c r="AP476" s="55"/>
      <c r="AQ476" s="55"/>
      <c r="AR476" s="55"/>
      <c r="AS476" s="55"/>
      <c r="AT476" s="55"/>
      <c r="AU476" s="55"/>
      <c r="AV476" s="55"/>
      <c r="AW476" s="55"/>
      <c r="AX476" s="55"/>
      <c r="AY476" s="55"/>
    </row>
    <row r="477" spans="21:51">
      <c r="U477" s="55"/>
      <c r="V477" s="55"/>
      <c r="W477" s="55"/>
      <c r="X477" s="55"/>
      <c r="Y477" s="55"/>
      <c r="Z477" s="55"/>
      <c r="AA477" s="55"/>
      <c r="AB477" s="55"/>
      <c r="AC477" s="55"/>
      <c r="AD477" s="55"/>
      <c r="AE477" s="55"/>
      <c r="AF477" s="55"/>
      <c r="AG477" s="55"/>
      <c r="AH477" s="55"/>
      <c r="AI477" s="55"/>
      <c r="AJ477" s="55"/>
      <c r="AK477" s="55"/>
      <c r="AL477" s="55"/>
      <c r="AM477" s="55"/>
      <c r="AN477" s="55"/>
      <c r="AO477" s="55"/>
      <c r="AP477" s="55"/>
      <c r="AQ477" s="55"/>
      <c r="AR477" s="55"/>
      <c r="AS477" s="55"/>
      <c r="AT477" s="55"/>
      <c r="AU477" s="55"/>
      <c r="AV477" s="55"/>
      <c r="AW477" s="55"/>
      <c r="AX477" s="55"/>
      <c r="AY477" s="55"/>
    </row>
    <row r="478" spans="21:51">
      <c r="U478" s="55"/>
      <c r="V478" s="55"/>
      <c r="W478" s="55"/>
      <c r="X478" s="55"/>
      <c r="Y478" s="55"/>
      <c r="Z478" s="55"/>
      <c r="AA478" s="55"/>
      <c r="AB478" s="55"/>
      <c r="AC478" s="55"/>
      <c r="AD478" s="55"/>
      <c r="AE478" s="55"/>
      <c r="AF478" s="55"/>
      <c r="AG478" s="55"/>
      <c r="AH478" s="55"/>
      <c r="AI478" s="55"/>
      <c r="AJ478" s="55"/>
      <c r="AK478" s="55"/>
      <c r="AL478" s="55"/>
      <c r="AM478" s="55"/>
      <c r="AN478" s="55"/>
      <c r="AO478" s="55"/>
      <c r="AP478" s="55"/>
      <c r="AQ478" s="55"/>
      <c r="AR478" s="55"/>
      <c r="AS478" s="55"/>
      <c r="AT478" s="55"/>
      <c r="AU478" s="55"/>
      <c r="AV478" s="55"/>
      <c r="AW478" s="55"/>
      <c r="AX478" s="55"/>
      <c r="AY478" s="55"/>
    </row>
    <row r="479" spans="21:51">
      <c r="U479" s="55"/>
      <c r="V479" s="55"/>
      <c r="W479" s="55"/>
      <c r="X479" s="55"/>
      <c r="Y479" s="55"/>
      <c r="Z479" s="55"/>
      <c r="AA479" s="55"/>
      <c r="AB479" s="55"/>
      <c r="AC479" s="55"/>
      <c r="AD479" s="55"/>
      <c r="AE479" s="55"/>
      <c r="AF479" s="55"/>
      <c r="AG479" s="55"/>
      <c r="AH479" s="55"/>
      <c r="AI479" s="55"/>
      <c r="AJ479" s="55"/>
      <c r="AK479" s="55"/>
      <c r="AL479" s="55"/>
      <c r="AM479" s="55"/>
      <c r="AN479" s="55"/>
      <c r="AO479" s="55"/>
      <c r="AP479" s="55"/>
      <c r="AQ479" s="55"/>
      <c r="AR479" s="55"/>
      <c r="AS479" s="55"/>
      <c r="AT479" s="55"/>
      <c r="AU479" s="55"/>
      <c r="AV479" s="55"/>
      <c r="AW479" s="55"/>
      <c r="AX479" s="55"/>
      <c r="AY479" s="55"/>
    </row>
    <row r="480" spans="21:51">
      <c r="U480" s="55"/>
      <c r="V480" s="55"/>
      <c r="W480" s="55"/>
      <c r="X480" s="55"/>
      <c r="Y480" s="55"/>
      <c r="Z480" s="55"/>
      <c r="AA480" s="55"/>
      <c r="AB480" s="55"/>
      <c r="AC480" s="55"/>
      <c r="AD480" s="55"/>
      <c r="AE480" s="55"/>
      <c r="AF480" s="55"/>
      <c r="AG480" s="55"/>
      <c r="AH480" s="55"/>
      <c r="AI480" s="55"/>
      <c r="AJ480" s="55"/>
      <c r="AK480" s="55"/>
      <c r="AL480" s="55"/>
      <c r="AM480" s="55"/>
      <c r="AN480" s="55"/>
      <c r="AO480" s="55"/>
      <c r="AP480" s="55"/>
      <c r="AQ480" s="55"/>
      <c r="AR480" s="55"/>
      <c r="AS480" s="55"/>
      <c r="AT480" s="55"/>
      <c r="AU480" s="55"/>
      <c r="AV480" s="55"/>
      <c r="AW480" s="55"/>
      <c r="AX480" s="55"/>
      <c r="AY480" s="55"/>
    </row>
    <row r="481" spans="21:51">
      <c r="U481" s="55"/>
      <c r="V481" s="55"/>
      <c r="W481" s="55"/>
      <c r="X481" s="55"/>
      <c r="Y481" s="55"/>
      <c r="Z481" s="55"/>
      <c r="AA481" s="55"/>
      <c r="AB481" s="55"/>
      <c r="AC481" s="55"/>
      <c r="AD481" s="55"/>
      <c r="AE481" s="55"/>
      <c r="AF481" s="55"/>
      <c r="AG481" s="55"/>
      <c r="AH481" s="55"/>
      <c r="AI481" s="55"/>
      <c r="AJ481" s="55"/>
      <c r="AK481" s="55"/>
      <c r="AL481" s="55"/>
      <c r="AM481" s="55"/>
      <c r="AN481" s="55"/>
      <c r="AO481" s="55"/>
      <c r="AP481" s="55"/>
      <c r="AQ481" s="55"/>
      <c r="AR481" s="55"/>
      <c r="AS481" s="55"/>
      <c r="AT481" s="55"/>
      <c r="AU481" s="55"/>
      <c r="AV481" s="55"/>
      <c r="AW481" s="55"/>
      <c r="AX481" s="55"/>
      <c r="AY481" s="55"/>
    </row>
    <row r="482" spans="21:51">
      <c r="U482" s="55"/>
      <c r="V482" s="55"/>
      <c r="W482" s="55"/>
      <c r="X482" s="55"/>
      <c r="Y482" s="55"/>
      <c r="Z482" s="55"/>
      <c r="AA482" s="55"/>
      <c r="AB482" s="55"/>
      <c r="AC482" s="55"/>
      <c r="AD482" s="55"/>
      <c r="AE482" s="55"/>
      <c r="AF482" s="55"/>
      <c r="AG482" s="55"/>
      <c r="AH482" s="55"/>
      <c r="AI482" s="55"/>
      <c r="AJ482" s="55"/>
      <c r="AK482" s="55"/>
      <c r="AL482" s="55"/>
      <c r="AM482" s="55"/>
      <c r="AN482" s="55"/>
      <c r="AO482" s="55"/>
      <c r="AP482" s="55"/>
      <c r="AQ482" s="55"/>
      <c r="AR482" s="55"/>
      <c r="AS482" s="55"/>
      <c r="AT482" s="55"/>
      <c r="AU482" s="55"/>
      <c r="AV482" s="55"/>
      <c r="AW482" s="55"/>
      <c r="AX482" s="55"/>
      <c r="AY482" s="55"/>
    </row>
    <row r="483" spans="21:51">
      <c r="U483" s="55"/>
      <c r="V483" s="55"/>
      <c r="W483" s="55"/>
      <c r="X483" s="55"/>
      <c r="Y483" s="55"/>
      <c r="Z483" s="55"/>
      <c r="AA483" s="55"/>
      <c r="AB483" s="55"/>
      <c r="AC483" s="55"/>
      <c r="AD483" s="55"/>
      <c r="AE483" s="55"/>
      <c r="AF483" s="55"/>
      <c r="AG483" s="55"/>
      <c r="AH483" s="55"/>
      <c r="AI483" s="55"/>
      <c r="AJ483" s="55"/>
      <c r="AK483" s="55"/>
      <c r="AL483" s="55"/>
      <c r="AM483" s="55"/>
      <c r="AN483" s="55"/>
      <c r="AO483" s="55"/>
      <c r="AP483" s="55"/>
      <c r="AQ483" s="55"/>
      <c r="AR483" s="55"/>
      <c r="AS483" s="55"/>
      <c r="AT483" s="55"/>
      <c r="AU483" s="55"/>
      <c r="AV483" s="55"/>
      <c r="AW483" s="55"/>
      <c r="AX483" s="55"/>
      <c r="AY483" s="55"/>
    </row>
    <row r="484" spans="21:51">
      <c r="U484" s="55"/>
      <c r="V484" s="55"/>
      <c r="W484" s="55"/>
      <c r="X484" s="55"/>
      <c r="Y484" s="55"/>
      <c r="Z484" s="55"/>
      <c r="AA484" s="55"/>
      <c r="AB484" s="55"/>
      <c r="AC484" s="55"/>
      <c r="AD484" s="55"/>
      <c r="AE484" s="55"/>
      <c r="AF484" s="55"/>
      <c r="AG484" s="55"/>
      <c r="AH484" s="55"/>
      <c r="AI484" s="55"/>
      <c r="AJ484" s="55"/>
      <c r="AK484" s="55"/>
      <c r="AL484" s="55"/>
      <c r="AM484" s="55"/>
      <c r="AN484" s="55"/>
      <c r="AO484" s="55"/>
      <c r="AP484" s="55"/>
      <c r="AQ484" s="55"/>
      <c r="AR484" s="55"/>
      <c r="AS484" s="55"/>
      <c r="AT484" s="55"/>
      <c r="AU484" s="55"/>
      <c r="AV484" s="55"/>
      <c r="AW484" s="55"/>
      <c r="AX484" s="55"/>
      <c r="AY484" s="55"/>
    </row>
    <row r="485" spans="21:51">
      <c r="U485" s="55"/>
      <c r="V485" s="55"/>
      <c r="W485" s="55"/>
      <c r="X485" s="55"/>
      <c r="Y485" s="55"/>
      <c r="Z485" s="55"/>
      <c r="AA485" s="55"/>
      <c r="AB485" s="55"/>
      <c r="AC485" s="55"/>
      <c r="AD485" s="55"/>
      <c r="AE485" s="55"/>
      <c r="AF485" s="55"/>
      <c r="AG485" s="55"/>
      <c r="AH485" s="55"/>
      <c r="AI485" s="55"/>
      <c r="AJ485" s="55"/>
      <c r="AK485" s="55"/>
      <c r="AL485" s="55"/>
      <c r="AM485" s="55"/>
      <c r="AN485" s="55"/>
      <c r="AO485" s="55"/>
      <c r="AP485" s="55"/>
      <c r="AQ485" s="55"/>
      <c r="AR485" s="55"/>
      <c r="AS485" s="55"/>
      <c r="AT485" s="55"/>
      <c r="AU485" s="55"/>
      <c r="AV485" s="55"/>
      <c r="AW485" s="55"/>
      <c r="AX485" s="55"/>
      <c r="AY485" s="55"/>
    </row>
    <row r="486" spans="21:51">
      <c r="U486" s="55"/>
      <c r="V486" s="55"/>
      <c r="W486" s="55"/>
      <c r="X486" s="55"/>
      <c r="Y486" s="55"/>
      <c r="Z486" s="55"/>
      <c r="AA486" s="55"/>
      <c r="AB486" s="55"/>
      <c r="AC486" s="55"/>
      <c r="AD486" s="55"/>
      <c r="AE486" s="55"/>
      <c r="AF486" s="55"/>
      <c r="AG486" s="55"/>
      <c r="AH486" s="55"/>
      <c r="AI486" s="55"/>
      <c r="AJ486" s="55"/>
      <c r="AK486" s="55"/>
      <c r="AL486" s="55"/>
      <c r="AM486" s="55"/>
      <c r="AN486" s="55"/>
      <c r="AO486" s="55"/>
      <c r="AP486" s="55"/>
      <c r="AQ486" s="55"/>
      <c r="AR486" s="55"/>
      <c r="AS486" s="55"/>
      <c r="AT486" s="55"/>
      <c r="AU486" s="55"/>
      <c r="AV486" s="55"/>
      <c r="AW486" s="55"/>
      <c r="AX486" s="55"/>
      <c r="AY486" s="55"/>
    </row>
    <row r="487" spans="21:51">
      <c r="U487" s="55"/>
      <c r="V487" s="55"/>
      <c r="W487" s="55"/>
      <c r="X487" s="55"/>
      <c r="Y487" s="55"/>
      <c r="Z487" s="55"/>
      <c r="AA487" s="55"/>
      <c r="AB487" s="55"/>
      <c r="AC487" s="55"/>
      <c r="AD487" s="55"/>
      <c r="AE487" s="55"/>
      <c r="AF487" s="55"/>
      <c r="AG487" s="55"/>
      <c r="AH487" s="55"/>
      <c r="AI487" s="55"/>
      <c r="AJ487" s="55"/>
      <c r="AK487" s="55"/>
      <c r="AL487" s="55"/>
      <c r="AM487" s="55"/>
      <c r="AN487" s="55"/>
      <c r="AO487" s="55"/>
      <c r="AP487" s="55"/>
      <c r="AQ487" s="55"/>
      <c r="AR487" s="55"/>
      <c r="AS487" s="55"/>
      <c r="AT487" s="55"/>
      <c r="AU487" s="55"/>
      <c r="AV487" s="55"/>
      <c r="AW487" s="55"/>
      <c r="AX487" s="55"/>
      <c r="AY487" s="55"/>
    </row>
    <row r="488" spans="21:51">
      <c r="U488" s="55"/>
      <c r="V488" s="55"/>
      <c r="W488" s="55"/>
      <c r="X488" s="55"/>
      <c r="Y488" s="55"/>
      <c r="Z488" s="55"/>
      <c r="AA488" s="55"/>
      <c r="AB488" s="55"/>
      <c r="AC488" s="55"/>
      <c r="AD488" s="55"/>
      <c r="AE488" s="55"/>
      <c r="AF488" s="55"/>
      <c r="AG488" s="55"/>
      <c r="AH488" s="55"/>
      <c r="AI488" s="55"/>
      <c r="AJ488" s="55"/>
      <c r="AK488" s="55"/>
      <c r="AL488" s="55"/>
      <c r="AM488" s="55"/>
      <c r="AN488" s="55"/>
      <c r="AO488" s="55"/>
      <c r="AP488" s="55"/>
      <c r="AQ488" s="55"/>
      <c r="AR488" s="55"/>
      <c r="AS488" s="55"/>
      <c r="AT488" s="55"/>
      <c r="AU488" s="55"/>
      <c r="AV488" s="55"/>
      <c r="AW488" s="55"/>
      <c r="AX488" s="55"/>
      <c r="AY488" s="55"/>
    </row>
    <row r="489" spans="21:51">
      <c r="U489" s="55"/>
      <c r="V489" s="55"/>
      <c r="W489" s="55"/>
      <c r="X489" s="55"/>
      <c r="Y489" s="55"/>
      <c r="Z489" s="55"/>
      <c r="AA489" s="55"/>
      <c r="AB489" s="55"/>
      <c r="AC489" s="55"/>
      <c r="AD489" s="55"/>
      <c r="AE489" s="55"/>
      <c r="AF489" s="55"/>
      <c r="AG489" s="55"/>
      <c r="AH489" s="55"/>
      <c r="AI489" s="55"/>
      <c r="AJ489" s="55"/>
      <c r="AK489" s="55"/>
      <c r="AL489" s="55"/>
      <c r="AM489" s="55"/>
      <c r="AN489" s="55"/>
      <c r="AO489" s="55"/>
      <c r="AP489" s="55"/>
      <c r="AQ489" s="55"/>
      <c r="AR489" s="55"/>
      <c r="AS489" s="55"/>
      <c r="AT489" s="55"/>
      <c r="AU489" s="55"/>
      <c r="AV489" s="55"/>
      <c r="AW489" s="55"/>
      <c r="AX489" s="55"/>
      <c r="AY489" s="55"/>
    </row>
    <row r="490" spans="21:51">
      <c r="U490" s="55"/>
      <c r="V490" s="55"/>
      <c r="W490" s="55"/>
      <c r="X490" s="55"/>
      <c r="Y490" s="55"/>
      <c r="Z490" s="55"/>
      <c r="AA490" s="55"/>
      <c r="AB490" s="55"/>
      <c r="AC490" s="55"/>
      <c r="AD490" s="55"/>
      <c r="AE490" s="55"/>
      <c r="AF490" s="55"/>
      <c r="AG490" s="55"/>
      <c r="AH490" s="55"/>
      <c r="AI490" s="55"/>
      <c r="AJ490" s="55"/>
      <c r="AK490" s="55"/>
      <c r="AL490" s="55"/>
      <c r="AM490" s="55"/>
      <c r="AN490" s="55"/>
      <c r="AO490" s="55"/>
      <c r="AP490" s="55"/>
      <c r="AQ490" s="55"/>
      <c r="AR490" s="55"/>
      <c r="AS490" s="55"/>
      <c r="AT490" s="55"/>
      <c r="AU490" s="55"/>
      <c r="AV490" s="55"/>
      <c r="AW490" s="55"/>
      <c r="AX490" s="55"/>
      <c r="AY490" s="55"/>
    </row>
    <row r="491" spans="21:51">
      <c r="U491" s="55"/>
      <c r="V491" s="55"/>
      <c r="W491" s="55"/>
      <c r="X491" s="55"/>
      <c r="Y491" s="55"/>
      <c r="Z491" s="55"/>
      <c r="AA491" s="55"/>
      <c r="AB491" s="55"/>
      <c r="AC491" s="55"/>
      <c r="AD491" s="55"/>
      <c r="AE491" s="55"/>
      <c r="AF491" s="55"/>
      <c r="AG491" s="55"/>
      <c r="AH491" s="55"/>
      <c r="AI491" s="55"/>
      <c r="AJ491" s="55"/>
      <c r="AK491" s="55"/>
      <c r="AL491" s="55"/>
      <c r="AM491" s="55"/>
      <c r="AN491" s="55"/>
      <c r="AO491" s="55"/>
      <c r="AP491" s="55"/>
      <c r="AQ491" s="55"/>
      <c r="AR491" s="55"/>
      <c r="AS491" s="55"/>
      <c r="AT491" s="55"/>
      <c r="AU491" s="55"/>
      <c r="AV491" s="55"/>
      <c r="AW491" s="55"/>
      <c r="AX491" s="55"/>
      <c r="AY491" s="55"/>
    </row>
    <row r="492" spans="21:51">
      <c r="U492" s="55"/>
      <c r="V492" s="55"/>
      <c r="W492" s="55"/>
      <c r="X492" s="55"/>
      <c r="Y492" s="55"/>
      <c r="Z492" s="55"/>
      <c r="AA492" s="55"/>
      <c r="AB492" s="55"/>
      <c r="AC492" s="55"/>
      <c r="AD492" s="55"/>
      <c r="AE492" s="55"/>
      <c r="AF492" s="55"/>
      <c r="AG492" s="55"/>
      <c r="AH492" s="55"/>
      <c r="AI492" s="55"/>
      <c r="AJ492" s="55"/>
      <c r="AK492" s="55"/>
      <c r="AL492" s="55"/>
      <c r="AM492" s="55"/>
      <c r="AN492" s="55"/>
      <c r="AO492" s="55"/>
      <c r="AP492" s="55"/>
      <c r="AQ492" s="55"/>
      <c r="AR492" s="55"/>
      <c r="AS492" s="55"/>
      <c r="AT492" s="55"/>
      <c r="AU492" s="55"/>
      <c r="AV492" s="55"/>
      <c r="AW492" s="55"/>
      <c r="AX492" s="55"/>
      <c r="AY492" s="55"/>
    </row>
    <row r="493" spans="21:51">
      <c r="U493" s="55"/>
      <c r="V493" s="55"/>
      <c r="W493" s="55"/>
      <c r="X493" s="55"/>
      <c r="Y493" s="55"/>
      <c r="Z493" s="55"/>
      <c r="AA493" s="55"/>
      <c r="AB493" s="55"/>
      <c r="AC493" s="55"/>
      <c r="AD493" s="55"/>
      <c r="AE493" s="55"/>
      <c r="AF493" s="55"/>
      <c r="AG493" s="55"/>
      <c r="AH493" s="55"/>
      <c r="AI493" s="55"/>
      <c r="AJ493" s="55"/>
      <c r="AK493" s="55"/>
      <c r="AL493" s="55"/>
      <c r="AM493" s="55"/>
      <c r="AN493" s="55"/>
      <c r="AO493" s="55"/>
      <c r="AP493" s="55"/>
      <c r="AQ493" s="55"/>
      <c r="AR493" s="55"/>
      <c r="AS493" s="55"/>
      <c r="AT493" s="55"/>
      <c r="AU493" s="55"/>
      <c r="AV493" s="55"/>
      <c r="AW493" s="55"/>
      <c r="AX493" s="55"/>
      <c r="AY493" s="55"/>
    </row>
    <row r="494" spans="21:51">
      <c r="U494" s="55"/>
      <c r="V494" s="55"/>
      <c r="W494" s="55"/>
      <c r="X494" s="55"/>
      <c r="Y494" s="55"/>
      <c r="Z494" s="55"/>
      <c r="AA494" s="55"/>
      <c r="AB494" s="55"/>
      <c r="AC494" s="55"/>
      <c r="AD494" s="55"/>
      <c r="AE494" s="55"/>
      <c r="AF494" s="55"/>
      <c r="AG494" s="55"/>
      <c r="AH494" s="55"/>
      <c r="AI494" s="55"/>
      <c r="AJ494" s="55"/>
      <c r="AK494" s="55"/>
      <c r="AL494" s="55"/>
      <c r="AM494" s="55"/>
      <c r="AN494" s="55"/>
      <c r="AO494" s="55"/>
      <c r="AP494" s="55"/>
      <c r="AQ494" s="55"/>
      <c r="AR494" s="55"/>
      <c r="AS494" s="55"/>
      <c r="AT494" s="55"/>
      <c r="AU494" s="55"/>
      <c r="AV494" s="55"/>
      <c r="AW494" s="55"/>
      <c r="AX494" s="55"/>
      <c r="AY494" s="55"/>
    </row>
    <row r="495" spans="21:51">
      <c r="U495" s="55"/>
      <c r="V495" s="55"/>
      <c r="W495" s="55"/>
      <c r="X495" s="55"/>
      <c r="Y495" s="55"/>
      <c r="Z495" s="55"/>
      <c r="AA495" s="55"/>
      <c r="AB495" s="55"/>
      <c r="AC495" s="55"/>
      <c r="AD495" s="55"/>
      <c r="AE495" s="55"/>
      <c r="AF495" s="55"/>
      <c r="AG495" s="55"/>
      <c r="AH495" s="55"/>
      <c r="AI495" s="55"/>
      <c r="AJ495" s="55"/>
      <c r="AK495" s="55"/>
      <c r="AL495" s="55"/>
      <c r="AM495" s="55"/>
      <c r="AN495" s="55"/>
      <c r="AO495" s="55"/>
      <c r="AP495" s="55"/>
      <c r="AQ495" s="55"/>
      <c r="AR495" s="55"/>
      <c r="AS495" s="55"/>
      <c r="AT495" s="55"/>
      <c r="AU495" s="55"/>
      <c r="AV495" s="55"/>
      <c r="AW495" s="55"/>
      <c r="AX495" s="55"/>
      <c r="AY495" s="55"/>
    </row>
    <row r="496" spans="21:51">
      <c r="U496" s="55"/>
      <c r="V496" s="55"/>
      <c r="W496" s="55"/>
      <c r="X496" s="55"/>
      <c r="Y496" s="55"/>
      <c r="Z496" s="55"/>
      <c r="AA496" s="55"/>
      <c r="AB496" s="55"/>
      <c r="AC496" s="55"/>
      <c r="AD496" s="55"/>
      <c r="AE496" s="55"/>
      <c r="AF496" s="55"/>
      <c r="AG496" s="55"/>
      <c r="AH496" s="55"/>
      <c r="AI496" s="55"/>
      <c r="AJ496" s="55"/>
      <c r="AK496" s="55"/>
      <c r="AL496" s="55"/>
      <c r="AM496" s="55"/>
      <c r="AN496" s="55"/>
      <c r="AO496" s="55"/>
      <c r="AP496" s="55"/>
      <c r="AQ496" s="55"/>
      <c r="AR496" s="55"/>
      <c r="AS496" s="55"/>
      <c r="AT496" s="55"/>
      <c r="AU496" s="55"/>
      <c r="AV496" s="55"/>
      <c r="AW496" s="55"/>
      <c r="AX496" s="55"/>
      <c r="AY496" s="55"/>
    </row>
    <row r="497" spans="21:51">
      <c r="U497" s="55"/>
      <c r="V497" s="55"/>
      <c r="W497" s="55"/>
      <c r="X497" s="55"/>
      <c r="Y497" s="55"/>
      <c r="Z497" s="55"/>
      <c r="AA497" s="55"/>
      <c r="AB497" s="55"/>
      <c r="AC497" s="55"/>
      <c r="AD497" s="55"/>
      <c r="AE497" s="55"/>
      <c r="AF497" s="55"/>
      <c r="AG497" s="55"/>
      <c r="AH497" s="55"/>
      <c r="AI497" s="55"/>
      <c r="AJ497" s="55"/>
      <c r="AK497" s="55"/>
      <c r="AL497" s="55"/>
      <c r="AM497" s="55"/>
      <c r="AN497" s="55"/>
      <c r="AO497" s="55"/>
      <c r="AP497" s="55"/>
      <c r="AQ497" s="55"/>
      <c r="AR497" s="55"/>
      <c r="AS497" s="55"/>
      <c r="AT497" s="55"/>
      <c r="AU497" s="55"/>
      <c r="AV497" s="55"/>
      <c r="AW497" s="55"/>
      <c r="AX497" s="55"/>
      <c r="AY497" s="55"/>
    </row>
    <row r="498" spans="21:51">
      <c r="U498" s="55"/>
      <c r="V498" s="55"/>
      <c r="W498" s="55"/>
      <c r="X498" s="55"/>
      <c r="Y498" s="55"/>
      <c r="Z498" s="55"/>
      <c r="AA498" s="55"/>
      <c r="AB498" s="55"/>
      <c r="AC498" s="55"/>
      <c r="AD498" s="55"/>
      <c r="AE498" s="55"/>
      <c r="AF498" s="55"/>
      <c r="AG498" s="55"/>
      <c r="AH498" s="55"/>
      <c r="AI498" s="55"/>
      <c r="AJ498" s="55"/>
      <c r="AK498" s="55"/>
      <c r="AL498" s="55"/>
      <c r="AM498" s="55"/>
      <c r="AN498" s="55"/>
      <c r="AO498" s="55"/>
      <c r="AP498" s="55"/>
      <c r="AQ498" s="55"/>
      <c r="AR498" s="55"/>
      <c r="AS498" s="55"/>
      <c r="AT498" s="55"/>
      <c r="AU498" s="55"/>
      <c r="AV498" s="55"/>
      <c r="AW498" s="55"/>
      <c r="AX498" s="55"/>
      <c r="AY498" s="55"/>
    </row>
    <row r="499" spans="21:51">
      <c r="U499" s="55"/>
      <c r="V499" s="55"/>
      <c r="W499" s="55"/>
      <c r="X499" s="55"/>
      <c r="Y499" s="55"/>
      <c r="Z499" s="55"/>
      <c r="AA499" s="55"/>
      <c r="AB499" s="55"/>
      <c r="AC499" s="55"/>
      <c r="AD499" s="55"/>
      <c r="AE499" s="55"/>
      <c r="AF499" s="55"/>
      <c r="AG499" s="55"/>
      <c r="AH499" s="55"/>
      <c r="AI499" s="55"/>
      <c r="AJ499" s="55"/>
      <c r="AK499" s="55"/>
      <c r="AL499" s="55"/>
      <c r="AM499" s="55"/>
      <c r="AN499" s="55"/>
      <c r="AO499" s="55"/>
      <c r="AP499" s="55"/>
      <c r="AQ499" s="55"/>
      <c r="AR499" s="55"/>
      <c r="AS499" s="55"/>
      <c r="AT499" s="55"/>
      <c r="AU499" s="55"/>
      <c r="AV499" s="55"/>
      <c r="AW499" s="55"/>
      <c r="AX499" s="55"/>
      <c r="AY499" s="55"/>
    </row>
    <row r="500" spans="21:51">
      <c r="U500" s="55"/>
      <c r="V500" s="55"/>
      <c r="W500" s="55"/>
      <c r="X500" s="55"/>
      <c r="Y500" s="55"/>
      <c r="Z500" s="55"/>
      <c r="AA500" s="55"/>
      <c r="AB500" s="55"/>
      <c r="AC500" s="55"/>
      <c r="AD500" s="55"/>
      <c r="AE500" s="55"/>
      <c r="AF500" s="55"/>
      <c r="AG500" s="55"/>
      <c r="AH500" s="55"/>
      <c r="AI500" s="55"/>
      <c r="AJ500" s="55"/>
      <c r="AK500" s="55"/>
      <c r="AL500" s="55"/>
      <c r="AM500" s="55"/>
      <c r="AN500" s="55"/>
      <c r="AO500" s="55"/>
      <c r="AP500" s="55"/>
      <c r="AQ500" s="55"/>
      <c r="AR500" s="55"/>
      <c r="AS500" s="55"/>
      <c r="AT500" s="55"/>
      <c r="AU500" s="55"/>
      <c r="AV500" s="55"/>
      <c r="AW500" s="55"/>
      <c r="AX500" s="55"/>
      <c r="AY500" s="55"/>
    </row>
    <row r="501" spans="21:51">
      <c r="U501" s="55"/>
      <c r="V501" s="55"/>
      <c r="W501" s="55"/>
      <c r="X501" s="55"/>
      <c r="Y501" s="55"/>
      <c r="Z501" s="55"/>
      <c r="AA501" s="55"/>
      <c r="AB501" s="55"/>
      <c r="AC501" s="55"/>
      <c r="AD501" s="55"/>
      <c r="AE501" s="55"/>
      <c r="AF501" s="55"/>
      <c r="AG501" s="55"/>
      <c r="AH501" s="55"/>
      <c r="AI501" s="55"/>
      <c r="AJ501" s="55"/>
      <c r="AK501" s="55"/>
      <c r="AL501" s="55"/>
      <c r="AM501" s="55"/>
      <c r="AN501" s="55"/>
      <c r="AO501" s="55"/>
      <c r="AP501" s="55"/>
      <c r="AQ501" s="55"/>
      <c r="AR501" s="55"/>
      <c r="AS501" s="55"/>
      <c r="AT501" s="55"/>
      <c r="AU501" s="55"/>
      <c r="AV501" s="55"/>
      <c r="AW501" s="55"/>
      <c r="AX501" s="55"/>
      <c r="AY501" s="55"/>
    </row>
    <row r="502" spans="21:51">
      <c r="U502" s="55"/>
      <c r="V502" s="55"/>
      <c r="W502" s="55"/>
      <c r="X502" s="55"/>
      <c r="Y502" s="55"/>
      <c r="Z502" s="55"/>
      <c r="AA502" s="55"/>
      <c r="AB502" s="55"/>
      <c r="AC502" s="55"/>
      <c r="AD502" s="55"/>
      <c r="AE502" s="55"/>
      <c r="AF502" s="55"/>
      <c r="AG502" s="55"/>
      <c r="AH502" s="55"/>
      <c r="AI502" s="55"/>
      <c r="AJ502" s="55"/>
      <c r="AK502" s="55"/>
      <c r="AL502" s="55"/>
      <c r="AM502" s="55"/>
      <c r="AN502" s="55"/>
      <c r="AO502" s="55"/>
      <c r="AP502" s="55"/>
      <c r="AQ502" s="55"/>
      <c r="AR502" s="55"/>
      <c r="AS502" s="55"/>
      <c r="AT502" s="55"/>
      <c r="AU502" s="55"/>
      <c r="AV502" s="55"/>
      <c r="AW502" s="55"/>
      <c r="AX502" s="55"/>
      <c r="AY502" s="55"/>
    </row>
    <row r="503" spans="21:51">
      <c r="U503" s="55"/>
      <c r="V503" s="55"/>
      <c r="W503" s="55"/>
      <c r="X503" s="55"/>
      <c r="Y503" s="55"/>
      <c r="Z503" s="55"/>
      <c r="AA503" s="55"/>
      <c r="AB503" s="55"/>
      <c r="AC503" s="55"/>
      <c r="AD503" s="55"/>
      <c r="AE503" s="55"/>
      <c r="AF503" s="55"/>
      <c r="AG503" s="55"/>
      <c r="AH503" s="55"/>
      <c r="AI503" s="55"/>
      <c r="AJ503" s="55"/>
      <c r="AK503" s="55"/>
      <c r="AL503" s="55"/>
      <c r="AM503" s="55"/>
      <c r="AN503" s="55"/>
      <c r="AO503" s="55"/>
      <c r="AP503" s="55"/>
      <c r="AQ503" s="55"/>
      <c r="AR503" s="55"/>
      <c r="AS503" s="55"/>
      <c r="AT503" s="55"/>
      <c r="AU503" s="55"/>
      <c r="AV503" s="55"/>
      <c r="AW503" s="55"/>
      <c r="AX503" s="55"/>
      <c r="AY503" s="55"/>
    </row>
    <row r="504" spans="21:51">
      <c r="U504" s="55"/>
      <c r="V504" s="55"/>
      <c r="W504" s="55"/>
      <c r="X504" s="55"/>
      <c r="Y504" s="55"/>
      <c r="Z504" s="55"/>
      <c r="AA504" s="55"/>
      <c r="AB504" s="55"/>
      <c r="AC504" s="55"/>
      <c r="AD504" s="55"/>
      <c r="AE504" s="55"/>
      <c r="AF504" s="55"/>
      <c r="AG504" s="55"/>
      <c r="AH504" s="55"/>
      <c r="AI504" s="55"/>
      <c r="AJ504" s="55"/>
      <c r="AK504" s="55"/>
      <c r="AL504" s="55"/>
      <c r="AM504" s="55"/>
      <c r="AN504" s="55"/>
      <c r="AO504" s="55"/>
      <c r="AP504" s="55"/>
      <c r="AQ504" s="55"/>
      <c r="AR504" s="55"/>
      <c r="AS504" s="55"/>
      <c r="AT504" s="55"/>
      <c r="AU504" s="55"/>
      <c r="AV504" s="55"/>
      <c r="AW504" s="55"/>
      <c r="AX504" s="55"/>
      <c r="AY504" s="55"/>
    </row>
    <row r="505" spans="21:51">
      <c r="U505" s="55"/>
      <c r="V505" s="55"/>
      <c r="W505" s="55"/>
      <c r="X505" s="55"/>
      <c r="Y505" s="55"/>
      <c r="Z505" s="55"/>
      <c r="AA505" s="55"/>
      <c r="AB505" s="55"/>
      <c r="AC505" s="55"/>
      <c r="AD505" s="55"/>
      <c r="AE505" s="55"/>
      <c r="AF505" s="55"/>
      <c r="AG505" s="55"/>
      <c r="AH505" s="55"/>
      <c r="AI505" s="55"/>
      <c r="AJ505" s="55"/>
      <c r="AK505" s="55"/>
      <c r="AL505" s="55"/>
      <c r="AM505" s="55"/>
      <c r="AN505" s="55"/>
      <c r="AO505" s="55"/>
      <c r="AP505" s="55"/>
      <c r="AQ505" s="55"/>
      <c r="AR505" s="55"/>
      <c r="AS505" s="55"/>
      <c r="AT505" s="55"/>
      <c r="AU505" s="55"/>
      <c r="AV505" s="55"/>
      <c r="AW505" s="55"/>
      <c r="AX505" s="55"/>
      <c r="AY505" s="55"/>
    </row>
    <row r="506" spans="21:51">
      <c r="U506" s="55"/>
      <c r="V506" s="55"/>
      <c r="W506" s="55"/>
      <c r="X506" s="55"/>
      <c r="Y506" s="55"/>
      <c r="Z506" s="55"/>
      <c r="AA506" s="55"/>
      <c r="AB506" s="55"/>
      <c r="AC506" s="55"/>
      <c r="AD506" s="55"/>
      <c r="AE506" s="55"/>
      <c r="AF506" s="55"/>
      <c r="AG506" s="55"/>
      <c r="AH506" s="55"/>
      <c r="AI506" s="55"/>
      <c r="AJ506" s="55"/>
      <c r="AK506" s="55"/>
      <c r="AL506" s="55"/>
      <c r="AM506" s="55"/>
      <c r="AN506" s="55"/>
      <c r="AO506" s="55"/>
      <c r="AP506" s="55"/>
      <c r="AQ506" s="55"/>
      <c r="AR506" s="55"/>
      <c r="AS506" s="55"/>
      <c r="AT506" s="55"/>
      <c r="AU506" s="55"/>
      <c r="AV506" s="55"/>
      <c r="AW506" s="55"/>
      <c r="AX506" s="55"/>
      <c r="AY506" s="55"/>
    </row>
    <row r="507" spans="21:51">
      <c r="U507" s="55"/>
      <c r="V507" s="55"/>
      <c r="W507" s="55"/>
      <c r="X507" s="55"/>
      <c r="Y507" s="55"/>
      <c r="Z507" s="55"/>
      <c r="AA507" s="55"/>
      <c r="AB507" s="55"/>
      <c r="AC507" s="55"/>
      <c r="AD507" s="55"/>
      <c r="AE507" s="55"/>
      <c r="AF507" s="55"/>
      <c r="AG507" s="55"/>
      <c r="AH507" s="55"/>
      <c r="AI507" s="55"/>
      <c r="AJ507" s="55"/>
      <c r="AK507" s="55"/>
      <c r="AL507" s="55"/>
      <c r="AM507" s="55"/>
      <c r="AN507" s="55"/>
      <c r="AO507" s="55"/>
      <c r="AP507" s="55"/>
      <c r="AQ507" s="55"/>
      <c r="AR507" s="55"/>
      <c r="AS507" s="55"/>
      <c r="AT507" s="55"/>
      <c r="AU507" s="55"/>
      <c r="AV507" s="55"/>
      <c r="AW507" s="55"/>
      <c r="AX507" s="55"/>
      <c r="AY507" s="55"/>
    </row>
    <row r="508" spans="21:51">
      <c r="U508" s="55"/>
      <c r="V508" s="55"/>
      <c r="W508" s="55"/>
      <c r="X508" s="55"/>
      <c r="Y508" s="55"/>
      <c r="Z508" s="55"/>
      <c r="AA508" s="55"/>
      <c r="AB508" s="55"/>
      <c r="AC508" s="55"/>
      <c r="AD508" s="55"/>
      <c r="AE508" s="55"/>
      <c r="AF508" s="55"/>
      <c r="AG508" s="55"/>
      <c r="AH508" s="55"/>
      <c r="AI508" s="55"/>
      <c r="AJ508" s="55"/>
      <c r="AK508" s="55"/>
      <c r="AL508" s="55"/>
      <c r="AM508" s="55"/>
      <c r="AN508" s="55"/>
      <c r="AO508" s="55"/>
      <c r="AP508" s="55"/>
      <c r="AQ508" s="55"/>
      <c r="AR508" s="55"/>
      <c r="AS508" s="55"/>
      <c r="AT508" s="55"/>
      <c r="AU508" s="55"/>
      <c r="AV508" s="55"/>
      <c r="AW508" s="55"/>
      <c r="AX508" s="55"/>
      <c r="AY508" s="55"/>
    </row>
    <row r="509" spans="21:51">
      <c r="U509" s="55"/>
      <c r="V509" s="55"/>
      <c r="W509" s="55"/>
      <c r="X509" s="55"/>
      <c r="Y509" s="55"/>
      <c r="Z509" s="55"/>
      <c r="AA509" s="55"/>
      <c r="AB509" s="55"/>
      <c r="AC509" s="55"/>
      <c r="AD509" s="55"/>
      <c r="AE509" s="55"/>
      <c r="AF509" s="55"/>
      <c r="AG509" s="55"/>
      <c r="AH509" s="55"/>
      <c r="AI509" s="55"/>
      <c r="AJ509" s="55"/>
      <c r="AK509" s="55"/>
      <c r="AL509" s="55"/>
      <c r="AM509" s="55"/>
      <c r="AN509" s="55"/>
      <c r="AO509" s="55"/>
      <c r="AP509" s="55"/>
      <c r="AQ509" s="55"/>
      <c r="AR509" s="55"/>
      <c r="AS509" s="55"/>
      <c r="AT509" s="55"/>
      <c r="AU509" s="55"/>
      <c r="AV509" s="55"/>
      <c r="AW509" s="55"/>
      <c r="AX509" s="55"/>
      <c r="AY509" s="55"/>
    </row>
    <row r="510" spans="21:51">
      <c r="U510" s="55"/>
      <c r="V510" s="55"/>
      <c r="W510" s="55"/>
      <c r="X510" s="55"/>
      <c r="Y510" s="55"/>
      <c r="Z510" s="55"/>
      <c r="AA510" s="55"/>
      <c r="AB510" s="55"/>
      <c r="AC510" s="55"/>
      <c r="AD510" s="55"/>
      <c r="AE510" s="55"/>
      <c r="AF510" s="55"/>
      <c r="AG510" s="55"/>
      <c r="AH510" s="55"/>
      <c r="AI510" s="55"/>
      <c r="AJ510" s="55"/>
      <c r="AK510" s="55"/>
      <c r="AL510" s="55"/>
      <c r="AM510" s="55"/>
      <c r="AN510" s="55"/>
      <c r="AO510" s="55"/>
      <c r="AP510" s="55"/>
      <c r="AQ510" s="55"/>
      <c r="AR510" s="55"/>
      <c r="AS510" s="55"/>
      <c r="AT510" s="55"/>
      <c r="AU510" s="55"/>
      <c r="AV510" s="55"/>
      <c r="AW510" s="55"/>
      <c r="AX510" s="55"/>
      <c r="AY510" s="55"/>
    </row>
    <row r="511" spans="21:51">
      <c r="U511" s="55"/>
      <c r="V511" s="55"/>
      <c r="W511" s="55"/>
      <c r="X511" s="55"/>
      <c r="Y511" s="55"/>
      <c r="Z511" s="55"/>
      <c r="AA511" s="55"/>
      <c r="AB511" s="55"/>
      <c r="AC511" s="55"/>
      <c r="AD511" s="55"/>
      <c r="AE511" s="55"/>
      <c r="AF511" s="55"/>
      <c r="AG511" s="55"/>
      <c r="AH511" s="55"/>
      <c r="AI511" s="55"/>
      <c r="AJ511" s="55"/>
      <c r="AK511" s="55"/>
      <c r="AL511" s="55"/>
      <c r="AM511" s="55"/>
      <c r="AN511" s="55"/>
      <c r="AO511" s="55"/>
      <c r="AP511" s="55"/>
      <c r="AQ511" s="55"/>
      <c r="AR511" s="55"/>
      <c r="AS511" s="55"/>
      <c r="AT511" s="55"/>
      <c r="AU511" s="55"/>
      <c r="AV511" s="55"/>
      <c r="AW511" s="55"/>
      <c r="AX511" s="55"/>
      <c r="AY511" s="55"/>
    </row>
    <row r="512" spans="21:51">
      <c r="U512" s="55"/>
      <c r="V512" s="55"/>
      <c r="W512" s="55"/>
      <c r="X512" s="55"/>
      <c r="Y512" s="55"/>
      <c r="Z512" s="55"/>
      <c r="AA512" s="55"/>
      <c r="AB512" s="55"/>
      <c r="AC512" s="55"/>
      <c r="AD512" s="55"/>
      <c r="AE512" s="55"/>
      <c r="AF512" s="55"/>
      <c r="AG512" s="55"/>
      <c r="AH512" s="55"/>
      <c r="AI512" s="55"/>
      <c r="AJ512" s="55"/>
      <c r="AK512" s="55"/>
      <c r="AL512" s="55"/>
      <c r="AM512" s="55"/>
      <c r="AN512" s="55"/>
      <c r="AO512" s="55"/>
      <c r="AP512" s="55"/>
      <c r="AQ512" s="55"/>
      <c r="AR512" s="55"/>
      <c r="AS512" s="55"/>
      <c r="AT512" s="55"/>
      <c r="AU512" s="55"/>
      <c r="AV512" s="55"/>
      <c r="AW512" s="55"/>
      <c r="AX512" s="55"/>
      <c r="AY512" s="55"/>
    </row>
    <row r="513" spans="21:51">
      <c r="U513" s="55"/>
      <c r="V513" s="55"/>
      <c r="W513" s="55"/>
      <c r="X513" s="55"/>
      <c r="Y513" s="55"/>
      <c r="Z513" s="55"/>
      <c r="AA513" s="55"/>
      <c r="AB513" s="55"/>
      <c r="AC513" s="55"/>
      <c r="AD513" s="55"/>
      <c r="AE513" s="55"/>
      <c r="AF513" s="55"/>
      <c r="AG513" s="55"/>
      <c r="AH513" s="55"/>
      <c r="AI513" s="55"/>
      <c r="AJ513" s="55"/>
      <c r="AK513" s="55"/>
      <c r="AL513" s="55"/>
      <c r="AM513" s="55"/>
      <c r="AN513" s="55"/>
      <c r="AO513" s="55"/>
      <c r="AP513" s="55"/>
      <c r="AQ513" s="55"/>
      <c r="AR513" s="55"/>
      <c r="AS513" s="55"/>
      <c r="AT513" s="55"/>
      <c r="AU513" s="55"/>
      <c r="AV513" s="55"/>
      <c r="AW513" s="55"/>
      <c r="AX513" s="55"/>
      <c r="AY513" s="55"/>
    </row>
    <row r="514" spans="21:51">
      <c r="U514" s="55"/>
      <c r="V514" s="55"/>
      <c r="W514" s="55"/>
      <c r="X514" s="55"/>
      <c r="Y514" s="55"/>
      <c r="Z514" s="55"/>
      <c r="AA514" s="55"/>
      <c r="AB514" s="55"/>
      <c r="AC514" s="55"/>
      <c r="AD514" s="55"/>
      <c r="AE514" s="55"/>
      <c r="AF514" s="55"/>
      <c r="AG514" s="55"/>
      <c r="AH514" s="55"/>
      <c r="AI514" s="55"/>
      <c r="AJ514" s="55"/>
      <c r="AK514" s="55"/>
      <c r="AL514" s="55"/>
      <c r="AM514" s="55"/>
      <c r="AN514" s="55"/>
      <c r="AO514" s="55"/>
      <c r="AP514" s="55"/>
      <c r="AQ514" s="55"/>
      <c r="AR514" s="55"/>
      <c r="AS514" s="55"/>
      <c r="AT514" s="55"/>
      <c r="AU514" s="55"/>
      <c r="AV514" s="55"/>
      <c r="AW514" s="55"/>
      <c r="AX514" s="55"/>
      <c r="AY514" s="55"/>
    </row>
    <row r="515" spans="21:51">
      <c r="U515" s="55"/>
      <c r="V515" s="55"/>
      <c r="W515" s="55"/>
      <c r="X515" s="55"/>
      <c r="Y515" s="55"/>
      <c r="Z515" s="55"/>
      <c r="AA515" s="55"/>
      <c r="AB515" s="55"/>
      <c r="AC515" s="55"/>
      <c r="AD515" s="55"/>
      <c r="AE515" s="55"/>
      <c r="AF515" s="55"/>
      <c r="AG515" s="55"/>
      <c r="AH515" s="55"/>
      <c r="AI515" s="55"/>
      <c r="AJ515" s="55"/>
      <c r="AK515" s="55"/>
      <c r="AL515" s="55"/>
      <c r="AM515" s="55"/>
      <c r="AN515" s="55"/>
      <c r="AO515" s="55"/>
      <c r="AP515" s="55"/>
      <c r="AQ515" s="55"/>
      <c r="AR515" s="55"/>
      <c r="AS515" s="55"/>
      <c r="AT515" s="55"/>
      <c r="AU515" s="55"/>
      <c r="AV515" s="55"/>
      <c r="AW515" s="55"/>
      <c r="AX515" s="55"/>
      <c r="AY515" s="55"/>
    </row>
    <row r="516" spans="21:51">
      <c r="U516" s="55"/>
      <c r="V516" s="55"/>
      <c r="W516" s="55"/>
      <c r="X516" s="55"/>
      <c r="Y516" s="55"/>
      <c r="Z516" s="55"/>
      <c r="AA516" s="55"/>
      <c r="AB516" s="55"/>
      <c r="AC516" s="55"/>
      <c r="AD516" s="55"/>
      <c r="AE516" s="55"/>
      <c r="AF516" s="55"/>
      <c r="AG516" s="55"/>
      <c r="AH516" s="55"/>
      <c r="AI516" s="55"/>
      <c r="AJ516" s="55"/>
      <c r="AK516" s="55"/>
      <c r="AL516" s="55"/>
      <c r="AM516" s="55"/>
      <c r="AN516" s="55"/>
      <c r="AO516" s="55"/>
      <c r="AP516" s="55"/>
      <c r="AQ516" s="55"/>
      <c r="AR516" s="55"/>
      <c r="AS516" s="55"/>
      <c r="AT516" s="55"/>
      <c r="AU516" s="55"/>
      <c r="AV516" s="55"/>
      <c r="AW516" s="55"/>
      <c r="AX516" s="55"/>
      <c r="AY516" s="55"/>
    </row>
    <row r="517" spans="21:51">
      <c r="U517" s="55"/>
      <c r="V517" s="55"/>
      <c r="W517" s="55"/>
      <c r="X517" s="55"/>
      <c r="Y517" s="55"/>
      <c r="Z517" s="55"/>
      <c r="AA517" s="55"/>
      <c r="AB517" s="55"/>
      <c r="AC517" s="55"/>
      <c r="AD517" s="55"/>
      <c r="AE517" s="55"/>
      <c r="AF517" s="55"/>
      <c r="AG517" s="55"/>
      <c r="AH517" s="55"/>
      <c r="AI517" s="55"/>
      <c r="AJ517" s="55"/>
      <c r="AK517" s="55"/>
      <c r="AL517" s="55"/>
      <c r="AM517" s="55"/>
      <c r="AN517" s="55"/>
      <c r="AO517" s="55"/>
      <c r="AP517" s="55"/>
      <c r="AQ517" s="55"/>
      <c r="AR517" s="55"/>
      <c r="AS517" s="55"/>
      <c r="AT517" s="55"/>
      <c r="AU517" s="55"/>
      <c r="AV517" s="55"/>
      <c r="AW517" s="55"/>
      <c r="AX517" s="55"/>
      <c r="AY517" s="55"/>
    </row>
    <row r="518" spans="21:51">
      <c r="U518" s="55"/>
      <c r="V518" s="55"/>
      <c r="W518" s="55"/>
      <c r="X518" s="55"/>
      <c r="Y518" s="55"/>
      <c r="Z518" s="55"/>
      <c r="AA518" s="55"/>
      <c r="AB518" s="55"/>
      <c r="AC518" s="55"/>
      <c r="AD518" s="55"/>
      <c r="AE518" s="55"/>
      <c r="AF518" s="55"/>
      <c r="AG518" s="55"/>
      <c r="AH518" s="55"/>
      <c r="AI518" s="55"/>
      <c r="AJ518" s="55"/>
      <c r="AK518" s="55"/>
      <c r="AL518" s="55"/>
      <c r="AM518" s="55"/>
      <c r="AN518" s="55"/>
      <c r="AO518" s="55"/>
      <c r="AP518" s="55"/>
      <c r="AQ518" s="55"/>
      <c r="AR518" s="55"/>
      <c r="AS518" s="55"/>
      <c r="AT518" s="55"/>
      <c r="AU518" s="55"/>
      <c r="AV518" s="55"/>
      <c r="AW518" s="55"/>
      <c r="AX518" s="55"/>
      <c r="AY518" s="55"/>
    </row>
    <row r="519" spans="21:51">
      <c r="U519" s="55"/>
      <c r="V519" s="55"/>
      <c r="W519" s="55"/>
      <c r="X519" s="55"/>
      <c r="Y519" s="55"/>
      <c r="Z519" s="55"/>
      <c r="AA519" s="55"/>
      <c r="AB519" s="55"/>
      <c r="AC519" s="55"/>
      <c r="AD519" s="55"/>
      <c r="AE519" s="55"/>
      <c r="AF519" s="55"/>
      <c r="AG519" s="55"/>
      <c r="AH519" s="55"/>
      <c r="AI519" s="55"/>
      <c r="AJ519" s="55"/>
      <c r="AK519" s="55"/>
      <c r="AL519" s="55"/>
      <c r="AM519" s="55"/>
      <c r="AN519" s="55"/>
      <c r="AO519" s="55"/>
      <c r="AP519" s="55"/>
      <c r="AQ519" s="55"/>
      <c r="AR519" s="55"/>
      <c r="AS519" s="55"/>
      <c r="AT519" s="55"/>
      <c r="AU519" s="55"/>
      <c r="AV519" s="55"/>
      <c r="AW519" s="55"/>
      <c r="AX519" s="55"/>
      <c r="AY519" s="55"/>
    </row>
    <row r="520" spans="21:51">
      <c r="U520" s="55"/>
      <c r="V520" s="55"/>
      <c r="W520" s="55"/>
      <c r="X520" s="55"/>
      <c r="Y520" s="55"/>
      <c r="Z520" s="55"/>
      <c r="AA520" s="55"/>
      <c r="AB520" s="55"/>
      <c r="AC520" s="55"/>
      <c r="AD520" s="55"/>
      <c r="AE520" s="55"/>
      <c r="AF520" s="55"/>
      <c r="AG520" s="55"/>
      <c r="AH520" s="55"/>
      <c r="AI520" s="55"/>
      <c r="AJ520" s="55"/>
      <c r="AK520" s="55"/>
      <c r="AL520" s="55"/>
      <c r="AM520" s="55"/>
      <c r="AN520" s="55"/>
      <c r="AO520" s="55"/>
      <c r="AP520" s="55"/>
      <c r="AQ520" s="55"/>
      <c r="AR520" s="55"/>
      <c r="AS520" s="55"/>
      <c r="AT520" s="55"/>
      <c r="AU520" s="55"/>
      <c r="AV520" s="55"/>
      <c r="AW520" s="55"/>
      <c r="AX520" s="55"/>
      <c r="AY520" s="55"/>
    </row>
    <row r="521" spans="21:51">
      <c r="U521" s="55"/>
      <c r="V521" s="55"/>
      <c r="W521" s="55"/>
      <c r="X521" s="55"/>
      <c r="Y521" s="55"/>
      <c r="Z521" s="55"/>
      <c r="AA521" s="55"/>
      <c r="AB521" s="55"/>
      <c r="AC521" s="55"/>
      <c r="AD521" s="55"/>
      <c r="AE521" s="55"/>
      <c r="AF521" s="55"/>
      <c r="AG521" s="55"/>
      <c r="AH521" s="55"/>
      <c r="AI521" s="55"/>
      <c r="AJ521" s="55"/>
      <c r="AK521" s="55"/>
      <c r="AL521" s="55"/>
      <c r="AM521" s="55"/>
      <c r="AN521" s="55"/>
      <c r="AO521" s="55"/>
      <c r="AP521" s="55"/>
      <c r="AQ521" s="55"/>
      <c r="AR521" s="55"/>
      <c r="AS521" s="55"/>
      <c r="AT521" s="55"/>
      <c r="AU521" s="55"/>
      <c r="AV521" s="55"/>
      <c r="AW521" s="55"/>
      <c r="AX521" s="55"/>
      <c r="AY521" s="55"/>
    </row>
    <row r="522" spans="21:51">
      <c r="U522" s="55"/>
      <c r="V522" s="55"/>
      <c r="W522" s="55"/>
      <c r="X522" s="55"/>
      <c r="Y522" s="55"/>
      <c r="Z522" s="55"/>
      <c r="AA522" s="55"/>
      <c r="AB522" s="55"/>
      <c r="AC522" s="55"/>
      <c r="AD522" s="55"/>
      <c r="AE522" s="55"/>
      <c r="AF522" s="55"/>
      <c r="AG522" s="55"/>
      <c r="AH522" s="55"/>
      <c r="AI522" s="55"/>
      <c r="AJ522" s="55"/>
      <c r="AK522" s="55"/>
      <c r="AL522" s="55"/>
      <c r="AM522" s="55"/>
      <c r="AN522" s="55"/>
      <c r="AO522" s="55"/>
      <c r="AP522" s="55"/>
      <c r="AQ522" s="55"/>
      <c r="AR522" s="55"/>
      <c r="AS522" s="55"/>
      <c r="AT522" s="55"/>
      <c r="AU522" s="55"/>
      <c r="AV522" s="55"/>
      <c r="AW522" s="55"/>
      <c r="AX522" s="55"/>
      <c r="AY522" s="55"/>
    </row>
    <row r="523" spans="21:51">
      <c r="U523" s="55"/>
      <c r="V523" s="55"/>
      <c r="W523" s="55"/>
      <c r="X523" s="55"/>
      <c r="Y523" s="55"/>
      <c r="Z523" s="55"/>
      <c r="AA523" s="55"/>
      <c r="AB523" s="55"/>
      <c r="AC523" s="55"/>
      <c r="AD523" s="55"/>
      <c r="AE523" s="55"/>
      <c r="AF523" s="55"/>
      <c r="AG523" s="55"/>
      <c r="AH523" s="55"/>
      <c r="AI523" s="55"/>
      <c r="AJ523" s="55"/>
      <c r="AK523" s="55"/>
      <c r="AL523" s="55"/>
      <c r="AM523" s="55"/>
      <c r="AN523" s="55"/>
      <c r="AO523" s="55"/>
      <c r="AP523" s="55"/>
      <c r="AQ523" s="55"/>
      <c r="AR523" s="55"/>
      <c r="AS523" s="55"/>
      <c r="AT523" s="55"/>
      <c r="AU523" s="55"/>
      <c r="AV523" s="55"/>
      <c r="AW523" s="55"/>
      <c r="AX523" s="55"/>
      <c r="AY523" s="55"/>
    </row>
    <row r="524" spans="21:51">
      <c r="U524" s="55"/>
      <c r="V524" s="55"/>
      <c r="W524" s="55"/>
      <c r="X524" s="55"/>
      <c r="Y524" s="55"/>
      <c r="Z524" s="55"/>
      <c r="AA524" s="55"/>
      <c r="AB524" s="55"/>
      <c r="AC524" s="55"/>
      <c r="AD524" s="55"/>
      <c r="AE524" s="55"/>
      <c r="AF524" s="55"/>
      <c r="AG524" s="55"/>
      <c r="AH524" s="55"/>
      <c r="AI524" s="55"/>
      <c r="AJ524" s="55"/>
      <c r="AK524" s="55"/>
      <c r="AL524" s="55"/>
      <c r="AM524" s="55"/>
      <c r="AN524" s="55"/>
      <c r="AO524" s="55"/>
      <c r="AP524" s="55"/>
      <c r="AQ524" s="55"/>
      <c r="AR524" s="55"/>
      <c r="AS524" s="55"/>
      <c r="AT524" s="55"/>
      <c r="AU524" s="55"/>
      <c r="AV524" s="55"/>
      <c r="AW524" s="55"/>
      <c r="AX524" s="55"/>
      <c r="AY524" s="55"/>
    </row>
    <row r="525" spans="21:51">
      <c r="U525" s="55"/>
      <c r="V525" s="55"/>
      <c r="W525" s="55"/>
      <c r="X525" s="55"/>
      <c r="Y525" s="55"/>
      <c r="Z525" s="55"/>
      <c r="AA525" s="55"/>
      <c r="AB525" s="55"/>
      <c r="AC525" s="55"/>
      <c r="AD525" s="55"/>
      <c r="AE525" s="55"/>
      <c r="AF525" s="55"/>
      <c r="AG525" s="55"/>
      <c r="AH525" s="55"/>
      <c r="AI525" s="55"/>
      <c r="AJ525" s="55"/>
      <c r="AK525" s="55"/>
      <c r="AL525" s="55"/>
      <c r="AM525" s="55"/>
      <c r="AN525" s="55"/>
      <c r="AO525" s="55"/>
      <c r="AP525" s="55"/>
      <c r="AQ525" s="55"/>
      <c r="AR525" s="55"/>
      <c r="AS525" s="55"/>
      <c r="AT525" s="55"/>
      <c r="AU525" s="55"/>
      <c r="AV525" s="55"/>
      <c r="AW525" s="55"/>
      <c r="AX525" s="55"/>
      <c r="AY525" s="55"/>
    </row>
    <row r="526" spans="21:51">
      <c r="U526" s="55"/>
      <c r="V526" s="55"/>
      <c r="W526" s="55"/>
      <c r="X526" s="55"/>
      <c r="Y526" s="55"/>
      <c r="Z526" s="55"/>
      <c r="AA526" s="55"/>
      <c r="AB526" s="55"/>
      <c r="AC526" s="55"/>
      <c r="AD526" s="55"/>
      <c r="AE526" s="55"/>
      <c r="AF526" s="55"/>
      <c r="AG526" s="55"/>
      <c r="AH526" s="55"/>
      <c r="AI526" s="55"/>
      <c r="AJ526" s="55"/>
      <c r="AK526" s="55"/>
      <c r="AL526" s="55"/>
      <c r="AM526" s="55"/>
      <c r="AN526" s="55"/>
      <c r="AO526" s="55"/>
      <c r="AP526" s="55"/>
      <c r="AQ526" s="55"/>
      <c r="AR526" s="55"/>
      <c r="AS526" s="55"/>
      <c r="AT526" s="55"/>
      <c r="AU526" s="55"/>
      <c r="AV526" s="55"/>
      <c r="AW526" s="55"/>
      <c r="AX526" s="55"/>
      <c r="AY526" s="55"/>
    </row>
    <row r="527" spans="21:51">
      <c r="U527" s="55"/>
      <c r="V527" s="55"/>
      <c r="W527" s="55"/>
      <c r="X527" s="55"/>
      <c r="Y527" s="55"/>
      <c r="Z527" s="55"/>
      <c r="AA527" s="55"/>
      <c r="AB527" s="55"/>
      <c r="AC527" s="55"/>
      <c r="AD527" s="55"/>
      <c r="AE527" s="55"/>
      <c r="AF527" s="55"/>
      <c r="AG527" s="55"/>
      <c r="AH527" s="55"/>
      <c r="AI527" s="55"/>
      <c r="AJ527" s="55"/>
      <c r="AK527" s="55"/>
      <c r="AL527" s="55"/>
      <c r="AM527" s="55"/>
      <c r="AN527" s="55"/>
      <c r="AO527" s="55"/>
      <c r="AP527" s="55"/>
      <c r="AQ527" s="55"/>
      <c r="AR527" s="55"/>
      <c r="AS527" s="55"/>
      <c r="AT527" s="55"/>
      <c r="AU527" s="55"/>
      <c r="AV527" s="55"/>
      <c r="AW527" s="55"/>
      <c r="AX527" s="55"/>
      <c r="AY527" s="55"/>
    </row>
    <row r="528" spans="21:51">
      <c r="U528" s="55"/>
      <c r="V528" s="55"/>
      <c r="W528" s="55"/>
      <c r="X528" s="55"/>
      <c r="Y528" s="55"/>
      <c r="Z528" s="55"/>
      <c r="AA528" s="55"/>
      <c r="AB528" s="55"/>
      <c r="AC528" s="55"/>
      <c r="AD528" s="55"/>
      <c r="AE528" s="55"/>
      <c r="AF528" s="55"/>
      <c r="AG528" s="55"/>
      <c r="AH528" s="55"/>
      <c r="AI528" s="55"/>
      <c r="AJ528" s="55"/>
      <c r="AK528" s="55"/>
      <c r="AL528" s="55"/>
      <c r="AM528" s="55"/>
      <c r="AN528" s="55"/>
      <c r="AO528" s="55"/>
      <c r="AP528" s="55"/>
      <c r="AQ528" s="55"/>
      <c r="AR528" s="55"/>
      <c r="AS528" s="55"/>
      <c r="AT528" s="55"/>
      <c r="AU528" s="55"/>
      <c r="AV528" s="55"/>
      <c r="AW528" s="55"/>
      <c r="AX528" s="55"/>
      <c r="AY528" s="55"/>
    </row>
    <row r="529" spans="21:51">
      <c r="U529" s="55"/>
      <c r="V529" s="55"/>
      <c r="W529" s="55"/>
      <c r="X529" s="55"/>
      <c r="Y529" s="55"/>
      <c r="Z529" s="55"/>
      <c r="AA529" s="55"/>
      <c r="AB529" s="55"/>
      <c r="AC529" s="55"/>
      <c r="AD529" s="55"/>
      <c r="AE529" s="55"/>
      <c r="AF529" s="55"/>
      <c r="AG529" s="55"/>
      <c r="AH529" s="55"/>
      <c r="AI529" s="55"/>
      <c r="AJ529" s="55"/>
      <c r="AK529" s="55"/>
      <c r="AL529" s="55"/>
      <c r="AM529" s="55"/>
      <c r="AN529" s="55"/>
      <c r="AO529" s="55"/>
      <c r="AP529" s="55"/>
      <c r="AQ529" s="55"/>
      <c r="AR529" s="55"/>
      <c r="AS529" s="55"/>
      <c r="AT529" s="55"/>
      <c r="AU529" s="55"/>
      <c r="AV529" s="55"/>
      <c r="AW529" s="55"/>
      <c r="AX529" s="55"/>
      <c r="AY529" s="55"/>
    </row>
    <row r="530" spans="21:51">
      <c r="U530" s="55"/>
      <c r="V530" s="55"/>
      <c r="W530" s="55"/>
      <c r="X530" s="55"/>
      <c r="Y530" s="55"/>
      <c r="Z530" s="55"/>
      <c r="AA530" s="55"/>
      <c r="AB530" s="55"/>
      <c r="AC530" s="55"/>
      <c r="AD530" s="55"/>
      <c r="AE530" s="55"/>
      <c r="AF530" s="55"/>
      <c r="AG530" s="55"/>
      <c r="AH530" s="55"/>
      <c r="AI530" s="55"/>
      <c r="AJ530" s="55"/>
      <c r="AK530" s="55"/>
      <c r="AL530" s="55"/>
      <c r="AM530" s="55"/>
      <c r="AN530" s="55"/>
      <c r="AO530" s="55"/>
      <c r="AP530" s="55"/>
      <c r="AQ530" s="55"/>
      <c r="AR530" s="55"/>
      <c r="AS530" s="55"/>
      <c r="AT530" s="55"/>
      <c r="AU530" s="55"/>
      <c r="AV530" s="55"/>
      <c r="AW530" s="55"/>
      <c r="AX530" s="55"/>
      <c r="AY530" s="55"/>
    </row>
    <row r="531" spans="21:51">
      <c r="U531" s="55"/>
      <c r="V531" s="55"/>
      <c r="W531" s="55"/>
      <c r="X531" s="55"/>
      <c r="Y531" s="55"/>
      <c r="Z531" s="55"/>
      <c r="AA531" s="55"/>
      <c r="AB531" s="55"/>
      <c r="AC531" s="55"/>
      <c r="AD531" s="55"/>
      <c r="AE531" s="55"/>
      <c r="AF531" s="55"/>
      <c r="AG531" s="55"/>
      <c r="AH531" s="55"/>
      <c r="AI531" s="55"/>
      <c r="AJ531" s="55"/>
      <c r="AK531" s="55"/>
      <c r="AL531" s="55"/>
      <c r="AM531" s="55"/>
      <c r="AN531" s="55"/>
      <c r="AO531" s="55"/>
      <c r="AP531" s="55"/>
      <c r="AQ531" s="55"/>
      <c r="AR531" s="55"/>
      <c r="AS531" s="55"/>
      <c r="AT531" s="55"/>
      <c r="AU531" s="55"/>
      <c r="AV531" s="55"/>
      <c r="AW531" s="55"/>
      <c r="AX531" s="55"/>
      <c r="AY531" s="55"/>
    </row>
    <row r="532" spans="21:51">
      <c r="U532" s="55"/>
      <c r="V532" s="55"/>
      <c r="W532" s="55"/>
      <c r="X532" s="55"/>
      <c r="Y532" s="55"/>
      <c r="Z532" s="55"/>
      <c r="AA532" s="55"/>
      <c r="AB532" s="55"/>
      <c r="AC532" s="55"/>
      <c r="AD532" s="55"/>
      <c r="AE532" s="55"/>
      <c r="AF532" s="55"/>
      <c r="AG532" s="55"/>
      <c r="AH532" s="55"/>
      <c r="AI532" s="55"/>
      <c r="AJ532" s="55"/>
      <c r="AK532" s="55"/>
      <c r="AL532" s="55"/>
      <c r="AM532" s="55"/>
      <c r="AN532" s="55"/>
      <c r="AO532" s="55"/>
      <c r="AP532" s="55"/>
      <c r="AQ532" s="55"/>
      <c r="AR532" s="55"/>
      <c r="AS532" s="55"/>
      <c r="AT532" s="55"/>
      <c r="AU532" s="55"/>
      <c r="AV532" s="55"/>
      <c r="AW532" s="55"/>
      <c r="AX532" s="55"/>
      <c r="AY532" s="55"/>
    </row>
    <row r="533" spans="21:51">
      <c r="U533" s="55"/>
      <c r="V533" s="55"/>
      <c r="W533" s="55"/>
      <c r="X533" s="55"/>
      <c r="Y533" s="55"/>
      <c r="Z533" s="55"/>
      <c r="AA533" s="55"/>
      <c r="AB533" s="55"/>
      <c r="AC533" s="55"/>
      <c r="AD533" s="55"/>
      <c r="AE533" s="55"/>
      <c r="AF533" s="55"/>
      <c r="AG533" s="55"/>
      <c r="AH533" s="55"/>
      <c r="AI533" s="55"/>
      <c r="AJ533" s="55"/>
      <c r="AK533" s="55"/>
      <c r="AL533" s="55"/>
      <c r="AM533" s="55"/>
      <c r="AN533" s="55"/>
      <c r="AO533" s="55"/>
      <c r="AP533" s="55"/>
      <c r="AQ533" s="55"/>
      <c r="AR533" s="55"/>
      <c r="AS533" s="55"/>
      <c r="AT533" s="55"/>
      <c r="AU533" s="55"/>
      <c r="AV533" s="55"/>
      <c r="AW533" s="55"/>
      <c r="AX533" s="55"/>
      <c r="AY533" s="55"/>
    </row>
    <row r="534" spans="21:51">
      <c r="U534" s="55"/>
      <c r="V534" s="55"/>
      <c r="W534" s="55"/>
      <c r="X534" s="55"/>
      <c r="Y534" s="55"/>
      <c r="Z534" s="55"/>
      <c r="AA534" s="55"/>
      <c r="AB534" s="55"/>
      <c r="AC534" s="55"/>
      <c r="AD534" s="55"/>
      <c r="AE534" s="55"/>
      <c r="AF534" s="55"/>
      <c r="AG534" s="55"/>
      <c r="AH534" s="55"/>
      <c r="AI534" s="55"/>
      <c r="AJ534" s="55"/>
      <c r="AK534" s="55"/>
      <c r="AL534" s="55"/>
      <c r="AM534" s="55"/>
      <c r="AN534" s="55"/>
      <c r="AO534" s="55"/>
      <c r="AP534" s="55"/>
      <c r="AQ534" s="55"/>
      <c r="AR534" s="55"/>
      <c r="AS534" s="55"/>
      <c r="AT534" s="55"/>
      <c r="AU534" s="55"/>
      <c r="AV534" s="55"/>
      <c r="AW534" s="55"/>
      <c r="AX534" s="55"/>
      <c r="AY534" s="55"/>
    </row>
    <row r="535" spans="21:51">
      <c r="U535" s="55"/>
      <c r="V535" s="55"/>
      <c r="W535" s="55"/>
      <c r="X535" s="55"/>
      <c r="Y535" s="55"/>
      <c r="Z535" s="55"/>
      <c r="AA535" s="55"/>
      <c r="AB535" s="55"/>
      <c r="AC535" s="55"/>
      <c r="AD535" s="55"/>
      <c r="AE535" s="55"/>
      <c r="AF535" s="55"/>
      <c r="AG535" s="55"/>
      <c r="AH535" s="55"/>
      <c r="AI535" s="55"/>
      <c r="AJ535" s="55"/>
      <c r="AK535" s="55"/>
      <c r="AL535" s="55"/>
      <c r="AM535" s="55"/>
      <c r="AN535" s="55"/>
      <c r="AO535" s="55"/>
      <c r="AP535" s="55"/>
      <c r="AQ535" s="55"/>
      <c r="AR535" s="55"/>
      <c r="AS535" s="55"/>
      <c r="AT535" s="55"/>
      <c r="AU535" s="55"/>
      <c r="AV535" s="55"/>
      <c r="AW535" s="55"/>
      <c r="AX535" s="55"/>
      <c r="AY535" s="55"/>
    </row>
    <row r="536" spans="21:51">
      <c r="U536" s="55"/>
      <c r="V536" s="55"/>
      <c r="W536" s="55"/>
      <c r="X536" s="55"/>
      <c r="Y536" s="55"/>
      <c r="Z536" s="55"/>
      <c r="AA536" s="55"/>
      <c r="AB536" s="55"/>
      <c r="AC536" s="55"/>
      <c r="AD536" s="55"/>
      <c r="AE536" s="55"/>
      <c r="AF536" s="55"/>
      <c r="AG536" s="55"/>
      <c r="AH536" s="55"/>
      <c r="AI536" s="55"/>
      <c r="AJ536" s="55"/>
      <c r="AK536" s="55"/>
      <c r="AL536" s="55"/>
      <c r="AM536" s="55"/>
      <c r="AN536" s="55"/>
      <c r="AO536" s="55"/>
      <c r="AP536" s="55"/>
      <c r="AQ536" s="55"/>
      <c r="AR536" s="55"/>
      <c r="AS536" s="55"/>
      <c r="AT536" s="55"/>
      <c r="AU536" s="55"/>
      <c r="AV536" s="55"/>
      <c r="AW536" s="55"/>
      <c r="AX536" s="55"/>
      <c r="AY536" s="55"/>
    </row>
    <row r="537" spans="21:51">
      <c r="U537" s="55"/>
      <c r="V537" s="55"/>
      <c r="W537" s="55"/>
      <c r="X537" s="55"/>
      <c r="Y537" s="55"/>
      <c r="Z537" s="55"/>
      <c r="AA537" s="55"/>
      <c r="AB537" s="55"/>
      <c r="AC537" s="55"/>
      <c r="AD537" s="55"/>
      <c r="AE537" s="55"/>
      <c r="AF537" s="55"/>
      <c r="AG537" s="55"/>
      <c r="AH537" s="55"/>
      <c r="AI537" s="55"/>
      <c r="AJ537" s="55"/>
      <c r="AK537" s="55"/>
      <c r="AL537" s="55"/>
      <c r="AM537" s="55"/>
      <c r="AN537" s="55"/>
      <c r="AO537" s="55"/>
      <c r="AP537" s="55"/>
      <c r="AQ537" s="55"/>
      <c r="AR537" s="55"/>
      <c r="AS537" s="55"/>
      <c r="AT537" s="55"/>
      <c r="AU537" s="55"/>
      <c r="AV537" s="55"/>
      <c r="AW537" s="55"/>
      <c r="AX537" s="55"/>
      <c r="AY537" s="55"/>
    </row>
    <row r="538" spans="21:51">
      <c r="U538" s="55"/>
      <c r="V538" s="55"/>
      <c r="W538" s="55"/>
      <c r="X538" s="55"/>
      <c r="Y538" s="55"/>
      <c r="Z538" s="55"/>
      <c r="AA538" s="55"/>
      <c r="AB538" s="55"/>
      <c r="AC538" s="55"/>
      <c r="AD538" s="55"/>
      <c r="AE538" s="55"/>
      <c r="AF538" s="55"/>
      <c r="AG538" s="55"/>
      <c r="AH538" s="55"/>
      <c r="AI538" s="55"/>
      <c r="AJ538" s="55"/>
      <c r="AK538" s="55"/>
      <c r="AL538" s="55"/>
      <c r="AM538" s="55"/>
      <c r="AN538" s="55"/>
      <c r="AO538" s="55"/>
      <c r="AP538" s="55"/>
      <c r="AQ538" s="55"/>
      <c r="AR538" s="55"/>
      <c r="AS538" s="55"/>
      <c r="AT538" s="55"/>
      <c r="AU538" s="55"/>
      <c r="AV538" s="55"/>
      <c r="AW538" s="55"/>
      <c r="AX538" s="55"/>
      <c r="AY538" s="55"/>
    </row>
    <row r="539" spans="21:51">
      <c r="U539" s="55"/>
      <c r="V539" s="55"/>
      <c r="W539" s="55"/>
      <c r="X539" s="55"/>
      <c r="Y539" s="55"/>
      <c r="Z539" s="55"/>
      <c r="AA539" s="55"/>
      <c r="AB539" s="55"/>
      <c r="AC539" s="55"/>
      <c r="AD539" s="55"/>
      <c r="AE539" s="55"/>
      <c r="AF539" s="55"/>
      <c r="AG539" s="55"/>
      <c r="AH539" s="55"/>
      <c r="AI539" s="55"/>
      <c r="AJ539" s="55"/>
      <c r="AK539" s="55"/>
      <c r="AL539" s="55"/>
      <c r="AM539" s="55"/>
      <c r="AN539" s="55"/>
      <c r="AO539" s="55"/>
      <c r="AP539" s="55"/>
      <c r="AQ539" s="55"/>
      <c r="AR539" s="55"/>
      <c r="AS539" s="55"/>
      <c r="AT539" s="55"/>
      <c r="AU539" s="55"/>
      <c r="AV539" s="55"/>
      <c r="AW539" s="55"/>
      <c r="AX539" s="55"/>
      <c r="AY539" s="55"/>
    </row>
    <row r="540" spans="21:51">
      <c r="U540" s="55"/>
      <c r="V540" s="55"/>
      <c r="W540" s="55"/>
      <c r="X540" s="55"/>
      <c r="Y540" s="55"/>
      <c r="Z540" s="55"/>
      <c r="AA540" s="55"/>
      <c r="AB540" s="55"/>
      <c r="AC540" s="55"/>
      <c r="AD540" s="55"/>
      <c r="AE540" s="55"/>
      <c r="AF540" s="55"/>
      <c r="AG540" s="55"/>
      <c r="AH540" s="55"/>
      <c r="AI540" s="55"/>
      <c r="AJ540" s="55"/>
      <c r="AK540" s="55"/>
      <c r="AL540" s="55"/>
      <c r="AM540" s="55"/>
      <c r="AN540" s="55"/>
      <c r="AO540" s="55"/>
      <c r="AP540" s="55"/>
      <c r="AQ540" s="55"/>
      <c r="AR540" s="55"/>
      <c r="AS540" s="55"/>
      <c r="AT540" s="55"/>
      <c r="AU540" s="55"/>
      <c r="AV540" s="55"/>
      <c r="AW540" s="55"/>
      <c r="AX540" s="55"/>
      <c r="AY540" s="55"/>
    </row>
    <row r="541" spans="21:51">
      <c r="U541" s="55"/>
      <c r="V541" s="55"/>
      <c r="W541" s="55"/>
      <c r="X541" s="55"/>
      <c r="Y541" s="55"/>
      <c r="Z541" s="55"/>
      <c r="AA541" s="55"/>
      <c r="AB541" s="55"/>
      <c r="AC541" s="55"/>
      <c r="AD541" s="55"/>
      <c r="AE541" s="55"/>
      <c r="AF541" s="55"/>
      <c r="AG541" s="55"/>
      <c r="AH541" s="55"/>
      <c r="AI541" s="55"/>
      <c r="AJ541" s="55"/>
      <c r="AK541" s="55"/>
      <c r="AL541" s="55"/>
      <c r="AM541" s="55"/>
      <c r="AN541" s="55"/>
      <c r="AO541" s="55"/>
      <c r="AP541" s="55"/>
      <c r="AQ541" s="55"/>
      <c r="AR541" s="55"/>
      <c r="AS541" s="55"/>
      <c r="AT541" s="55"/>
      <c r="AU541" s="55"/>
      <c r="AV541" s="55"/>
      <c r="AW541" s="55"/>
      <c r="AX541" s="55"/>
      <c r="AY541" s="55"/>
    </row>
    <row r="542" spans="21:51">
      <c r="U542" s="55"/>
      <c r="V542" s="55"/>
      <c r="W542" s="55"/>
      <c r="X542" s="55"/>
      <c r="Y542" s="55"/>
      <c r="Z542" s="55"/>
      <c r="AA542" s="55"/>
      <c r="AB542" s="55"/>
      <c r="AC542" s="55"/>
      <c r="AD542" s="55"/>
      <c r="AE542" s="55"/>
      <c r="AF542" s="55"/>
      <c r="AG542" s="55"/>
      <c r="AH542" s="55"/>
      <c r="AI542" s="55"/>
      <c r="AJ542" s="55"/>
      <c r="AK542" s="55"/>
      <c r="AL542" s="55"/>
      <c r="AM542" s="55"/>
      <c r="AN542" s="55"/>
      <c r="AO542" s="55"/>
      <c r="AP542" s="55"/>
      <c r="AQ542" s="55"/>
      <c r="AR542" s="55"/>
      <c r="AS542" s="55"/>
      <c r="AT542" s="55"/>
      <c r="AU542" s="55"/>
      <c r="AV542" s="55"/>
      <c r="AW542" s="55"/>
      <c r="AX542" s="55"/>
      <c r="AY542" s="55"/>
    </row>
    <row r="543" spans="21:51">
      <c r="U543" s="55"/>
      <c r="V543" s="55"/>
      <c r="W543" s="55"/>
      <c r="X543" s="55"/>
      <c r="Y543" s="55"/>
      <c r="Z543" s="55"/>
      <c r="AA543" s="55"/>
      <c r="AB543" s="55"/>
      <c r="AC543" s="55"/>
      <c r="AD543" s="55"/>
      <c r="AE543" s="55"/>
      <c r="AF543" s="55"/>
      <c r="AG543" s="55"/>
      <c r="AH543" s="55"/>
      <c r="AI543" s="55"/>
      <c r="AJ543" s="55"/>
      <c r="AK543" s="55"/>
      <c r="AL543" s="55"/>
      <c r="AM543" s="55"/>
      <c r="AN543" s="55"/>
      <c r="AO543" s="55"/>
      <c r="AP543" s="55"/>
      <c r="AQ543" s="55"/>
      <c r="AR543" s="55"/>
      <c r="AS543" s="55"/>
      <c r="AT543" s="55"/>
      <c r="AU543" s="55"/>
      <c r="AV543" s="55"/>
      <c r="AW543" s="55"/>
      <c r="AX543" s="55"/>
      <c r="AY543" s="55"/>
    </row>
    <row r="544" spans="21:51">
      <c r="U544" s="55"/>
      <c r="V544" s="55"/>
      <c r="W544" s="55"/>
      <c r="X544" s="55"/>
      <c r="Y544" s="55"/>
      <c r="Z544" s="55"/>
      <c r="AA544" s="55"/>
      <c r="AB544" s="55"/>
      <c r="AC544" s="55"/>
      <c r="AD544" s="55"/>
      <c r="AE544" s="55"/>
      <c r="AF544" s="55"/>
      <c r="AG544" s="55"/>
      <c r="AH544" s="55"/>
      <c r="AI544" s="55"/>
      <c r="AJ544" s="55"/>
      <c r="AK544" s="55"/>
      <c r="AL544" s="55"/>
      <c r="AM544" s="55"/>
      <c r="AN544" s="55"/>
      <c r="AO544" s="55"/>
      <c r="AP544" s="55"/>
      <c r="AQ544" s="55"/>
      <c r="AR544" s="55"/>
      <c r="AS544" s="55"/>
      <c r="AT544" s="55"/>
      <c r="AU544" s="55"/>
      <c r="AV544" s="55"/>
      <c r="AW544" s="55"/>
      <c r="AX544" s="55"/>
      <c r="AY544" s="55"/>
    </row>
    <row r="545" spans="21:51">
      <c r="U545" s="55"/>
      <c r="V545" s="55"/>
      <c r="W545" s="55"/>
      <c r="X545" s="55"/>
      <c r="Y545" s="55"/>
      <c r="Z545" s="55"/>
      <c r="AA545" s="55"/>
      <c r="AB545" s="55"/>
      <c r="AC545" s="55"/>
      <c r="AD545" s="55"/>
      <c r="AE545" s="55"/>
      <c r="AF545" s="55"/>
      <c r="AG545" s="55"/>
      <c r="AH545" s="55"/>
      <c r="AI545" s="55"/>
      <c r="AJ545" s="55"/>
      <c r="AK545" s="55"/>
      <c r="AL545" s="55"/>
      <c r="AM545" s="55"/>
      <c r="AN545" s="55"/>
      <c r="AO545" s="55"/>
      <c r="AP545" s="55"/>
      <c r="AQ545" s="55"/>
      <c r="AR545" s="55"/>
      <c r="AS545" s="55"/>
      <c r="AT545" s="55"/>
      <c r="AU545" s="55"/>
      <c r="AV545" s="55"/>
      <c r="AW545" s="55"/>
      <c r="AX545" s="55"/>
      <c r="AY545" s="55"/>
    </row>
    <row r="546" spans="21:51">
      <c r="U546" s="55"/>
      <c r="V546" s="55"/>
      <c r="W546" s="55"/>
      <c r="X546" s="55"/>
      <c r="Y546" s="55"/>
      <c r="Z546" s="55"/>
      <c r="AA546" s="55"/>
      <c r="AB546" s="55"/>
      <c r="AC546" s="55"/>
      <c r="AD546" s="55"/>
      <c r="AE546" s="55"/>
      <c r="AF546" s="55"/>
      <c r="AG546" s="55"/>
      <c r="AH546" s="55"/>
      <c r="AI546" s="55"/>
      <c r="AJ546" s="55"/>
      <c r="AK546" s="55"/>
      <c r="AL546" s="55"/>
      <c r="AM546" s="55"/>
      <c r="AN546" s="55"/>
      <c r="AO546" s="55"/>
      <c r="AP546" s="55"/>
      <c r="AQ546" s="55"/>
      <c r="AR546" s="55"/>
      <c r="AS546" s="55"/>
      <c r="AT546" s="55"/>
      <c r="AU546" s="55"/>
      <c r="AV546" s="55"/>
      <c r="AW546" s="55"/>
      <c r="AX546" s="55"/>
      <c r="AY546" s="55"/>
    </row>
    <row r="547" spans="21:51">
      <c r="U547" s="55"/>
      <c r="V547" s="55"/>
      <c r="W547" s="55"/>
      <c r="X547" s="55"/>
      <c r="Y547" s="55"/>
      <c r="Z547" s="55"/>
      <c r="AA547" s="55"/>
      <c r="AB547" s="55"/>
      <c r="AC547" s="55"/>
      <c r="AD547" s="55"/>
      <c r="AE547" s="55"/>
      <c r="AF547" s="55"/>
      <c r="AG547" s="55"/>
      <c r="AH547" s="55"/>
      <c r="AI547" s="55"/>
      <c r="AJ547" s="55"/>
      <c r="AK547" s="55"/>
      <c r="AL547" s="55"/>
      <c r="AM547" s="55"/>
      <c r="AN547" s="55"/>
      <c r="AO547" s="55"/>
      <c r="AP547" s="55"/>
      <c r="AQ547" s="55"/>
      <c r="AR547" s="55"/>
      <c r="AS547" s="55"/>
      <c r="AT547" s="55"/>
      <c r="AU547" s="55"/>
      <c r="AV547" s="55"/>
      <c r="AW547" s="55"/>
      <c r="AX547" s="55"/>
      <c r="AY547" s="55"/>
    </row>
    <row r="548" spans="21:51">
      <c r="U548" s="55"/>
      <c r="V548" s="55"/>
      <c r="W548" s="55"/>
      <c r="X548" s="55"/>
      <c r="Y548" s="55"/>
      <c r="Z548" s="55"/>
      <c r="AA548" s="55"/>
      <c r="AB548" s="55"/>
      <c r="AC548" s="55"/>
      <c r="AD548" s="55"/>
      <c r="AE548" s="55"/>
      <c r="AF548" s="55"/>
      <c r="AG548" s="55"/>
      <c r="AH548" s="55"/>
      <c r="AI548" s="55"/>
      <c r="AJ548" s="55"/>
      <c r="AK548" s="55"/>
      <c r="AL548" s="55"/>
      <c r="AM548" s="55"/>
      <c r="AN548" s="55"/>
      <c r="AO548" s="55"/>
      <c r="AP548" s="55"/>
      <c r="AQ548" s="55"/>
      <c r="AR548" s="55"/>
      <c r="AS548" s="55"/>
      <c r="AT548" s="55"/>
      <c r="AU548" s="55"/>
      <c r="AV548" s="55"/>
      <c r="AW548" s="55"/>
      <c r="AX548" s="55"/>
      <c r="AY548" s="55"/>
    </row>
    <row r="549" spans="21:51">
      <c r="U549" s="55"/>
      <c r="V549" s="55"/>
      <c r="W549" s="55"/>
      <c r="X549" s="55"/>
      <c r="Y549" s="55"/>
      <c r="Z549" s="55"/>
      <c r="AA549" s="55"/>
      <c r="AB549" s="55"/>
      <c r="AC549" s="55"/>
      <c r="AD549" s="55"/>
      <c r="AE549" s="55"/>
      <c r="AF549" s="55"/>
      <c r="AG549" s="55"/>
      <c r="AH549" s="55"/>
      <c r="AI549" s="55"/>
      <c r="AJ549" s="55"/>
      <c r="AK549" s="55"/>
      <c r="AL549" s="55"/>
      <c r="AM549" s="55"/>
      <c r="AN549" s="55"/>
      <c r="AO549" s="55"/>
      <c r="AP549" s="55"/>
      <c r="AQ549" s="55"/>
      <c r="AR549" s="55"/>
      <c r="AS549" s="55"/>
      <c r="AT549" s="55"/>
      <c r="AU549" s="55"/>
      <c r="AV549" s="55"/>
      <c r="AW549" s="55"/>
      <c r="AX549" s="55"/>
      <c r="AY549" s="55"/>
    </row>
    <row r="550" spans="21:51">
      <c r="U550" s="55"/>
      <c r="V550" s="55"/>
      <c r="W550" s="55"/>
      <c r="X550" s="55"/>
      <c r="Y550" s="55"/>
      <c r="Z550" s="55"/>
      <c r="AA550" s="55"/>
      <c r="AB550" s="55"/>
      <c r="AC550" s="55"/>
      <c r="AD550" s="55"/>
      <c r="AE550" s="55"/>
      <c r="AF550" s="55"/>
      <c r="AG550" s="55"/>
      <c r="AH550" s="55"/>
      <c r="AI550" s="55"/>
      <c r="AJ550" s="55"/>
      <c r="AK550" s="55"/>
      <c r="AL550" s="55"/>
      <c r="AM550" s="55"/>
      <c r="AN550" s="55"/>
      <c r="AO550" s="55"/>
      <c r="AP550" s="55"/>
      <c r="AQ550" s="55"/>
      <c r="AR550" s="55"/>
      <c r="AS550" s="55"/>
      <c r="AT550" s="55"/>
      <c r="AU550" s="55"/>
      <c r="AV550" s="55"/>
      <c r="AW550" s="55"/>
      <c r="AX550" s="55"/>
      <c r="AY550" s="55"/>
    </row>
    <row r="551" spans="21:51">
      <c r="U551" s="55"/>
      <c r="V551" s="55"/>
      <c r="W551" s="55"/>
      <c r="X551" s="55"/>
      <c r="Y551" s="55"/>
      <c r="Z551" s="55"/>
      <c r="AA551" s="55"/>
      <c r="AB551" s="55"/>
      <c r="AC551" s="55"/>
      <c r="AD551" s="55"/>
      <c r="AE551" s="55"/>
      <c r="AF551" s="55"/>
      <c r="AG551" s="55"/>
      <c r="AH551" s="55"/>
      <c r="AI551" s="55"/>
      <c r="AJ551" s="55"/>
      <c r="AK551" s="55"/>
      <c r="AL551" s="55"/>
      <c r="AM551" s="55"/>
      <c r="AN551" s="55"/>
      <c r="AO551" s="55"/>
      <c r="AP551" s="55"/>
      <c r="AQ551" s="55"/>
      <c r="AR551" s="55"/>
      <c r="AS551" s="55"/>
      <c r="AT551" s="55"/>
      <c r="AU551" s="55"/>
      <c r="AV551" s="55"/>
      <c r="AW551" s="55"/>
      <c r="AX551" s="55"/>
      <c r="AY551" s="55"/>
    </row>
    <row r="552" spans="21:51">
      <c r="U552" s="55"/>
      <c r="V552" s="55"/>
      <c r="W552" s="55"/>
      <c r="X552" s="55"/>
      <c r="Y552" s="55"/>
      <c r="Z552" s="55"/>
      <c r="AA552" s="55"/>
      <c r="AB552" s="55"/>
      <c r="AC552" s="55"/>
      <c r="AD552" s="55"/>
      <c r="AE552" s="55"/>
      <c r="AF552" s="55"/>
      <c r="AG552" s="55"/>
      <c r="AH552" s="55"/>
      <c r="AI552" s="55"/>
      <c r="AJ552" s="55"/>
      <c r="AK552" s="55"/>
      <c r="AL552" s="55"/>
      <c r="AM552" s="55"/>
      <c r="AN552" s="55"/>
      <c r="AO552" s="55"/>
      <c r="AP552" s="55"/>
      <c r="AQ552" s="55"/>
      <c r="AR552" s="55"/>
      <c r="AS552" s="55"/>
      <c r="AT552" s="55"/>
      <c r="AU552" s="55"/>
      <c r="AV552" s="55"/>
      <c r="AW552" s="55"/>
      <c r="AX552" s="55"/>
      <c r="AY552" s="55"/>
    </row>
    <row r="553" spans="21:51">
      <c r="U553" s="55"/>
      <c r="V553" s="55"/>
      <c r="W553" s="55"/>
      <c r="X553" s="55"/>
      <c r="Y553" s="55"/>
      <c r="Z553" s="55"/>
      <c r="AA553" s="55"/>
      <c r="AB553" s="55"/>
      <c r="AC553" s="55"/>
      <c r="AD553" s="55"/>
      <c r="AE553" s="55"/>
      <c r="AF553" s="55"/>
      <c r="AG553" s="55"/>
      <c r="AH553" s="55"/>
      <c r="AI553" s="55"/>
      <c r="AJ553" s="55"/>
      <c r="AK553" s="55"/>
      <c r="AL553" s="55"/>
      <c r="AM553" s="55"/>
      <c r="AN553" s="55"/>
      <c r="AO553" s="55"/>
      <c r="AP553" s="55"/>
      <c r="AQ553" s="55"/>
      <c r="AR553" s="55"/>
      <c r="AS553" s="55"/>
      <c r="AT553" s="55"/>
      <c r="AU553" s="55"/>
      <c r="AV553" s="55"/>
      <c r="AW553" s="55"/>
      <c r="AX553" s="55"/>
      <c r="AY553" s="55"/>
    </row>
    <row r="554" spans="21:51">
      <c r="U554" s="55"/>
      <c r="V554" s="55"/>
      <c r="W554" s="55"/>
      <c r="X554" s="55"/>
      <c r="Y554" s="55"/>
      <c r="Z554" s="55"/>
      <c r="AA554" s="55"/>
      <c r="AB554" s="55"/>
      <c r="AC554" s="55"/>
      <c r="AD554" s="55"/>
      <c r="AE554" s="55"/>
      <c r="AF554" s="55"/>
      <c r="AG554" s="55"/>
      <c r="AH554" s="55"/>
      <c r="AI554" s="55"/>
      <c r="AJ554" s="55"/>
      <c r="AK554" s="55"/>
      <c r="AL554" s="55"/>
      <c r="AM554" s="55"/>
      <c r="AN554" s="55"/>
      <c r="AO554" s="55"/>
      <c r="AP554" s="55"/>
      <c r="AQ554" s="55"/>
      <c r="AR554" s="55"/>
      <c r="AS554" s="55"/>
      <c r="AT554" s="55"/>
      <c r="AU554" s="55"/>
      <c r="AV554" s="55"/>
      <c r="AW554" s="55"/>
      <c r="AX554" s="55"/>
      <c r="AY554" s="55"/>
    </row>
    <row r="555" spans="21:51">
      <c r="U555" s="55"/>
      <c r="V555" s="55"/>
      <c r="W555" s="55"/>
      <c r="X555" s="55"/>
      <c r="Y555" s="55"/>
      <c r="Z555" s="55"/>
      <c r="AA555" s="55"/>
      <c r="AB555" s="55"/>
      <c r="AC555" s="55"/>
      <c r="AD555" s="55"/>
      <c r="AE555" s="55"/>
      <c r="AF555" s="55"/>
      <c r="AG555" s="55"/>
      <c r="AH555" s="55"/>
      <c r="AI555" s="55"/>
      <c r="AJ555" s="55"/>
      <c r="AK555" s="55"/>
      <c r="AL555" s="55"/>
      <c r="AM555" s="55"/>
      <c r="AN555" s="55"/>
      <c r="AO555" s="55"/>
      <c r="AP555" s="55"/>
      <c r="AQ555" s="55"/>
      <c r="AR555" s="55"/>
      <c r="AS555" s="55"/>
      <c r="AT555" s="55"/>
      <c r="AU555" s="55"/>
      <c r="AV555" s="55"/>
      <c r="AW555" s="55"/>
      <c r="AX555" s="55"/>
      <c r="AY555" s="55"/>
    </row>
    <row r="556" spans="21:51">
      <c r="U556" s="55"/>
      <c r="V556" s="55"/>
      <c r="W556" s="55"/>
      <c r="X556" s="55"/>
      <c r="Y556" s="55"/>
      <c r="Z556" s="55"/>
      <c r="AA556" s="55"/>
      <c r="AB556" s="55"/>
      <c r="AC556" s="55"/>
      <c r="AD556" s="55"/>
      <c r="AE556" s="55"/>
      <c r="AF556" s="55"/>
      <c r="AG556" s="55"/>
      <c r="AH556" s="55"/>
      <c r="AI556" s="55"/>
      <c r="AJ556" s="55"/>
      <c r="AK556" s="55"/>
      <c r="AL556" s="55"/>
      <c r="AM556" s="55"/>
      <c r="AN556" s="55"/>
      <c r="AO556" s="55"/>
      <c r="AP556" s="55"/>
      <c r="AQ556" s="55"/>
      <c r="AR556" s="55"/>
      <c r="AS556" s="55"/>
      <c r="AT556" s="55"/>
      <c r="AU556" s="55"/>
      <c r="AV556" s="55"/>
      <c r="AW556" s="55"/>
      <c r="AX556" s="55"/>
      <c r="AY556" s="55"/>
    </row>
    <row r="557" spans="21:51">
      <c r="U557" s="55"/>
      <c r="V557" s="55"/>
      <c r="W557" s="55"/>
      <c r="X557" s="55"/>
      <c r="Y557" s="55"/>
      <c r="Z557" s="55"/>
      <c r="AA557" s="55"/>
      <c r="AB557" s="55"/>
      <c r="AC557" s="55"/>
      <c r="AD557" s="55"/>
      <c r="AE557" s="55"/>
      <c r="AF557" s="55"/>
      <c r="AG557" s="55"/>
      <c r="AH557" s="55"/>
      <c r="AI557" s="55"/>
      <c r="AJ557" s="55"/>
      <c r="AK557" s="55"/>
      <c r="AL557" s="55"/>
      <c r="AM557" s="55"/>
      <c r="AN557" s="55"/>
      <c r="AO557" s="55"/>
      <c r="AP557" s="55"/>
      <c r="AQ557" s="55"/>
      <c r="AR557" s="55"/>
      <c r="AS557" s="55"/>
      <c r="AT557" s="55"/>
      <c r="AU557" s="55"/>
      <c r="AV557" s="55"/>
      <c r="AW557" s="55"/>
      <c r="AX557" s="55"/>
      <c r="AY557" s="55"/>
    </row>
    <row r="558" spans="21:51">
      <c r="U558" s="55"/>
      <c r="V558" s="55"/>
      <c r="W558" s="55"/>
      <c r="X558" s="55"/>
      <c r="Y558" s="55"/>
      <c r="Z558" s="55"/>
      <c r="AA558" s="55"/>
      <c r="AB558" s="55"/>
      <c r="AC558" s="55"/>
      <c r="AD558" s="55"/>
      <c r="AE558" s="55"/>
      <c r="AF558" s="55"/>
      <c r="AG558" s="55"/>
      <c r="AH558" s="55"/>
      <c r="AI558" s="55"/>
      <c r="AJ558" s="55"/>
      <c r="AK558" s="55"/>
      <c r="AL558" s="55"/>
      <c r="AM558" s="55"/>
      <c r="AN558" s="55"/>
      <c r="AO558" s="55"/>
      <c r="AP558" s="55"/>
      <c r="AQ558" s="55"/>
      <c r="AR558" s="55"/>
      <c r="AS558" s="55"/>
      <c r="AT558" s="55"/>
      <c r="AU558" s="55"/>
      <c r="AV558" s="55"/>
      <c r="AW558" s="55"/>
      <c r="AX558" s="55"/>
      <c r="AY558" s="55"/>
    </row>
    <row r="559" spans="21:51">
      <c r="U559" s="55"/>
      <c r="V559" s="55"/>
      <c r="W559" s="55"/>
      <c r="X559" s="55"/>
      <c r="Y559" s="55"/>
      <c r="Z559" s="55"/>
      <c r="AA559" s="55"/>
      <c r="AB559" s="55"/>
      <c r="AC559" s="55"/>
      <c r="AD559" s="55"/>
      <c r="AE559" s="55"/>
      <c r="AF559" s="55"/>
      <c r="AG559" s="55"/>
      <c r="AH559" s="55"/>
      <c r="AI559" s="55"/>
      <c r="AJ559" s="55"/>
      <c r="AK559" s="55"/>
      <c r="AL559" s="55"/>
      <c r="AM559" s="55"/>
      <c r="AN559" s="55"/>
      <c r="AO559" s="55"/>
      <c r="AP559" s="55"/>
      <c r="AQ559" s="55"/>
      <c r="AR559" s="55"/>
      <c r="AS559" s="55"/>
      <c r="AT559" s="55"/>
      <c r="AU559" s="55"/>
      <c r="AV559" s="55"/>
      <c r="AW559" s="55"/>
      <c r="AX559" s="55"/>
      <c r="AY559" s="55"/>
    </row>
    <row r="560" spans="21:51">
      <c r="U560" s="55"/>
      <c r="V560" s="55"/>
      <c r="W560" s="55"/>
      <c r="X560" s="55"/>
      <c r="Y560" s="55"/>
      <c r="Z560" s="55"/>
      <c r="AA560" s="55"/>
      <c r="AB560" s="55"/>
      <c r="AC560" s="55"/>
      <c r="AD560" s="55"/>
      <c r="AE560" s="55"/>
      <c r="AF560" s="55"/>
      <c r="AG560" s="55"/>
      <c r="AH560" s="55"/>
      <c r="AI560" s="55"/>
      <c r="AJ560" s="55"/>
      <c r="AK560" s="55"/>
      <c r="AL560" s="55"/>
      <c r="AM560" s="55"/>
      <c r="AN560" s="55"/>
      <c r="AO560" s="55"/>
      <c r="AP560" s="55"/>
      <c r="AQ560" s="55"/>
      <c r="AR560" s="55"/>
      <c r="AS560" s="55"/>
      <c r="AT560" s="55"/>
      <c r="AU560" s="55"/>
      <c r="AV560" s="55"/>
      <c r="AW560" s="55"/>
      <c r="AX560" s="55"/>
      <c r="AY560" s="55"/>
    </row>
    <row r="561" spans="21:51">
      <c r="U561" s="55"/>
      <c r="V561" s="55"/>
      <c r="W561" s="55"/>
      <c r="X561" s="55"/>
      <c r="Y561" s="55"/>
      <c r="Z561" s="55"/>
      <c r="AA561" s="55"/>
      <c r="AB561" s="55"/>
      <c r="AC561" s="55"/>
      <c r="AD561" s="55"/>
      <c r="AE561" s="55"/>
      <c r="AF561" s="55"/>
      <c r="AG561" s="55"/>
      <c r="AH561" s="55"/>
      <c r="AI561" s="55"/>
      <c r="AJ561" s="55"/>
      <c r="AK561" s="55"/>
      <c r="AL561" s="55"/>
      <c r="AM561" s="55"/>
      <c r="AN561" s="55"/>
      <c r="AO561" s="55"/>
      <c r="AP561" s="55"/>
      <c r="AQ561" s="55"/>
      <c r="AR561" s="55"/>
      <c r="AS561" s="55"/>
      <c r="AT561" s="55"/>
      <c r="AU561" s="55"/>
      <c r="AV561" s="55"/>
      <c r="AW561" s="55"/>
      <c r="AX561" s="55"/>
      <c r="AY561" s="55"/>
    </row>
    <row r="562" spans="21:51">
      <c r="U562" s="55"/>
      <c r="V562" s="55"/>
      <c r="W562" s="55"/>
      <c r="X562" s="55"/>
      <c r="Y562" s="55"/>
      <c r="Z562" s="55"/>
      <c r="AA562" s="55"/>
      <c r="AB562" s="55"/>
      <c r="AC562" s="55"/>
      <c r="AD562" s="55"/>
      <c r="AE562" s="55"/>
      <c r="AF562" s="55"/>
      <c r="AG562" s="55"/>
      <c r="AH562" s="55"/>
      <c r="AI562" s="55"/>
      <c r="AJ562" s="55"/>
      <c r="AK562" s="55"/>
      <c r="AL562" s="55"/>
      <c r="AM562" s="55"/>
      <c r="AN562" s="55"/>
      <c r="AO562" s="55"/>
      <c r="AP562" s="55"/>
      <c r="AQ562" s="55"/>
      <c r="AR562" s="55"/>
      <c r="AS562" s="55"/>
      <c r="AT562" s="55"/>
      <c r="AU562" s="55"/>
      <c r="AV562" s="55"/>
      <c r="AW562" s="55"/>
      <c r="AX562" s="55"/>
      <c r="AY562" s="55"/>
    </row>
    <row r="563" spans="21:51">
      <c r="U563" s="55"/>
      <c r="V563" s="55"/>
      <c r="W563" s="55"/>
      <c r="X563" s="55"/>
      <c r="Y563" s="55"/>
      <c r="Z563" s="55"/>
      <c r="AA563" s="55"/>
      <c r="AB563" s="55"/>
      <c r="AC563" s="55"/>
      <c r="AD563" s="55"/>
      <c r="AE563" s="55"/>
      <c r="AF563" s="55"/>
      <c r="AG563" s="55"/>
      <c r="AH563" s="55"/>
      <c r="AI563" s="55"/>
      <c r="AJ563" s="55"/>
      <c r="AK563" s="55"/>
      <c r="AL563" s="55"/>
      <c r="AM563" s="55"/>
      <c r="AN563" s="55"/>
      <c r="AO563" s="55"/>
      <c r="AP563" s="55"/>
      <c r="AQ563" s="55"/>
      <c r="AR563" s="55"/>
      <c r="AS563" s="55"/>
      <c r="AT563" s="55"/>
      <c r="AU563" s="55"/>
      <c r="AV563" s="55"/>
      <c r="AW563" s="55"/>
      <c r="AX563" s="55"/>
      <c r="AY563" s="55"/>
    </row>
    <row r="564" spans="21:51">
      <c r="U564" s="55"/>
      <c r="V564" s="55"/>
      <c r="W564" s="55"/>
      <c r="X564" s="55"/>
      <c r="Y564" s="55"/>
      <c r="Z564" s="55"/>
      <c r="AA564" s="55"/>
      <c r="AB564" s="55"/>
      <c r="AC564" s="55"/>
      <c r="AD564" s="55"/>
      <c r="AE564" s="55"/>
      <c r="AF564" s="55"/>
      <c r="AG564" s="55"/>
      <c r="AH564" s="55"/>
      <c r="AI564" s="55"/>
      <c r="AJ564" s="55"/>
      <c r="AK564" s="55"/>
      <c r="AL564" s="55"/>
      <c r="AM564" s="55"/>
      <c r="AN564" s="55"/>
      <c r="AO564" s="55"/>
      <c r="AP564" s="55"/>
      <c r="AQ564" s="55"/>
      <c r="AR564" s="55"/>
      <c r="AS564" s="55"/>
      <c r="AT564" s="55"/>
      <c r="AU564" s="55"/>
      <c r="AV564" s="55"/>
      <c r="AW564" s="55"/>
      <c r="AX564" s="55"/>
      <c r="AY564" s="55"/>
    </row>
    <row r="565" spans="21:51">
      <c r="U565" s="55"/>
      <c r="V565" s="55"/>
      <c r="W565" s="55"/>
      <c r="X565" s="55"/>
      <c r="Y565" s="55"/>
      <c r="Z565" s="55"/>
      <c r="AA565" s="55"/>
      <c r="AB565" s="55"/>
      <c r="AC565" s="55"/>
      <c r="AD565" s="55"/>
      <c r="AE565" s="55"/>
      <c r="AF565" s="55"/>
      <c r="AG565" s="55"/>
      <c r="AH565" s="55"/>
      <c r="AI565" s="55"/>
      <c r="AJ565" s="55"/>
      <c r="AK565" s="55"/>
      <c r="AL565" s="55"/>
      <c r="AM565" s="55"/>
      <c r="AN565" s="55"/>
      <c r="AO565" s="55"/>
      <c r="AP565" s="55"/>
      <c r="AQ565" s="55"/>
      <c r="AR565" s="55"/>
      <c r="AS565" s="55"/>
      <c r="AT565" s="55"/>
      <c r="AU565" s="55"/>
      <c r="AV565" s="55"/>
      <c r="AW565" s="55"/>
      <c r="AX565" s="55"/>
      <c r="AY565" s="55"/>
    </row>
    <row r="566" spans="21:51">
      <c r="U566" s="55"/>
      <c r="V566" s="55"/>
      <c r="W566" s="55"/>
      <c r="X566" s="55"/>
      <c r="Y566" s="55"/>
      <c r="Z566" s="55"/>
      <c r="AA566" s="55"/>
      <c r="AB566" s="55"/>
      <c r="AC566" s="55"/>
      <c r="AD566" s="55"/>
      <c r="AE566" s="55"/>
      <c r="AF566" s="55"/>
      <c r="AG566" s="55"/>
      <c r="AH566" s="55"/>
      <c r="AI566" s="55"/>
      <c r="AJ566" s="55"/>
      <c r="AK566" s="55"/>
      <c r="AL566" s="55"/>
      <c r="AM566" s="55"/>
      <c r="AN566" s="55"/>
      <c r="AO566" s="55"/>
      <c r="AP566" s="55"/>
      <c r="AQ566" s="55"/>
      <c r="AR566" s="55"/>
      <c r="AS566" s="55"/>
      <c r="AT566" s="55"/>
      <c r="AU566" s="55"/>
      <c r="AV566" s="55"/>
      <c r="AW566" s="55"/>
      <c r="AX566" s="55"/>
      <c r="AY566" s="55"/>
    </row>
    <row r="567" spans="21:51">
      <c r="U567" s="55"/>
      <c r="V567" s="55"/>
      <c r="W567" s="55"/>
      <c r="X567" s="55"/>
      <c r="Y567" s="55"/>
      <c r="Z567" s="55"/>
      <c r="AA567" s="55"/>
      <c r="AB567" s="55"/>
      <c r="AC567" s="55"/>
      <c r="AD567" s="55"/>
      <c r="AE567" s="55"/>
      <c r="AF567" s="55"/>
      <c r="AG567" s="55"/>
      <c r="AH567" s="55"/>
      <c r="AI567" s="55"/>
      <c r="AJ567" s="55"/>
      <c r="AK567" s="55"/>
      <c r="AL567" s="55"/>
      <c r="AM567" s="55"/>
      <c r="AN567" s="55"/>
      <c r="AO567" s="55"/>
      <c r="AP567" s="55"/>
      <c r="AQ567" s="55"/>
      <c r="AR567" s="55"/>
      <c r="AS567" s="55"/>
      <c r="AT567" s="55"/>
      <c r="AU567" s="55"/>
      <c r="AV567" s="55"/>
      <c r="AW567" s="55"/>
      <c r="AX567" s="55"/>
      <c r="AY567" s="55"/>
    </row>
    <row r="568" spans="21:51">
      <c r="U568" s="55"/>
      <c r="V568" s="55"/>
      <c r="W568" s="55"/>
      <c r="X568" s="55"/>
      <c r="Y568" s="55"/>
      <c r="Z568" s="55"/>
      <c r="AA568" s="55"/>
      <c r="AB568" s="55"/>
      <c r="AC568" s="55"/>
      <c r="AD568" s="55"/>
      <c r="AE568" s="55"/>
      <c r="AF568" s="55"/>
      <c r="AG568" s="55"/>
      <c r="AH568" s="55"/>
      <c r="AI568" s="55"/>
      <c r="AJ568" s="55"/>
      <c r="AK568" s="55"/>
      <c r="AL568" s="55"/>
      <c r="AM568" s="55"/>
      <c r="AN568" s="55"/>
      <c r="AO568" s="55"/>
      <c r="AP568" s="55"/>
      <c r="AQ568" s="55"/>
      <c r="AR568" s="55"/>
      <c r="AS568" s="55"/>
      <c r="AT568" s="55"/>
      <c r="AU568" s="55"/>
      <c r="AV568" s="55"/>
      <c r="AW568" s="55"/>
      <c r="AX568" s="55"/>
      <c r="AY568" s="55"/>
    </row>
    <row r="569" spans="21:51">
      <c r="U569" s="55"/>
      <c r="V569" s="55"/>
      <c r="W569" s="55"/>
      <c r="X569" s="55"/>
      <c r="Y569" s="55"/>
      <c r="Z569" s="55"/>
      <c r="AA569" s="55"/>
      <c r="AB569" s="55"/>
      <c r="AC569" s="55"/>
      <c r="AD569" s="55"/>
      <c r="AE569" s="55"/>
      <c r="AF569" s="55"/>
      <c r="AG569" s="55"/>
      <c r="AH569" s="55"/>
      <c r="AI569" s="55"/>
      <c r="AJ569" s="55"/>
      <c r="AK569" s="55"/>
      <c r="AL569" s="55"/>
      <c r="AM569" s="55"/>
      <c r="AN569" s="55"/>
      <c r="AO569" s="55"/>
      <c r="AP569" s="55"/>
      <c r="AQ569" s="55"/>
      <c r="AR569" s="55"/>
      <c r="AS569" s="55"/>
      <c r="AT569" s="55"/>
      <c r="AU569" s="55"/>
      <c r="AV569" s="55"/>
      <c r="AW569" s="55"/>
      <c r="AX569" s="55"/>
      <c r="AY569" s="55"/>
    </row>
    <row r="570" spans="21:51">
      <c r="U570" s="55"/>
      <c r="V570" s="55"/>
      <c r="W570" s="55"/>
      <c r="X570" s="55"/>
      <c r="Y570" s="55"/>
      <c r="Z570" s="55"/>
      <c r="AA570" s="55"/>
      <c r="AB570" s="55"/>
      <c r="AC570" s="55"/>
      <c r="AD570" s="55"/>
      <c r="AE570" s="55"/>
      <c r="AF570" s="55"/>
      <c r="AG570" s="55"/>
      <c r="AH570" s="55"/>
      <c r="AI570" s="55"/>
      <c r="AJ570" s="55"/>
      <c r="AK570" s="55"/>
      <c r="AL570" s="55"/>
      <c r="AM570" s="55"/>
      <c r="AN570" s="55"/>
      <c r="AO570" s="55"/>
      <c r="AP570" s="55"/>
      <c r="AQ570" s="55"/>
      <c r="AR570" s="55"/>
      <c r="AS570" s="55"/>
      <c r="AT570" s="55"/>
      <c r="AU570" s="55"/>
      <c r="AV570" s="55"/>
      <c r="AW570" s="55"/>
      <c r="AX570" s="55"/>
      <c r="AY570" s="55"/>
    </row>
    <row r="571" spans="21:51">
      <c r="U571" s="55"/>
      <c r="V571" s="55"/>
      <c r="W571" s="55"/>
      <c r="X571" s="55"/>
      <c r="Y571" s="55"/>
      <c r="Z571" s="55"/>
      <c r="AA571" s="55"/>
      <c r="AB571" s="55"/>
      <c r="AC571" s="55"/>
      <c r="AD571" s="55"/>
      <c r="AE571" s="55"/>
      <c r="AF571" s="55"/>
      <c r="AG571" s="55"/>
      <c r="AH571" s="55"/>
      <c r="AI571" s="55"/>
      <c r="AJ571" s="55"/>
      <c r="AK571" s="55"/>
      <c r="AL571" s="55"/>
      <c r="AM571" s="55"/>
      <c r="AN571" s="55"/>
      <c r="AO571" s="55"/>
      <c r="AP571" s="55"/>
      <c r="AQ571" s="55"/>
      <c r="AR571" s="55"/>
      <c r="AS571" s="55"/>
      <c r="AT571" s="55"/>
      <c r="AU571" s="55"/>
      <c r="AV571" s="55"/>
      <c r="AW571" s="55"/>
      <c r="AX571" s="55"/>
      <c r="AY571" s="55"/>
    </row>
    <row r="572" spans="21:51">
      <c r="U572" s="55"/>
      <c r="V572" s="55"/>
      <c r="W572" s="55"/>
      <c r="X572" s="55"/>
      <c r="Y572" s="55"/>
      <c r="Z572" s="55"/>
      <c r="AA572" s="55"/>
      <c r="AB572" s="55"/>
      <c r="AC572" s="55"/>
      <c r="AD572" s="55"/>
      <c r="AE572" s="55"/>
      <c r="AF572" s="55"/>
      <c r="AG572" s="55"/>
      <c r="AH572" s="55"/>
      <c r="AI572" s="55"/>
      <c r="AJ572" s="55"/>
      <c r="AK572" s="55"/>
      <c r="AL572" s="55"/>
      <c r="AM572" s="55"/>
      <c r="AN572" s="55"/>
      <c r="AO572" s="55"/>
      <c r="AP572" s="55"/>
      <c r="AQ572" s="55"/>
      <c r="AR572" s="55"/>
      <c r="AS572" s="55"/>
      <c r="AT572" s="55"/>
      <c r="AU572" s="55"/>
      <c r="AV572" s="55"/>
      <c r="AW572" s="55"/>
      <c r="AX572" s="55"/>
      <c r="AY572" s="55"/>
    </row>
    <row r="573" spans="21:51">
      <c r="U573" s="55"/>
      <c r="V573" s="55"/>
      <c r="W573" s="55"/>
      <c r="X573" s="55"/>
      <c r="Y573" s="55"/>
      <c r="Z573" s="55"/>
      <c r="AA573" s="55"/>
      <c r="AB573" s="55"/>
      <c r="AC573" s="55"/>
      <c r="AD573" s="55"/>
      <c r="AE573" s="55"/>
      <c r="AF573" s="55"/>
      <c r="AG573" s="55"/>
      <c r="AH573" s="55"/>
      <c r="AI573" s="55"/>
      <c r="AJ573" s="55"/>
      <c r="AK573" s="55"/>
      <c r="AL573" s="55"/>
      <c r="AM573" s="55"/>
      <c r="AN573" s="55"/>
      <c r="AO573" s="55"/>
      <c r="AP573" s="55"/>
      <c r="AQ573" s="55"/>
      <c r="AR573" s="55"/>
      <c r="AS573" s="55"/>
      <c r="AT573" s="55"/>
      <c r="AU573" s="55"/>
      <c r="AV573" s="55"/>
      <c r="AW573" s="55"/>
      <c r="AX573" s="55"/>
      <c r="AY573" s="55"/>
    </row>
    <row r="574" spans="21:51">
      <c r="U574" s="55"/>
      <c r="V574" s="55"/>
      <c r="W574" s="55"/>
      <c r="X574" s="55"/>
      <c r="Y574" s="55"/>
      <c r="Z574" s="55"/>
      <c r="AA574" s="55"/>
      <c r="AB574" s="55"/>
      <c r="AC574" s="55"/>
      <c r="AD574" s="55"/>
      <c r="AE574" s="55"/>
      <c r="AF574" s="55"/>
      <c r="AG574" s="55"/>
      <c r="AH574" s="55"/>
      <c r="AI574" s="55"/>
      <c r="AJ574" s="55"/>
      <c r="AK574" s="55"/>
      <c r="AL574" s="55"/>
      <c r="AM574" s="55"/>
      <c r="AN574" s="55"/>
      <c r="AO574" s="55"/>
      <c r="AP574" s="55"/>
      <c r="AQ574" s="55"/>
      <c r="AR574" s="55"/>
      <c r="AS574" s="55"/>
      <c r="AT574" s="55"/>
      <c r="AU574" s="55"/>
      <c r="AV574" s="55"/>
      <c r="AW574" s="55"/>
      <c r="AX574" s="55"/>
      <c r="AY574" s="55"/>
    </row>
    <row r="575" spans="21:51">
      <c r="U575" s="55"/>
      <c r="V575" s="55"/>
      <c r="W575" s="55"/>
      <c r="X575" s="55"/>
      <c r="Y575" s="55"/>
      <c r="Z575" s="55"/>
      <c r="AA575" s="55"/>
      <c r="AB575" s="55"/>
      <c r="AC575" s="55"/>
      <c r="AD575" s="55"/>
      <c r="AE575" s="55"/>
      <c r="AF575" s="55"/>
      <c r="AG575" s="55"/>
      <c r="AH575" s="55"/>
      <c r="AI575" s="55"/>
      <c r="AJ575" s="55"/>
      <c r="AK575" s="55"/>
      <c r="AL575" s="55"/>
      <c r="AM575" s="55"/>
      <c r="AN575" s="55"/>
      <c r="AO575" s="55"/>
      <c r="AP575" s="55"/>
      <c r="AQ575" s="55"/>
      <c r="AR575" s="55"/>
      <c r="AS575" s="55"/>
      <c r="AT575" s="55"/>
      <c r="AU575" s="55"/>
      <c r="AV575" s="55"/>
      <c r="AW575" s="55"/>
      <c r="AX575" s="55"/>
      <c r="AY575" s="55"/>
    </row>
    <row r="576" spans="21:51">
      <c r="U576" s="55"/>
      <c r="V576" s="55"/>
      <c r="W576" s="55"/>
      <c r="X576" s="55"/>
      <c r="Y576" s="55"/>
      <c r="Z576" s="55"/>
      <c r="AA576" s="55"/>
      <c r="AB576" s="55"/>
      <c r="AC576" s="55"/>
      <c r="AD576" s="55"/>
      <c r="AE576" s="55"/>
      <c r="AF576" s="55"/>
      <c r="AG576" s="55"/>
      <c r="AH576" s="55"/>
      <c r="AI576" s="55"/>
      <c r="AJ576" s="55"/>
      <c r="AK576" s="55"/>
      <c r="AL576" s="55"/>
      <c r="AM576" s="55"/>
      <c r="AN576" s="55"/>
      <c r="AO576" s="55"/>
      <c r="AP576" s="55"/>
      <c r="AQ576" s="55"/>
      <c r="AR576" s="55"/>
      <c r="AS576" s="55"/>
      <c r="AT576" s="55"/>
      <c r="AU576" s="55"/>
      <c r="AV576" s="55"/>
      <c r="AW576" s="55"/>
      <c r="AX576" s="55"/>
      <c r="AY576" s="55"/>
    </row>
    <row r="577" spans="21:51">
      <c r="U577" s="55"/>
      <c r="V577" s="55"/>
      <c r="W577" s="55"/>
      <c r="X577" s="55"/>
      <c r="Y577" s="55"/>
      <c r="Z577" s="55"/>
      <c r="AA577" s="55"/>
      <c r="AB577" s="55"/>
      <c r="AC577" s="55"/>
      <c r="AD577" s="55"/>
      <c r="AE577" s="55"/>
      <c r="AF577" s="55"/>
      <c r="AG577" s="55"/>
      <c r="AH577" s="55"/>
      <c r="AI577" s="55"/>
      <c r="AJ577" s="55"/>
      <c r="AK577" s="55"/>
      <c r="AL577" s="55"/>
      <c r="AM577" s="55"/>
      <c r="AN577" s="55"/>
      <c r="AO577" s="55"/>
      <c r="AP577" s="55"/>
      <c r="AQ577" s="55"/>
      <c r="AR577" s="55"/>
      <c r="AS577" s="55"/>
      <c r="AT577" s="55"/>
      <c r="AU577" s="55"/>
      <c r="AV577" s="55"/>
      <c r="AW577" s="55"/>
      <c r="AX577" s="55"/>
      <c r="AY577" s="55"/>
    </row>
    <row r="578" spans="21:51">
      <c r="U578" s="55"/>
      <c r="V578" s="55"/>
      <c r="W578" s="55"/>
      <c r="X578" s="55"/>
      <c r="Y578" s="55"/>
      <c r="Z578" s="55"/>
      <c r="AA578" s="55"/>
      <c r="AB578" s="55"/>
      <c r="AC578" s="55"/>
      <c r="AD578" s="55"/>
      <c r="AE578" s="55"/>
      <c r="AF578" s="55"/>
      <c r="AG578" s="55"/>
      <c r="AH578" s="55"/>
      <c r="AI578" s="55"/>
      <c r="AJ578" s="55"/>
      <c r="AK578" s="55"/>
      <c r="AL578" s="55"/>
      <c r="AM578" s="55"/>
      <c r="AN578" s="55"/>
      <c r="AO578" s="55"/>
      <c r="AP578" s="55"/>
      <c r="AQ578" s="55"/>
      <c r="AR578" s="55"/>
      <c r="AS578" s="55"/>
      <c r="AT578" s="55"/>
      <c r="AU578" s="55"/>
      <c r="AV578" s="55"/>
      <c r="AW578" s="55"/>
      <c r="AX578" s="55"/>
      <c r="AY578" s="55"/>
    </row>
    <row r="579" spans="21:51">
      <c r="U579" s="55"/>
      <c r="V579" s="55"/>
      <c r="W579" s="55"/>
      <c r="X579" s="55"/>
      <c r="Y579" s="55"/>
      <c r="Z579" s="55"/>
      <c r="AA579" s="55"/>
      <c r="AB579" s="55"/>
      <c r="AC579" s="55"/>
      <c r="AD579" s="55"/>
      <c r="AE579" s="55"/>
      <c r="AF579" s="55"/>
      <c r="AG579" s="55"/>
      <c r="AH579" s="55"/>
      <c r="AI579" s="55"/>
      <c r="AJ579" s="55"/>
      <c r="AK579" s="55"/>
      <c r="AL579" s="55"/>
      <c r="AM579" s="55"/>
      <c r="AN579" s="55"/>
      <c r="AO579" s="55"/>
      <c r="AP579" s="55"/>
      <c r="AQ579" s="55"/>
      <c r="AR579" s="55"/>
      <c r="AS579" s="55"/>
      <c r="AT579" s="55"/>
      <c r="AU579" s="55"/>
      <c r="AV579" s="55"/>
      <c r="AW579" s="55"/>
      <c r="AX579" s="55"/>
      <c r="AY579" s="55"/>
    </row>
    <row r="580" spans="21:51">
      <c r="U580" s="55"/>
      <c r="V580" s="55"/>
      <c r="W580" s="55"/>
      <c r="X580" s="55"/>
      <c r="Y580" s="55"/>
      <c r="Z580" s="55"/>
      <c r="AA580" s="55"/>
      <c r="AB580" s="55"/>
      <c r="AC580" s="55"/>
      <c r="AD580" s="55"/>
      <c r="AE580" s="55"/>
      <c r="AF580" s="55"/>
      <c r="AG580" s="55"/>
      <c r="AH580" s="55"/>
      <c r="AI580" s="55"/>
      <c r="AJ580" s="55"/>
      <c r="AK580" s="55"/>
      <c r="AL580" s="55"/>
      <c r="AM580" s="55"/>
      <c r="AN580" s="55"/>
      <c r="AO580" s="55"/>
      <c r="AP580" s="55"/>
      <c r="AQ580" s="55"/>
      <c r="AR580" s="55"/>
      <c r="AS580" s="55"/>
      <c r="AT580" s="55"/>
      <c r="AU580" s="55"/>
      <c r="AV580" s="55"/>
      <c r="AW580" s="55"/>
      <c r="AX580" s="55"/>
      <c r="AY580" s="55"/>
    </row>
    <row r="581" spans="21:51">
      <c r="U581" s="55"/>
      <c r="V581" s="55"/>
      <c r="W581" s="55"/>
      <c r="X581" s="55"/>
      <c r="Y581" s="55"/>
      <c r="Z581" s="55"/>
      <c r="AA581" s="55"/>
      <c r="AB581" s="55"/>
      <c r="AC581" s="55"/>
      <c r="AD581" s="55"/>
      <c r="AE581" s="55"/>
      <c r="AF581" s="55"/>
      <c r="AG581" s="55"/>
      <c r="AH581" s="55"/>
      <c r="AI581" s="55"/>
      <c r="AJ581" s="55"/>
      <c r="AK581" s="55"/>
      <c r="AL581" s="55"/>
      <c r="AM581" s="55"/>
      <c r="AN581" s="55"/>
      <c r="AO581" s="55"/>
      <c r="AP581" s="55"/>
      <c r="AQ581" s="55"/>
      <c r="AR581" s="55"/>
      <c r="AS581" s="55"/>
      <c r="AT581" s="55"/>
      <c r="AU581" s="55"/>
      <c r="AV581" s="55"/>
      <c r="AW581" s="55"/>
      <c r="AX581" s="55"/>
      <c r="AY581" s="55"/>
    </row>
    <row r="582" spans="21:51">
      <c r="U582" s="55"/>
      <c r="V582" s="55"/>
      <c r="W582" s="55"/>
      <c r="X582" s="55"/>
      <c r="Y582" s="55"/>
      <c r="Z582" s="55"/>
      <c r="AA582" s="55"/>
      <c r="AB582" s="55"/>
      <c r="AC582" s="55"/>
      <c r="AD582" s="55"/>
      <c r="AE582" s="55"/>
      <c r="AF582" s="55"/>
      <c r="AG582" s="55"/>
      <c r="AH582" s="55"/>
      <c r="AI582" s="55"/>
      <c r="AJ582" s="55"/>
      <c r="AK582" s="55"/>
      <c r="AL582" s="55"/>
      <c r="AM582" s="55"/>
      <c r="AN582" s="55"/>
      <c r="AO582" s="55"/>
      <c r="AP582" s="55"/>
      <c r="AQ582" s="55"/>
      <c r="AR582" s="55"/>
      <c r="AS582" s="55"/>
      <c r="AT582" s="55"/>
      <c r="AU582" s="55"/>
      <c r="AV582" s="55"/>
      <c r="AW582" s="55"/>
      <c r="AX582" s="55"/>
      <c r="AY582" s="55"/>
    </row>
    <row r="583" spans="21:51">
      <c r="U583" s="55"/>
      <c r="V583" s="55"/>
      <c r="W583" s="55"/>
      <c r="X583" s="55"/>
      <c r="Y583" s="55"/>
      <c r="Z583" s="55"/>
      <c r="AA583" s="55"/>
      <c r="AB583" s="55"/>
      <c r="AC583" s="55"/>
      <c r="AD583" s="55"/>
      <c r="AE583" s="55"/>
      <c r="AF583" s="55"/>
      <c r="AG583" s="55"/>
      <c r="AH583" s="55"/>
      <c r="AI583" s="55"/>
      <c r="AJ583" s="55"/>
      <c r="AK583" s="55"/>
      <c r="AL583" s="55"/>
      <c r="AM583" s="55"/>
      <c r="AN583" s="55"/>
      <c r="AO583" s="55"/>
      <c r="AP583" s="55"/>
      <c r="AQ583" s="55"/>
      <c r="AR583" s="55"/>
      <c r="AS583" s="55"/>
      <c r="AT583" s="55"/>
      <c r="AU583" s="55"/>
      <c r="AV583" s="55"/>
      <c r="AW583" s="55"/>
      <c r="AX583" s="55"/>
      <c r="AY583" s="55"/>
    </row>
    <row r="584" spans="21:51">
      <c r="U584" s="55"/>
      <c r="V584" s="55"/>
      <c r="W584" s="55"/>
      <c r="X584" s="55"/>
      <c r="Y584" s="55"/>
      <c r="Z584" s="55"/>
      <c r="AA584" s="55"/>
      <c r="AB584" s="55"/>
      <c r="AC584" s="55"/>
      <c r="AD584" s="55"/>
      <c r="AE584" s="55"/>
      <c r="AF584" s="55"/>
      <c r="AG584" s="55"/>
      <c r="AH584" s="55"/>
      <c r="AI584" s="55"/>
      <c r="AJ584" s="55"/>
      <c r="AK584" s="55"/>
      <c r="AL584" s="55"/>
      <c r="AM584" s="55"/>
      <c r="AN584" s="55"/>
      <c r="AO584" s="55"/>
      <c r="AP584" s="55"/>
      <c r="AQ584" s="55"/>
      <c r="AR584" s="55"/>
      <c r="AS584" s="55"/>
      <c r="AT584" s="55"/>
      <c r="AU584" s="55"/>
      <c r="AV584" s="55"/>
      <c r="AW584" s="55"/>
      <c r="AX584" s="55"/>
      <c r="AY584" s="55"/>
    </row>
    <row r="585" spans="21:51">
      <c r="U585" s="55"/>
      <c r="V585" s="55"/>
      <c r="W585" s="55"/>
      <c r="X585" s="55"/>
      <c r="Y585" s="55"/>
      <c r="Z585" s="55"/>
      <c r="AA585" s="55"/>
      <c r="AB585" s="55"/>
      <c r="AC585" s="55"/>
      <c r="AD585" s="55"/>
      <c r="AE585" s="55"/>
      <c r="AF585" s="55"/>
      <c r="AG585" s="55"/>
      <c r="AH585" s="55"/>
      <c r="AI585" s="55"/>
      <c r="AJ585" s="55"/>
      <c r="AK585" s="55"/>
      <c r="AL585" s="55"/>
      <c r="AM585" s="55"/>
      <c r="AN585" s="55"/>
      <c r="AO585" s="55"/>
      <c r="AP585" s="55"/>
      <c r="AQ585" s="55"/>
      <c r="AR585" s="55"/>
      <c r="AS585" s="55"/>
      <c r="AT585" s="55"/>
      <c r="AU585" s="55"/>
      <c r="AV585" s="55"/>
      <c r="AW585" s="55"/>
      <c r="AX585" s="55"/>
      <c r="AY585" s="55"/>
    </row>
    <row r="586" spans="21:51">
      <c r="U586" s="55"/>
      <c r="V586" s="55"/>
      <c r="W586" s="55"/>
      <c r="X586" s="55"/>
      <c r="Y586" s="55"/>
      <c r="Z586" s="55"/>
      <c r="AA586" s="55"/>
      <c r="AB586" s="55"/>
      <c r="AC586" s="55"/>
      <c r="AD586" s="55"/>
      <c r="AE586" s="55"/>
      <c r="AF586" s="55"/>
      <c r="AG586" s="55"/>
      <c r="AH586" s="55"/>
      <c r="AI586" s="55"/>
      <c r="AJ586" s="55"/>
      <c r="AK586" s="55"/>
      <c r="AL586" s="55"/>
      <c r="AM586" s="55"/>
      <c r="AN586" s="55"/>
      <c r="AO586" s="55"/>
      <c r="AP586" s="55"/>
      <c r="AQ586" s="55"/>
      <c r="AR586" s="55"/>
      <c r="AS586" s="55"/>
      <c r="AT586" s="55"/>
      <c r="AU586" s="55"/>
      <c r="AV586" s="55"/>
      <c r="AW586" s="55"/>
      <c r="AX586" s="55"/>
      <c r="AY586" s="55"/>
    </row>
    <row r="587" spans="21:51">
      <c r="U587" s="55"/>
      <c r="V587" s="55"/>
      <c r="W587" s="55"/>
      <c r="X587" s="55"/>
      <c r="Y587" s="55"/>
      <c r="Z587" s="55"/>
      <c r="AA587" s="55"/>
      <c r="AB587" s="55"/>
      <c r="AC587" s="55"/>
      <c r="AD587" s="55"/>
      <c r="AE587" s="55"/>
      <c r="AF587" s="55"/>
      <c r="AG587" s="55"/>
      <c r="AH587" s="55"/>
      <c r="AI587" s="55"/>
      <c r="AJ587" s="55"/>
      <c r="AK587" s="55"/>
      <c r="AL587" s="55"/>
      <c r="AM587" s="55"/>
      <c r="AN587" s="55"/>
      <c r="AO587" s="55"/>
      <c r="AP587" s="55"/>
      <c r="AQ587" s="55"/>
      <c r="AR587" s="55"/>
      <c r="AS587" s="55"/>
      <c r="AT587" s="55"/>
      <c r="AU587" s="55"/>
      <c r="AV587" s="55"/>
      <c r="AW587" s="55"/>
      <c r="AX587" s="55"/>
      <c r="AY587" s="55"/>
    </row>
    <row r="588" spans="21:51">
      <c r="U588" s="55"/>
      <c r="V588" s="55"/>
      <c r="W588" s="55"/>
      <c r="X588" s="55"/>
      <c r="Y588" s="55"/>
      <c r="Z588" s="55"/>
      <c r="AA588" s="55"/>
      <c r="AB588" s="55"/>
      <c r="AC588" s="55"/>
      <c r="AD588" s="55"/>
      <c r="AE588" s="55"/>
      <c r="AF588" s="55"/>
      <c r="AG588" s="55"/>
      <c r="AH588" s="55"/>
      <c r="AI588" s="55"/>
      <c r="AJ588" s="55"/>
      <c r="AK588" s="55"/>
      <c r="AL588" s="55"/>
      <c r="AM588" s="55"/>
      <c r="AN588" s="55"/>
      <c r="AO588" s="55"/>
      <c r="AP588" s="55"/>
      <c r="AQ588" s="55"/>
      <c r="AR588" s="55"/>
      <c r="AS588" s="55"/>
      <c r="AT588" s="55"/>
      <c r="AU588" s="55"/>
      <c r="AV588" s="55"/>
      <c r="AW588" s="55"/>
      <c r="AX588" s="55"/>
      <c r="AY588" s="55"/>
    </row>
    <row r="589" spans="21:51">
      <c r="U589" s="55"/>
      <c r="V589" s="55"/>
      <c r="W589" s="55"/>
      <c r="X589" s="55"/>
      <c r="Y589" s="55"/>
      <c r="Z589" s="55"/>
      <c r="AA589" s="55"/>
      <c r="AB589" s="55"/>
      <c r="AC589" s="55"/>
      <c r="AD589" s="55"/>
      <c r="AE589" s="55"/>
      <c r="AF589" s="55"/>
      <c r="AG589" s="55"/>
      <c r="AH589" s="55"/>
      <c r="AI589" s="55"/>
      <c r="AJ589" s="55"/>
      <c r="AK589" s="55"/>
      <c r="AL589" s="55"/>
      <c r="AM589" s="55"/>
      <c r="AN589" s="55"/>
      <c r="AO589" s="55"/>
      <c r="AP589" s="55"/>
      <c r="AQ589" s="55"/>
      <c r="AR589" s="55"/>
      <c r="AS589" s="55"/>
      <c r="AT589" s="55"/>
      <c r="AU589" s="55"/>
      <c r="AV589" s="55"/>
      <c r="AW589" s="55"/>
      <c r="AX589" s="55"/>
      <c r="AY589" s="55"/>
    </row>
    <row r="590" spans="21:51">
      <c r="U590" s="55"/>
      <c r="V590" s="55"/>
      <c r="W590" s="55"/>
      <c r="X590" s="55"/>
      <c r="Y590" s="55"/>
      <c r="Z590" s="55"/>
      <c r="AA590" s="55"/>
      <c r="AB590" s="55"/>
      <c r="AC590" s="55"/>
      <c r="AD590" s="55"/>
      <c r="AE590" s="55"/>
      <c r="AF590" s="55"/>
      <c r="AG590" s="55"/>
      <c r="AH590" s="55"/>
      <c r="AI590" s="55"/>
      <c r="AJ590" s="55"/>
      <c r="AK590" s="55"/>
      <c r="AL590" s="55"/>
      <c r="AM590" s="55"/>
      <c r="AN590" s="55"/>
      <c r="AO590" s="55"/>
      <c r="AP590" s="55"/>
      <c r="AQ590" s="55"/>
      <c r="AR590" s="55"/>
      <c r="AS590" s="55"/>
      <c r="AT590" s="55"/>
      <c r="AU590" s="55"/>
      <c r="AV590" s="55"/>
      <c r="AW590" s="55"/>
      <c r="AX590" s="55"/>
      <c r="AY590" s="55"/>
    </row>
    <row r="591" spans="21:51">
      <c r="U591" s="55"/>
      <c r="V591" s="55"/>
      <c r="W591" s="55"/>
      <c r="X591" s="55"/>
      <c r="Y591" s="55"/>
      <c r="Z591" s="55"/>
      <c r="AA591" s="55"/>
      <c r="AB591" s="55"/>
      <c r="AC591" s="55"/>
      <c r="AD591" s="55"/>
      <c r="AE591" s="55"/>
      <c r="AF591" s="55"/>
      <c r="AG591" s="55"/>
      <c r="AH591" s="55"/>
      <c r="AI591" s="55"/>
      <c r="AJ591" s="55"/>
      <c r="AK591" s="55"/>
      <c r="AL591" s="55"/>
      <c r="AM591" s="55"/>
      <c r="AN591" s="55"/>
      <c r="AO591" s="55"/>
      <c r="AP591" s="55"/>
      <c r="AQ591" s="55"/>
      <c r="AR591" s="55"/>
      <c r="AS591" s="55"/>
      <c r="AT591" s="55"/>
      <c r="AU591" s="55"/>
      <c r="AV591" s="55"/>
      <c r="AW591" s="55"/>
      <c r="AX591" s="55"/>
      <c r="AY591" s="55"/>
    </row>
    <row r="592" spans="21:51">
      <c r="U592" s="55"/>
      <c r="V592" s="55"/>
      <c r="W592" s="55"/>
      <c r="X592" s="55"/>
      <c r="Y592" s="55"/>
      <c r="Z592" s="55"/>
      <c r="AA592" s="55"/>
      <c r="AB592" s="55"/>
      <c r="AC592" s="55"/>
      <c r="AD592" s="55"/>
      <c r="AE592" s="55"/>
      <c r="AF592" s="55"/>
      <c r="AG592" s="55"/>
      <c r="AH592" s="55"/>
      <c r="AI592" s="55"/>
      <c r="AJ592" s="55"/>
      <c r="AK592" s="55"/>
      <c r="AL592" s="55"/>
      <c r="AM592" s="55"/>
      <c r="AN592" s="55"/>
      <c r="AO592" s="55"/>
      <c r="AP592" s="55"/>
      <c r="AQ592" s="55"/>
      <c r="AR592" s="55"/>
      <c r="AS592" s="55"/>
      <c r="AT592" s="55"/>
      <c r="AU592" s="55"/>
      <c r="AV592" s="55"/>
      <c r="AW592" s="55"/>
      <c r="AX592" s="55"/>
      <c r="AY592" s="55"/>
    </row>
    <row r="593" spans="21:51">
      <c r="U593" s="55"/>
      <c r="V593" s="55"/>
      <c r="W593" s="55"/>
      <c r="X593" s="55"/>
      <c r="Y593" s="55"/>
      <c r="Z593" s="55"/>
      <c r="AA593" s="55"/>
      <c r="AB593" s="55"/>
      <c r="AC593" s="55"/>
      <c r="AD593" s="55"/>
      <c r="AE593" s="55"/>
      <c r="AF593" s="55"/>
      <c r="AG593" s="55"/>
      <c r="AH593" s="55"/>
      <c r="AI593" s="55"/>
      <c r="AJ593" s="55"/>
      <c r="AK593" s="55"/>
      <c r="AL593" s="55"/>
      <c r="AM593" s="55"/>
      <c r="AN593" s="55"/>
      <c r="AO593" s="55"/>
      <c r="AP593" s="55"/>
      <c r="AQ593" s="55"/>
      <c r="AR593" s="55"/>
      <c r="AS593" s="55"/>
      <c r="AT593" s="55"/>
      <c r="AU593" s="55"/>
      <c r="AV593" s="55"/>
      <c r="AW593" s="55"/>
      <c r="AX593" s="55"/>
      <c r="AY593" s="55"/>
    </row>
    <row r="594" spans="21:51">
      <c r="U594" s="55"/>
      <c r="V594" s="55"/>
      <c r="W594" s="55"/>
      <c r="X594" s="55"/>
      <c r="Y594" s="55"/>
      <c r="Z594" s="55"/>
      <c r="AA594" s="55"/>
      <c r="AB594" s="55"/>
      <c r="AC594" s="55"/>
      <c r="AD594" s="55"/>
      <c r="AE594" s="55"/>
      <c r="AF594" s="55"/>
      <c r="AG594" s="55"/>
      <c r="AH594" s="55"/>
      <c r="AI594" s="55"/>
      <c r="AJ594" s="55"/>
      <c r="AK594" s="55"/>
      <c r="AL594" s="55"/>
      <c r="AM594" s="55"/>
      <c r="AN594" s="55"/>
      <c r="AO594" s="55"/>
      <c r="AP594" s="55"/>
      <c r="AQ594" s="55"/>
      <c r="AR594" s="55"/>
      <c r="AS594" s="55"/>
      <c r="AT594" s="55"/>
      <c r="AU594" s="55"/>
      <c r="AV594" s="55"/>
      <c r="AW594" s="55"/>
      <c r="AX594" s="55"/>
      <c r="AY594" s="55"/>
    </row>
    <row r="595" spans="21:51">
      <c r="U595" s="55"/>
      <c r="V595" s="55"/>
      <c r="W595" s="55"/>
      <c r="X595" s="55"/>
      <c r="Y595" s="55"/>
      <c r="Z595" s="55"/>
      <c r="AA595" s="55"/>
      <c r="AB595" s="55"/>
      <c r="AC595" s="55"/>
      <c r="AD595" s="55"/>
      <c r="AE595" s="55"/>
      <c r="AF595" s="55"/>
      <c r="AG595" s="55"/>
      <c r="AH595" s="55"/>
      <c r="AI595" s="55"/>
      <c r="AJ595" s="55"/>
      <c r="AK595" s="55"/>
      <c r="AL595" s="55"/>
      <c r="AM595" s="55"/>
      <c r="AN595" s="55"/>
      <c r="AO595" s="55"/>
      <c r="AP595" s="55"/>
      <c r="AQ595" s="55"/>
      <c r="AR595" s="55"/>
      <c r="AS595" s="55"/>
      <c r="AT595" s="55"/>
      <c r="AU595" s="55"/>
      <c r="AV595" s="55"/>
      <c r="AW595" s="55"/>
      <c r="AX595" s="55"/>
      <c r="AY595" s="55"/>
    </row>
    <row r="596" spans="21:51">
      <c r="U596" s="55"/>
      <c r="V596" s="55"/>
      <c r="W596" s="55"/>
      <c r="X596" s="55"/>
      <c r="Y596" s="55"/>
      <c r="Z596" s="55"/>
      <c r="AA596" s="55"/>
      <c r="AB596" s="55"/>
      <c r="AC596" s="55"/>
      <c r="AD596" s="55"/>
      <c r="AE596" s="55"/>
      <c r="AF596" s="55"/>
      <c r="AG596" s="55"/>
      <c r="AH596" s="55"/>
      <c r="AI596" s="55"/>
      <c r="AJ596" s="55"/>
      <c r="AK596" s="55"/>
      <c r="AL596" s="55"/>
      <c r="AM596" s="55"/>
      <c r="AN596" s="55"/>
      <c r="AO596" s="55"/>
      <c r="AP596" s="55"/>
      <c r="AQ596" s="55"/>
      <c r="AR596" s="55"/>
      <c r="AS596" s="55"/>
      <c r="AT596" s="55"/>
      <c r="AU596" s="55"/>
      <c r="AV596" s="55"/>
      <c r="AW596" s="55"/>
      <c r="AX596" s="55"/>
      <c r="AY596" s="55"/>
    </row>
    <row r="597" spans="21:51">
      <c r="U597" s="55"/>
      <c r="V597" s="55"/>
      <c r="W597" s="55"/>
      <c r="X597" s="55"/>
      <c r="Y597" s="55"/>
      <c r="Z597" s="55"/>
      <c r="AA597" s="55"/>
      <c r="AB597" s="55"/>
      <c r="AC597" s="55"/>
      <c r="AD597" s="55"/>
      <c r="AE597" s="55"/>
      <c r="AF597" s="55"/>
      <c r="AG597" s="55"/>
      <c r="AH597" s="55"/>
      <c r="AI597" s="55"/>
      <c r="AJ597" s="55"/>
      <c r="AK597" s="55"/>
      <c r="AL597" s="55"/>
      <c r="AM597" s="55"/>
      <c r="AN597" s="55"/>
      <c r="AO597" s="55"/>
      <c r="AP597" s="55"/>
      <c r="AQ597" s="55"/>
      <c r="AR597" s="55"/>
      <c r="AS597" s="55"/>
      <c r="AT597" s="55"/>
      <c r="AU597" s="55"/>
      <c r="AV597" s="55"/>
      <c r="AW597" s="55"/>
      <c r="AX597" s="55"/>
      <c r="AY597" s="55"/>
    </row>
    <row r="598" spans="21:51">
      <c r="U598" s="55"/>
      <c r="V598" s="55"/>
      <c r="W598" s="55"/>
      <c r="X598" s="55"/>
      <c r="Y598" s="55"/>
      <c r="Z598" s="55"/>
      <c r="AA598" s="55"/>
      <c r="AB598" s="55"/>
      <c r="AC598" s="55"/>
      <c r="AD598" s="55"/>
      <c r="AE598" s="55"/>
      <c r="AF598" s="55"/>
      <c r="AG598" s="55"/>
      <c r="AH598" s="55"/>
      <c r="AI598" s="55"/>
      <c r="AJ598" s="55"/>
      <c r="AK598" s="55"/>
      <c r="AL598" s="55"/>
      <c r="AM598" s="55"/>
      <c r="AN598" s="55"/>
      <c r="AO598" s="55"/>
      <c r="AP598" s="55"/>
      <c r="AQ598" s="55"/>
      <c r="AR598" s="55"/>
      <c r="AS598" s="55"/>
      <c r="AT598" s="55"/>
      <c r="AU598" s="55"/>
      <c r="AV598" s="55"/>
      <c r="AW598" s="55"/>
      <c r="AX598" s="55"/>
      <c r="AY598" s="55"/>
    </row>
    <row r="599" spans="21:51">
      <c r="U599" s="55"/>
      <c r="V599" s="55"/>
      <c r="W599" s="55"/>
      <c r="X599" s="55"/>
      <c r="Y599" s="55"/>
      <c r="Z599" s="55"/>
      <c r="AA599" s="55"/>
      <c r="AB599" s="55"/>
      <c r="AC599" s="55"/>
      <c r="AD599" s="55"/>
      <c r="AE599" s="55"/>
      <c r="AF599" s="55"/>
      <c r="AG599" s="55"/>
      <c r="AH599" s="55"/>
      <c r="AI599" s="55"/>
      <c r="AJ599" s="55"/>
      <c r="AK599" s="55"/>
      <c r="AL599" s="55"/>
      <c r="AM599" s="55"/>
      <c r="AN599" s="55"/>
      <c r="AO599" s="55"/>
      <c r="AP599" s="55"/>
      <c r="AQ599" s="55"/>
      <c r="AR599" s="55"/>
      <c r="AS599" s="55"/>
      <c r="AT599" s="55"/>
      <c r="AU599" s="55"/>
      <c r="AV599" s="55"/>
      <c r="AW599" s="55"/>
      <c r="AX599" s="55"/>
      <c r="AY599" s="55"/>
    </row>
    <row r="600" spans="21:51">
      <c r="U600" s="55"/>
      <c r="V600" s="55"/>
      <c r="W600" s="55"/>
      <c r="X600" s="55"/>
      <c r="Y600" s="55"/>
      <c r="Z600" s="55"/>
      <c r="AA600" s="55"/>
      <c r="AB600" s="55"/>
      <c r="AC600" s="55"/>
      <c r="AD600" s="55"/>
      <c r="AE600" s="55"/>
      <c r="AF600" s="55"/>
      <c r="AG600" s="55"/>
      <c r="AH600" s="55"/>
      <c r="AI600" s="55"/>
      <c r="AJ600" s="55"/>
      <c r="AK600" s="55"/>
      <c r="AL600" s="55"/>
      <c r="AM600" s="55"/>
      <c r="AN600" s="55"/>
      <c r="AO600" s="55"/>
      <c r="AP600" s="55"/>
      <c r="AQ600" s="55"/>
      <c r="AR600" s="55"/>
      <c r="AS600" s="55"/>
      <c r="AT600" s="55"/>
      <c r="AU600" s="55"/>
      <c r="AV600" s="55"/>
      <c r="AW600" s="55"/>
      <c r="AX600" s="55"/>
      <c r="AY600" s="55"/>
    </row>
    <row r="601" spans="21:51">
      <c r="U601" s="55"/>
      <c r="V601" s="55"/>
      <c r="W601" s="55"/>
      <c r="X601" s="55"/>
      <c r="Y601" s="55"/>
      <c r="Z601" s="55"/>
      <c r="AA601" s="55"/>
      <c r="AB601" s="55"/>
      <c r="AC601" s="55"/>
      <c r="AD601" s="55"/>
      <c r="AE601" s="55"/>
      <c r="AF601" s="55"/>
      <c r="AG601" s="55"/>
      <c r="AH601" s="55"/>
      <c r="AI601" s="55"/>
      <c r="AJ601" s="55"/>
      <c r="AK601" s="55"/>
      <c r="AL601" s="55"/>
      <c r="AM601" s="55"/>
      <c r="AN601" s="55"/>
      <c r="AO601" s="55"/>
      <c r="AP601" s="55"/>
      <c r="AQ601" s="55"/>
      <c r="AR601" s="55"/>
      <c r="AS601" s="55"/>
      <c r="AT601" s="55"/>
      <c r="AU601" s="55"/>
      <c r="AV601" s="55"/>
      <c r="AW601" s="55"/>
      <c r="AX601" s="55"/>
      <c r="AY601" s="55"/>
    </row>
    <row r="602" spans="21:51">
      <c r="U602" s="55"/>
      <c r="V602" s="55"/>
      <c r="W602" s="55"/>
      <c r="X602" s="55"/>
      <c r="Y602" s="55"/>
      <c r="Z602" s="55"/>
      <c r="AA602" s="55"/>
      <c r="AB602" s="55"/>
      <c r="AC602" s="55"/>
      <c r="AD602" s="55"/>
      <c r="AE602" s="55"/>
      <c r="AF602" s="55"/>
      <c r="AG602" s="55"/>
      <c r="AH602" s="55"/>
      <c r="AI602" s="55"/>
      <c r="AJ602" s="55"/>
      <c r="AK602" s="55"/>
      <c r="AL602" s="55"/>
      <c r="AM602" s="55"/>
      <c r="AN602" s="55"/>
      <c r="AO602" s="55"/>
      <c r="AP602" s="55"/>
      <c r="AQ602" s="55"/>
      <c r="AR602" s="55"/>
      <c r="AS602" s="55"/>
      <c r="AT602" s="55"/>
      <c r="AU602" s="55"/>
      <c r="AV602" s="55"/>
      <c r="AW602" s="55"/>
      <c r="AX602" s="55"/>
      <c r="AY602" s="55"/>
    </row>
    <row r="603" spans="21:51">
      <c r="U603" s="55"/>
      <c r="V603" s="55"/>
      <c r="W603" s="55"/>
      <c r="X603" s="55"/>
      <c r="Y603" s="55"/>
      <c r="Z603" s="55"/>
      <c r="AA603" s="55"/>
      <c r="AB603" s="55"/>
      <c r="AC603" s="55"/>
      <c r="AD603" s="55"/>
      <c r="AE603" s="55"/>
      <c r="AF603" s="55"/>
      <c r="AG603" s="55"/>
      <c r="AH603" s="55"/>
      <c r="AI603" s="55"/>
      <c r="AJ603" s="55"/>
      <c r="AK603" s="55"/>
      <c r="AL603" s="55"/>
      <c r="AM603" s="55"/>
      <c r="AN603" s="55"/>
      <c r="AO603" s="55"/>
      <c r="AP603" s="55"/>
      <c r="AQ603" s="55"/>
      <c r="AR603" s="55"/>
      <c r="AS603" s="55"/>
      <c r="AT603" s="55"/>
      <c r="AU603" s="55"/>
      <c r="AV603" s="55"/>
      <c r="AW603" s="55"/>
      <c r="AX603" s="55"/>
      <c r="AY603" s="55"/>
    </row>
    <row r="604" spans="21:51">
      <c r="U604" s="55"/>
      <c r="V604" s="55"/>
      <c r="W604" s="55"/>
      <c r="X604" s="55"/>
      <c r="Y604" s="55"/>
      <c r="Z604" s="55"/>
      <c r="AA604" s="55"/>
      <c r="AB604" s="55"/>
      <c r="AC604" s="55"/>
      <c r="AD604" s="55"/>
      <c r="AE604" s="55"/>
      <c r="AF604" s="55"/>
      <c r="AG604" s="55"/>
      <c r="AH604" s="55"/>
      <c r="AI604" s="55"/>
      <c r="AJ604" s="55"/>
      <c r="AK604" s="55"/>
      <c r="AL604" s="55"/>
      <c r="AM604" s="55"/>
      <c r="AN604" s="55"/>
      <c r="AO604" s="55"/>
      <c r="AP604" s="55"/>
      <c r="AQ604" s="55"/>
      <c r="AR604" s="55"/>
      <c r="AS604" s="55"/>
      <c r="AT604" s="55"/>
      <c r="AU604" s="55"/>
      <c r="AV604" s="55"/>
      <c r="AW604" s="55"/>
      <c r="AX604" s="55"/>
      <c r="AY604" s="55"/>
    </row>
    <row r="605" spans="21:51">
      <c r="U605" s="55"/>
      <c r="V605" s="55"/>
      <c r="W605" s="55"/>
      <c r="X605" s="55"/>
      <c r="Y605" s="55"/>
      <c r="Z605" s="55"/>
      <c r="AA605" s="55"/>
      <c r="AB605" s="55"/>
      <c r="AC605" s="55"/>
      <c r="AD605" s="55"/>
      <c r="AE605" s="55"/>
      <c r="AF605" s="55"/>
      <c r="AG605" s="55"/>
      <c r="AH605" s="55"/>
      <c r="AI605" s="55"/>
      <c r="AJ605" s="55"/>
      <c r="AK605" s="55"/>
      <c r="AL605" s="55"/>
      <c r="AM605" s="55"/>
      <c r="AN605" s="55"/>
      <c r="AO605" s="55"/>
      <c r="AP605" s="55"/>
      <c r="AQ605" s="55"/>
      <c r="AR605" s="55"/>
      <c r="AS605" s="55"/>
      <c r="AT605" s="55"/>
      <c r="AU605" s="55"/>
      <c r="AV605" s="55"/>
      <c r="AW605" s="55"/>
      <c r="AX605" s="55"/>
      <c r="AY605" s="55"/>
    </row>
    <row r="606" spans="21:51">
      <c r="U606" s="55"/>
      <c r="V606" s="55"/>
      <c r="W606" s="55"/>
      <c r="X606" s="55"/>
      <c r="Y606" s="55"/>
      <c r="Z606" s="55"/>
      <c r="AA606" s="55"/>
      <c r="AB606" s="55"/>
      <c r="AC606" s="55"/>
      <c r="AD606" s="55"/>
      <c r="AE606" s="55"/>
      <c r="AF606" s="55"/>
      <c r="AG606" s="55"/>
      <c r="AH606" s="55"/>
      <c r="AI606" s="55"/>
      <c r="AJ606" s="55"/>
      <c r="AK606" s="55"/>
      <c r="AL606" s="55"/>
      <c r="AM606" s="55"/>
      <c r="AN606" s="55"/>
      <c r="AO606" s="55"/>
      <c r="AP606" s="55"/>
      <c r="AQ606" s="55"/>
      <c r="AR606" s="55"/>
      <c r="AS606" s="55"/>
      <c r="AT606" s="55"/>
      <c r="AU606" s="55"/>
      <c r="AV606" s="55"/>
      <c r="AW606" s="55"/>
      <c r="AX606" s="55"/>
      <c r="AY606" s="55"/>
    </row>
    <row r="607" spans="21:51">
      <c r="U607" s="55"/>
      <c r="V607" s="55"/>
      <c r="W607" s="55"/>
      <c r="X607" s="55"/>
      <c r="Y607" s="55"/>
      <c r="Z607" s="55"/>
      <c r="AA607" s="55"/>
      <c r="AB607" s="55"/>
      <c r="AC607" s="55"/>
      <c r="AD607" s="55"/>
      <c r="AE607" s="55"/>
      <c r="AF607" s="55"/>
      <c r="AG607" s="55"/>
      <c r="AH607" s="55"/>
      <c r="AI607" s="55"/>
      <c r="AJ607" s="55"/>
      <c r="AK607" s="55"/>
      <c r="AL607" s="55"/>
      <c r="AM607" s="55"/>
      <c r="AN607" s="55"/>
      <c r="AO607" s="55"/>
      <c r="AP607" s="55"/>
      <c r="AQ607" s="55"/>
      <c r="AR607" s="55"/>
      <c r="AS607" s="55"/>
      <c r="AT607" s="55"/>
      <c r="AU607" s="55"/>
      <c r="AV607" s="55"/>
      <c r="AW607" s="55"/>
      <c r="AX607" s="55"/>
      <c r="AY607" s="55"/>
    </row>
    <row r="608" spans="21:51">
      <c r="U608" s="55"/>
      <c r="V608" s="55"/>
      <c r="W608" s="55"/>
      <c r="X608" s="55"/>
      <c r="Y608" s="55"/>
      <c r="Z608" s="55"/>
      <c r="AA608" s="55"/>
      <c r="AB608" s="55"/>
      <c r="AC608" s="55"/>
      <c r="AD608" s="55"/>
      <c r="AE608" s="55"/>
      <c r="AF608" s="55"/>
      <c r="AG608" s="55"/>
      <c r="AH608" s="55"/>
      <c r="AI608" s="55"/>
      <c r="AJ608" s="55"/>
      <c r="AK608" s="55"/>
      <c r="AL608" s="55"/>
      <c r="AM608" s="55"/>
      <c r="AN608" s="55"/>
      <c r="AO608" s="55"/>
      <c r="AP608" s="55"/>
      <c r="AQ608" s="55"/>
      <c r="AR608" s="55"/>
      <c r="AS608" s="55"/>
      <c r="AT608" s="55"/>
      <c r="AU608" s="55"/>
      <c r="AV608" s="55"/>
      <c r="AW608" s="55"/>
      <c r="AX608" s="55"/>
      <c r="AY608" s="55"/>
    </row>
    <row r="609" spans="21:51">
      <c r="U609" s="55"/>
      <c r="V609" s="55"/>
      <c r="W609" s="55"/>
      <c r="X609" s="55"/>
      <c r="Y609" s="55"/>
      <c r="Z609" s="55"/>
      <c r="AA609" s="55"/>
      <c r="AB609" s="55"/>
      <c r="AC609" s="55"/>
      <c r="AD609" s="55"/>
      <c r="AE609" s="55"/>
      <c r="AF609" s="55"/>
      <c r="AG609" s="55"/>
      <c r="AH609" s="55"/>
      <c r="AI609" s="55"/>
      <c r="AJ609" s="55"/>
      <c r="AK609" s="55"/>
      <c r="AL609" s="55"/>
      <c r="AM609" s="55"/>
      <c r="AN609" s="55"/>
      <c r="AO609" s="55"/>
      <c r="AP609" s="55"/>
      <c r="AQ609" s="55"/>
      <c r="AR609" s="55"/>
      <c r="AS609" s="55"/>
      <c r="AT609" s="55"/>
      <c r="AU609" s="55"/>
      <c r="AV609" s="55"/>
      <c r="AW609" s="55"/>
      <c r="AX609" s="55"/>
      <c r="AY609" s="55"/>
    </row>
    <row r="610" spans="21:51">
      <c r="U610" s="55"/>
      <c r="V610" s="55"/>
      <c r="W610" s="55"/>
      <c r="X610" s="55"/>
      <c r="Y610" s="55"/>
      <c r="Z610" s="55"/>
      <c r="AA610" s="55"/>
      <c r="AB610" s="55"/>
      <c r="AC610" s="55"/>
      <c r="AD610" s="55"/>
      <c r="AE610" s="55"/>
      <c r="AF610" s="55"/>
      <c r="AG610" s="55"/>
      <c r="AH610" s="55"/>
      <c r="AI610" s="55"/>
      <c r="AJ610" s="55"/>
      <c r="AK610" s="55"/>
      <c r="AL610" s="55"/>
      <c r="AM610" s="55"/>
      <c r="AN610" s="55"/>
      <c r="AO610" s="55"/>
      <c r="AP610" s="55"/>
      <c r="AQ610" s="55"/>
      <c r="AR610" s="55"/>
      <c r="AS610" s="55"/>
      <c r="AT610" s="55"/>
      <c r="AU610" s="55"/>
      <c r="AV610" s="55"/>
      <c r="AW610" s="55"/>
      <c r="AX610" s="55"/>
      <c r="AY610" s="55"/>
    </row>
    <row r="611" spans="21:51">
      <c r="U611" s="55"/>
      <c r="V611" s="55"/>
      <c r="W611" s="55"/>
      <c r="X611" s="55"/>
      <c r="Y611" s="55"/>
      <c r="Z611" s="55"/>
      <c r="AA611" s="55"/>
      <c r="AB611" s="55"/>
      <c r="AC611" s="55"/>
      <c r="AD611" s="55"/>
      <c r="AE611" s="55"/>
      <c r="AF611" s="55"/>
      <c r="AG611" s="55"/>
      <c r="AH611" s="55"/>
      <c r="AI611" s="55"/>
      <c r="AJ611" s="55"/>
      <c r="AK611" s="55"/>
      <c r="AL611" s="55"/>
      <c r="AM611" s="55"/>
      <c r="AN611" s="55"/>
      <c r="AO611" s="55"/>
      <c r="AP611" s="55"/>
      <c r="AQ611" s="55"/>
      <c r="AR611" s="55"/>
      <c r="AS611" s="55"/>
      <c r="AT611" s="55"/>
      <c r="AU611" s="55"/>
      <c r="AV611" s="55"/>
      <c r="AW611" s="55"/>
      <c r="AX611" s="55"/>
      <c r="AY611" s="55"/>
    </row>
    <row r="612" spans="21:51">
      <c r="U612" s="55"/>
      <c r="V612" s="55"/>
      <c r="W612" s="55"/>
      <c r="X612" s="55"/>
      <c r="Y612" s="55"/>
      <c r="Z612" s="55"/>
      <c r="AA612" s="55"/>
      <c r="AB612" s="55"/>
      <c r="AC612" s="55"/>
      <c r="AD612" s="55"/>
      <c r="AE612" s="55"/>
      <c r="AF612" s="55"/>
      <c r="AG612" s="55"/>
      <c r="AH612" s="55"/>
      <c r="AI612" s="55"/>
      <c r="AJ612" s="55"/>
      <c r="AK612" s="55"/>
      <c r="AL612" s="55"/>
      <c r="AM612" s="55"/>
      <c r="AN612" s="55"/>
      <c r="AO612" s="55"/>
      <c r="AP612" s="55"/>
      <c r="AQ612" s="55"/>
      <c r="AR612" s="55"/>
      <c r="AS612" s="55"/>
      <c r="AT612" s="55"/>
      <c r="AU612" s="55"/>
      <c r="AV612" s="55"/>
      <c r="AW612" s="55"/>
      <c r="AX612" s="55"/>
      <c r="AY612" s="55"/>
    </row>
    <row r="613" spans="21:51">
      <c r="U613" s="55"/>
      <c r="V613" s="55"/>
      <c r="W613" s="55"/>
      <c r="X613" s="55"/>
      <c r="Y613" s="55"/>
      <c r="Z613" s="55"/>
      <c r="AA613" s="55"/>
      <c r="AB613" s="55"/>
      <c r="AC613" s="55"/>
      <c r="AD613" s="55"/>
      <c r="AE613" s="55"/>
      <c r="AF613" s="55"/>
      <c r="AG613" s="55"/>
      <c r="AH613" s="55"/>
      <c r="AI613" s="55"/>
      <c r="AJ613" s="55"/>
      <c r="AK613" s="55"/>
      <c r="AL613" s="55"/>
      <c r="AM613" s="55"/>
      <c r="AN613" s="55"/>
      <c r="AO613" s="55"/>
      <c r="AP613" s="55"/>
      <c r="AQ613" s="55"/>
      <c r="AR613" s="55"/>
      <c r="AS613" s="55"/>
      <c r="AT613" s="55"/>
      <c r="AU613" s="55"/>
      <c r="AV613" s="55"/>
      <c r="AW613" s="55"/>
      <c r="AX613" s="55"/>
      <c r="AY613" s="55"/>
    </row>
    <row r="614" spans="21:51">
      <c r="U614" s="55"/>
      <c r="V614" s="55"/>
      <c r="W614" s="55"/>
      <c r="X614" s="55"/>
      <c r="Y614" s="55"/>
      <c r="Z614" s="55"/>
      <c r="AA614" s="55"/>
      <c r="AB614" s="55"/>
      <c r="AC614" s="55"/>
      <c r="AD614" s="55"/>
      <c r="AE614" s="55"/>
      <c r="AF614" s="55"/>
      <c r="AG614" s="55"/>
      <c r="AH614" s="55"/>
      <c r="AI614" s="55"/>
      <c r="AJ614" s="55"/>
      <c r="AK614" s="55"/>
      <c r="AL614" s="55"/>
      <c r="AM614" s="55"/>
      <c r="AN614" s="55"/>
      <c r="AO614" s="55"/>
      <c r="AP614" s="55"/>
      <c r="AQ614" s="55"/>
      <c r="AR614" s="55"/>
      <c r="AS614" s="55"/>
      <c r="AT614" s="55"/>
      <c r="AU614" s="55"/>
      <c r="AV614" s="55"/>
      <c r="AW614" s="55"/>
      <c r="AX614" s="55"/>
      <c r="AY614" s="55"/>
    </row>
    <row r="615" spans="21:51">
      <c r="U615" s="55"/>
      <c r="V615" s="55"/>
      <c r="W615" s="55"/>
      <c r="X615" s="55"/>
      <c r="Y615" s="55"/>
      <c r="Z615" s="55"/>
      <c r="AA615" s="55"/>
      <c r="AB615" s="55"/>
      <c r="AC615" s="55"/>
      <c r="AD615" s="55"/>
      <c r="AE615" s="55"/>
      <c r="AF615" s="55"/>
      <c r="AG615" s="55"/>
      <c r="AH615" s="55"/>
      <c r="AI615" s="55"/>
      <c r="AJ615" s="55"/>
      <c r="AK615" s="55"/>
      <c r="AL615" s="55"/>
      <c r="AM615" s="55"/>
      <c r="AN615" s="55"/>
      <c r="AO615" s="55"/>
      <c r="AP615" s="55"/>
      <c r="AQ615" s="55"/>
      <c r="AR615" s="55"/>
      <c r="AS615" s="55"/>
      <c r="AT615" s="55"/>
      <c r="AU615" s="55"/>
      <c r="AV615" s="55"/>
      <c r="AW615" s="55"/>
      <c r="AX615" s="55"/>
      <c r="AY615" s="55"/>
    </row>
    <row r="616" spans="21:51">
      <c r="U616" s="55"/>
      <c r="V616" s="55"/>
      <c r="W616" s="55"/>
      <c r="X616" s="55"/>
      <c r="Y616" s="55"/>
      <c r="Z616" s="55"/>
      <c r="AA616" s="55"/>
      <c r="AB616" s="55"/>
      <c r="AC616" s="55"/>
      <c r="AD616" s="55"/>
      <c r="AE616" s="55"/>
      <c r="AF616" s="55"/>
      <c r="AG616" s="55"/>
      <c r="AH616" s="55"/>
      <c r="AI616" s="55"/>
      <c r="AJ616" s="55"/>
      <c r="AK616" s="55"/>
      <c r="AL616" s="55"/>
      <c r="AM616" s="55"/>
      <c r="AN616" s="55"/>
      <c r="AO616" s="55"/>
      <c r="AP616" s="55"/>
      <c r="AQ616" s="55"/>
      <c r="AR616" s="55"/>
      <c r="AS616" s="55"/>
      <c r="AT616" s="55"/>
      <c r="AU616" s="55"/>
      <c r="AV616" s="55"/>
      <c r="AW616" s="55"/>
      <c r="AX616" s="55"/>
      <c r="AY616" s="55"/>
    </row>
    <row r="617" spans="21:51">
      <c r="U617" s="55"/>
      <c r="V617" s="55"/>
      <c r="W617" s="55"/>
      <c r="X617" s="55"/>
      <c r="Y617" s="55"/>
      <c r="Z617" s="55"/>
      <c r="AA617" s="55"/>
      <c r="AB617" s="55"/>
      <c r="AC617" s="55"/>
      <c r="AD617" s="55"/>
      <c r="AE617" s="55"/>
      <c r="AF617" s="55"/>
      <c r="AG617" s="55"/>
      <c r="AH617" s="55"/>
      <c r="AI617" s="55"/>
      <c r="AJ617" s="55"/>
      <c r="AK617" s="55"/>
      <c r="AL617" s="55"/>
      <c r="AM617" s="55"/>
      <c r="AN617" s="55"/>
      <c r="AO617" s="55"/>
      <c r="AP617" s="55"/>
      <c r="AQ617" s="55"/>
      <c r="AR617" s="55"/>
      <c r="AS617" s="55"/>
      <c r="AT617" s="55"/>
      <c r="AU617" s="55"/>
      <c r="AV617" s="55"/>
      <c r="AW617" s="55"/>
      <c r="AX617" s="55"/>
      <c r="AY617" s="55"/>
    </row>
    <row r="618" spans="21:51">
      <c r="U618" s="55"/>
      <c r="V618" s="55"/>
      <c r="W618" s="55"/>
      <c r="X618" s="55"/>
      <c r="Y618" s="55"/>
      <c r="Z618" s="55"/>
      <c r="AA618" s="55"/>
      <c r="AB618" s="55"/>
      <c r="AC618" s="55"/>
      <c r="AD618" s="55"/>
      <c r="AE618" s="55"/>
      <c r="AF618" s="55"/>
      <c r="AG618" s="55"/>
      <c r="AH618" s="55"/>
      <c r="AI618" s="55"/>
      <c r="AJ618" s="55"/>
      <c r="AK618" s="55"/>
      <c r="AL618" s="55"/>
      <c r="AM618" s="55"/>
      <c r="AN618" s="55"/>
      <c r="AO618" s="55"/>
      <c r="AP618" s="55"/>
      <c r="AQ618" s="55"/>
      <c r="AR618" s="55"/>
      <c r="AS618" s="55"/>
      <c r="AT618" s="55"/>
      <c r="AU618" s="55"/>
      <c r="AV618" s="55"/>
      <c r="AW618" s="55"/>
      <c r="AX618" s="55"/>
      <c r="AY618" s="55"/>
    </row>
    <row r="619" spans="21:51">
      <c r="U619" s="55"/>
      <c r="V619" s="55"/>
      <c r="W619" s="55"/>
      <c r="X619" s="55"/>
      <c r="Y619" s="55"/>
      <c r="Z619" s="55"/>
      <c r="AA619" s="55"/>
      <c r="AB619" s="55"/>
      <c r="AC619" s="55"/>
      <c r="AD619" s="55"/>
      <c r="AE619" s="55"/>
      <c r="AF619" s="55"/>
      <c r="AG619" s="55"/>
      <c r="AH619" s="55"/>
      <c r="AI619" s="55"/>
      <c r="AJ619" s="55"/>
      <c r="AK619" s="55"/>
      <c r="AL619" s="55"/>
      <c r="AM619" s="55"/>
      <c r="AN619" s="55"/>
      <c r="AO619" s="55"/>
      <c r="AP619" s="55"/>
      <c r="AQ619" s="55"/>
      <c r="AR619" s="55"/>
      <c r="AS619" s="55"/>
      <c r="AT619" s="55"/>
      <c r="AU619" s="55"/>
      <c r="AV619" s="55"/>
      <c r="AW619" s="55"/>
      <c r="AX619" s="55"/>
      <c r="AY619" s="55"/>
    </row>
    <row r="620" spans="21:51">
      <c r="U620" s="55"/>
      <c r="V620" s="55"/>
      <c r="W620" s="55"/>
      <c r="X620" s="55"/>
      <c r="Y620" s="55"/>
      <c r="Z620" s="55"/>
      <c r="AA620" s="55"/>
      <c r="AB620" s="55"/>
      <c r="AC620" s="55"/>
      <c r="AD620" s="55"/>
      <c r="AE620" s="55"/>
      <c r="AF620" s="55"/>
      <c r="AG620" s="55"/>
      <c r="AH620" s="55"/>
      <c r="AI620" s="55"/>
      <c r="AJ620" s="55"/>
      <c r="AK620" s="55"/>
      <c r="AL620" s="55"/>
      <c r="AM620" s="55"/>
      <c r="AN620" s="55"/>
      <c r="AO620" s="55"/>
      <c r="AP620" s="55"/>
      <c r="AQ620" s="55"/>
      <c r="AR620" s="55"/>
      <c r="AS620" s="55"/>
      <c r="AT620" s="55"/>
      <c r="AU620" s="55"/>
      <c r="AV620" s="55"/>
      <c r="AW620" s="55"/>
      <c r="AX620" s="55"/>
      <c r="AY620" s="55"/>
    </row>
    <row r="621" spans="21:51">
      <c r="U621" s="55"/>
      <c r="V621" s="55"/>
      <c r="W621" s="55"/>
      <c r="X621" s="55"/>
      <c r="Y621" s="55"/>
      <c r="Z621" s="55"/>
      <c r="AA621" s="55"/>
      <c r="AB621" s="55"/>
      <c r="AC621" s="55"/>
      <c r="AD621" s="55"/>
      <c r="AE621" s="55"/>
      <c r="AF621" s="55"/>
      <c r="AG621" s="55"/>
      <c r="AH621" s="55"/>
      <c r="AI621" s="55"/>
      <c r="AJ621" s="55"/>
      <c r="AK621" s="55"/>
      <c r="AL621" s="55"/>
      <c r="AM621" s="55"/>
      <c r="AN621" s="55"/>
      <c r="AO621" s="55"/>
      <c r="AP621" s="55"/>
      <c r="AQ621" s="55"/>
      <c r="AR621" s="55"/>
      <c r="AS621" s="55"/>
      <c r="AT621" s="55"/>
      <c r="AU621" s="55"/>
      <c r="AV621" s="55"/>
      <c r="AW621" s="55"/>
      <c r="AX621" s="55"/>
      <c r="AY621" s="55"/>
    </row>
    <row r="622" spans="21:51">
      <c r="U622" s="55"/>
      <c r="V622" s="55"/>
      <c r="W622" s="55"/>
      <c r="X622" s="55"/>
      <c r="Y622" s="55"/>
      <c r="Z622" s="55"/>
      <c r="AA622" s="55"/>
      <c r="AB622" s="55"/>
      <c r="AC622" s="55"/>
      <c r="AD622" s="55"/>
      <c r="AE622" s="55"/>
      <c r="AF622" s="55"/>
      <c r="AG622" s="55"/>
      <c r="AH622" s="55"/>
      <c r="AI622" s="55"/>
      <c r="AJ622" s="55"/>
      <c r="AK622" s="55"/>
      <c r="AL622" s="55"/>
      <c r="AM622" s="55"/>
      <c r="AN622" s="55"/>
      <c r="AO622" s="55"/>
      <c r="AP622" s="55"/>
      <c r="AQ622" s="55"/>
      <c r="AR622" s="55"/>
      <c r="AS622" s="55"/>
      <c r="AT622" s="55"/>
      <c r="AU622" s="55"/>
      <c r="AV622" s="55"/>
      <c r="AW622" s="55"/>
      <c r="AX622" s="55"/>
      <c r="AY622" s="55"/>
    </row>
    <row r="623" spans="21:51">
      <c r="U623" s="55"/>
      <c r="V623" s="55"/>
      <c r="W623" s="55"/>
      <c r="X623" s="55"/>
      <c r="Y623" s="55"/>
      <c r="Z623" s="55"/>
      <c r="AA623" s="55"/>
      <c r="AB623" s="55"/>
      <c r="AC623" s="55"/>
      <c r="AD623" s="55"/>
      <c r="AE623" s="55"/>
      <c r="AF623" s="55"/>
      <c r="AG623" s="55"/>
      <c r="AH623" s="55"/>
      <c r="AI623" s="55"/>
      <c r="AJ623" s="55"/>
      <c r="AK623" s="55"/>
      <c r="AL623" s="55"/>
      <c r="AM623" s="55"/>
      <c r="AN623" s="55"/>
      <c r="AO623" s="55"/>
      <c r="AP623" s="55"/>
      <c r="AQ623" s="55"/>
      <c r="AR623" s="55"/>
      <c r="AS623" s="55"/>
      <c r="AT623" s="55"/>
      <c r="AU623" s="55"/>
      <c r="AV623" s="55"/>
      <c r="AW623" s="55"/>
      <c r="AX623" s="55"/>
      <c r="AY623" s="55"/>
    </row>
    <row r="624" spans="21:51">
      <c r="U624" s="55"/>
      <c r="V624" s="55"/>
      <c r="W624" s="55"/>
      <c r="X624" s="55"/>
      <c r="Y624" s="55"/>
      <c r="Z624" s="55"/>
      <c r="AA624" s="55"/>
      <c r="AB624" s="55"/>
      <c r="AC624" s="55"/>
      <c r="AD624" s="55"/>
      <c r="AE624" s="55"/>
      <c r="AF624" s="55"/>
      <c r="AG624" s="55"/>
      <c r="AH624" s="55"/>
      <c r="AI624" s="55"/>
      <c r="AJ624" s="55"/>
      <c r="AK624" s="55"/>
      <c r="AL624" s="55"/>
      <c r="AM624" s="55"/>
      <c r="AN624" s="55"/>
      <c r="AO624" s="55"/>
      <c r="AP624" s="55"/>
      <c r="AQ624" s="55"/>
      <c r="AR624" s="55"/>
      <c r="AS624" s="55"/>
      <c r="AT624" s="55"/>
      <c r="AU624" s="55"/>
      <c r="AV624" s="55"/>
      <c r="AW624" s="55"/>
      <c r="AX624" s="55"/>
      <c r="AY624" s="55"/>
    </row>
    <row r="625" spans="21:51">
      <c r="U625" s="55"/>
      <c r="V625" s="55"/>
      <c r="W625" s="55"/>
      <c r="X625" s="55"/>
      <c r="Y625" s="55"/>
      <c r="Z625" s="55"/>
      <c r="AA625" s="55"/>
      <c r="AB625" s="55"/>
      <c r="AC625" s="55"/>
      <c r="AD625" s="55"/>
      <c r="AE625" s="55"/>
      <c r="AF625" s="55"/>
      <c r="AG625" s="55"/>
      <c r="AH625" s="55"/>
      <c r="AI625" s="55"/>
      <c r="AJ625" s="55"/>
      <c r="AK625" s="55"/>
      <c r="AL625" s="55"/>
      <c r="AM625" s="55"/>
      <c r="AN625" s="55"/>
      <c r="AO625" s="55"/>
      <c r="AP625" s="55"/>
      <c r="AQ625" s="55"/>
      <c r="AR625" s="55"/>
      <c r="AS625" s="55"/>
      <c r="AT625" s="55"/>
      <c r="AU625" s="55"/>
      <c r="AV625" s="55"/>
      <c r="AW625" s="55"/>
      <c r="AX625" s="55"/>
      <c r="AY625" s="55"/>
    </row>
    <row r="626" spans="21:51">
      <c r="U626" s="55"/>
      <c r="V626" s="55"/>
      <c r="W626" s="55"/>
      <c r="X626" s="55"/>
      <c r="Y626" s="55"/>
      <c r="Z626" s="55"/>
      <c r="AA626" s="55"/>
      <c r="AB626" s="55"/>
      <c r="AC626" s="55"/>
      <c r="AD626" s="55"/>
      <c r="AE626" s="55"/>
      <c r="AF626" s="55"/>
      <c r="AG626" s="55"/>
      <c r="AH626" s="55"/>
      <c r="AI626" s="55"/>
      <c r="AJ626" s="55"/>
      <c r="AK626" s="55"/>
      <c r="AL626" s="55"/>
      <c r="AM626" s="55"/>
      <c r="AN626" s="55"/>
      <c r="AO626" s="55"/>
      <c r="AP626" s="55"/>
      <c r="AQ626" s="55"/>
      <c r="AR626" s="55"/>
      <c r="AS626" s="55"/>
      <c r="AT626" s="55"/>
      <c r="AU626" s="55"/>
      <c r="AV626" s="55"/>
      <c r="AW626" s="55"/>
      <c r="AX626" s="55"/>
      <c r="AY626" s="55"/>
    </row>
    <row r="627" spans="21:51">
      <c r="U627" s="55"/>
      <c r="V627" s="55"/>
      <c r="W627" s="55"/>
      <c r="X627" s="55"/>
      <c r="Y627" s="55"/>
      <c r="Z627" s="55"/>
      <c r="AA627" s="55"/>
      <c r="AB627" s="55"/>
      <c r="AC627" s="55"/>
      <c r="AD627" s="55"/>
      <c r="AE627" s="55"/>
      <c r="AF627" s="55"/>
      <c r="AG627" s="55"/>
      <c r="AH627" s="55"/>
      <c r="AI627" s="55"/>
      <c r="AJ627" s="55"/>
      <c r="AK627" s="55"/>
      <c r="AL627" s="55"/>
      <c r="AM627" s="55"/>
      <c r="AN627" s="55"/>
      <c r="AO627" s="55"/>
      <c r="AP627" s="55"/>
      <c r="AQ627" s="55"/>
      <c r="AR627" s="55"/>
      <c r="AS627" s="55"/>
      <c r="AT627" s="55"/>
      <c r="AU627" s="55"/>
      <c r="AV627" s="55"/>
      <c r="AW627" s="55"/>
      <c r="AX627" s="55"/>
      <c r="AY627" s="55"/>
    </row>
    <row r="628" spans="21:51">
      <c r="U628" s="55"/>
      <c r="V628" s="55"/>
      <c r="W628" s="55"/>
      <c r="X628" s="55"/>
      <c r="Y628" s="55"/>
      <c r="Z628" s="55"/>
      <c r="AA628" s="55"/>
      <c r="AB628" s="55"/>
      <c r="AC628" s="55"/>
      <c r="AD628" s="55"/>
      <c r="AE628" s="55"/>
      <c r="AF628" s="55"/>
      <c r="AG628" s="55"/>
      <c r="AH628" s="55"/>
      <c r="AI628" s="55"/>
      <c r="AJ628" s="55"/>
      <c r="AK628" s="55"/>
      <c r="AL628" s="55"/>
      <c r="AM628" s="55"/>
      <c r="AN628" s="55"/>
      <c r="AO628" s="55"/>
      <c r="AP628" s="55"/>
      <c r="AQ628" s="55"/>
      <c r="AR628" s="55"/>
      <c r="AS628" s="55"/>
      <c r="AT628" s="55"/>
      <c r="AU628" s="55"/>
      <c r="AV628" s="55"/>
      <c r="AW628" s="55"/>
      <c r="AX628" s="55"/>
      <c r="AY628" s="55"/>
    </row>
    <row r="629" spans="21:51">
      <c r="U629" s="55"/>
      <c r="V629" s="55"/>
      <c r="W629" s="55"/>
      <c r="X629" s="55"/>
      <c r="Y629" s="55"/>
      <c r="Z629" s="55"/>
      <c r="AA629" s="55"/>
      <c r="AB629" s="55"/>
      <c r="AC629" s="55"/>
      <c r="AD629" s="55"/>
      <c r="AE629" s="55"/>
      <c r="AF629" s="55"/>
      <c r="AG629" s="55"/>
      <c r="AH629" s="55"/>
      <c r="AI629" s="55"/>
      <c r="AJ629" s="55"/>
      <c r="AK629" s="55"/>
      <c r="AL629" s="55"/>
      <c r="AM629" s="55"/>
      <c r="AN629" s="55"/>
      <c r="AO629" s="55"/>
      <c r="AP629" s="55"/>
      <c r="AQ629" s="55"/>
      <c r="AR629" s="55"/>
      <c r="AS629" s="55"/>
      <c r="AT629" s="55"/>
      <c r="AU629" s="55"/>
      <c r="AV629" s="55"/>
      <c r="AW629" s="55"/>
      <c r="AX629" s="55"/>
      <c r="AY629" s="55"/>
    </row>
    <row r="630" spans="21:51">
      <c r="U630" s="55"/>
      <c r="V630" s="55"/>
      <c r="W630" s="55"/>
      <c r="X630" s="55"/>
      <c r="Y630" s="55"/>
      <c r="Z630" s="55"/>
      <c r="AA630" s="55"/>
      <c r="AB630" s="55"/>
      <c r="AC630" s="55"/>
      <c r="AD630" s="55"/>
      <c r="AE630" s="55"/>
      <c r="AF630" s="55"/>
      <c r="AG630" s="55"/>
      <c r="AH630" s="55"/>
      <c r="AI630" s="55"/>
      <c r="AJ630" s="55"/>
      <c r="AK630" s="55"/>
      <c r="AL630" s="55"/>
      <c r="AM630" s="55"/>
      <c r="AN630" s="55"/>
      <c r="AO630" s="55"/>
      <c r="AP630" s="55"/>
      <c r="AQ630" s="55"/>
      <c r="AR630" s="55"/>
      <c r="AS630" s="55"/>
      <c r="AT630" s="55"/>
      <c r="AU630" s="55"/>
      <c r="AV630" s="55"/>
      <c r="AW630" s="55"/>
      <c r="AX630" s="55"/>
      <c r="AY630" s="55"/>
    </row>
    <row r="631" spans="21:51">
      <c r="U631" s="55"/>
      <c r="V631" s="55"/>
      <c r="W631" s="55"/>
      <c r="X631" s="55"/>
      <c r="Y631" s="55"/>
      <c r="Z631" s="55"/>
      <c r="AA631" s="55"/>
      <c r="AB631" s="55"/>
      <c r="AC631" s="55"/>
      <c r="AD631" s="55"/>
      <c r="AE631" s="55"/>
      <c r="AF631" s="55"/>
      <c r="AG631" s="55"/>
      <c r="AH631" s="55"/>
      <c r="AI631" s="55"/>
      <c r="AJ631" s="55"/>
      <c r="AK631" s="55"/>
      <c r="AL631" s="55"/>
      <c r="AM631" s="55"/>
      <c r="AN631" s="55"/>
      <c r="AO631" s="55"/>
      <c r="AP631" s="55"/>
      <c r="AQ631" s="55"/>
      <c r="AR631" s="55"/>
      <c r="AS631" s="55"/>
      <c r="AT631" s="55"/>
      <c r="AU631" s="55"/>
      <c r="AV631" s="55"/>
      <c r="AW631" s="55"/>
      <c r="AX631" s="55"/>
      <c r="AY631" s="55"/>
    </row>
    <row r="632" spans="21:51">
      <c r="U632" s="55"/>
      <c r="V632" s="55"/>
      <c r="W632" s="55"/>
      <c r="X632" s="55"/>
      <c r="Y632" s="55"/>
      <c r="Z632" s="55"/>
      <c r="AA632" s="55"/>
      <c r="AB632" s="55"/>
      <c r="AC632" s="55"/>
      <c r="AD632" s="55"/>
      <c r="AE632" s="55"/>
      <c r="AF632" s="55"/>
      <c r="AG632" s="55"/>
      <c r="AH632" s="55"/>
      <c r="AI632" s="55"/>
      <c r="AJ632" s="55"/>
      <c r="AK632" s="55"/>
      <c r="AL632" s="55"/>
      <c r="AM632" s="55"/>
      <c r="AN632" s="55"/>
      <c r="AO632" s="55"/>
      <c r="AP632" s="55"/>
      <c r="AQ632" s="55"/>
      <c r="AR632" s="55"/>
      <c r="AS632" s="55"/>
      <c r="AT632" s="55"/>
      <c r="AU632" s="55"/>
      <c r="AV632" s="55"/>
      <c r="AW632" s="55"/>
      <c r="AX632" s="55"/>
      <c r="AY632" s="55"/>
    </row>
    <row r="633" spans="21:51">
      <c r="U633" s="55"/>
      <c r="V633" s="55"/>
      <c r="W633" s="55"/>
      <c r="X633" s="55"/>
      <c r="Y633" s="55"/>
      <c r="Z633" s="55"/>
      <c r="AA633" s="55"/>
      <c r="AB633" s="55"/>
      <c r="AC633" s="55"/>
      <c r="AD633" s="55"/>
      <c r="AE633" s="55"/>
      <c r="AF633" s="55"/>
      <c r="AG633" s="55"/>
      <c r="AH633" s="55"/>
      <c r="AI633" s="55"/>
      <c r="AJ633" s="55"/>
      <c r="AK633" s="55"/>
      <c r="AL633" s="55"/>
      <c r="AM633" s="55"/>
      <c r="AN633" s="55"/>
      <c r="AO633" s="55"/>
      <c r="AP633" s="55"/>
      <c r="AQ633" s="55"/>
      <c r="AR633" s="55"/>
      <c r="AS633" s="55"/>
      <c r="AT633" s="55"/>
      <c r="AU633" s="55"/>
      <c r="AV633" s="55"/>
      <c r="AW633" s="55"/>
      <c r="AX633" s="55"/>
      <c r="AY633" s="55"/>
    </row>
    <row r="634" spans="21:51">
      <c r="U634" s="55"/>
      <c r="V634" s="55"/>
      <c r="W634" s="55"/>
      <c r="X634" s="55"/>
      <c r="Y634" s="55"/>
      <c r="Z634" s="55"/>
      <c r="AA634" s="55"/>
      <c r="AB634" s="55"/>
      <c r="AC634" s="55"/>
      <c r="AD634" s="55"/>
      <c r="AE634" s="55"/>
      <c r="AF634" s="55"/>
      <c r="AG634" s="55"/>
      <c r="AH634" s="55"/>
      <c r="AI634" s="55"/>
      <c r="AJ634" s="55"/>
      <c r="AK634" s="55"/>
      <c r="AL634" s="55"/>
      <c r="AM634" s="55"/>
      <c r="AN634" s="55"/>
      <c r="AO634" s="55"/>
      <c r="AP634" s="55"/>
      <c r="AQ634" s="55"/>
      <c r="AR634" s="55"/>
      <c r="AS634" s="55"/>
      <c r="AT634" s="55"/>
      <c r="AU634" s="55"/>
      <c r="AV634" s="55"/>
      <c r="AW634" s="55"/>
      <c r="AX634" s="55"/>
      <c r="AY634" s="55"/>
    </row>
    <row r="635" spans="21:51">
      <c r="U635" s="55"/>
      <c r="V635" s="55"/>
      <c r="W635" s="55"/>
      <c r="X635" s="55"/>
      <c r="Y635" s="55"/>
      <c r="Z635" s="55"/>
      <c r="AA635" s="55"/>
      <c r="AB635" s="55"/>
      <c r="AC635" s="55"/>
      <c r="AD635" s="55"/>
      <c r="AE635" s="55"/>
      <c r="AF635" s="55"/>
      <c r="AG635" s="55"/>
      <c r="AH635" s="55"/>
      <c r="AI635" s="55"/>
      <c r="AJ635" s="55"/>
      <c r="AK635" s="55"/>
      <c r="AL635" s="55"/>
      <c r="AM635" s="55"/>
      <c r="AN635" s="55"/>
      <c r="AO635" s="55"/>
      <c r="AP635" s="55"/>
      <c r="AQ635" s="55"/>
      <c r="AR635" s="55"/>
      <c r="AS635" s="55"/>
      <c r="AT635" s="55"/>
      <c r="AU635" s="55"/>
      <c r="AV635" s="55"/>
      <c r="AW635" s="55"/>
      <c r="AX635" s="55"/>
      <c r="AY635" s="55"/>
    </row>
    <row r="636" spans="21:51">
      <c r="U636" s="55"/>
      <c r="V636" s="55"/>
      <c r="W636" s="55"/>
      <c r="X636" s="55"/>
      <c r="Y636" s="55"/>
      <c r="Z636" s="55"/>
      <c r="AA636" s="55"/>
      <c r="AB636" s="55"/>
      <c r="AC636" s="55"/>
      <c r="AD636" s="55"/>
      <c r="AE636" s="55"/>
      <c r="AF636" s="55"/>
      <c r="AG636" s="55"/>
      <c r="AH636" s="55"/>
      <c r="AI636" s="55"/>
      <c r="AJ636" s="55"/>
      <c r="AK636" s="55"/>
      <c r="AL636" s="55"/>
      <c r="AM636" s="55"/>
      <c r="AN636" s="55"/>
      <c r="AO636" s="55"/>
      <c r="AP636" s="55"/>
      <c r="AQ636" s="55"/>
      <c r="AR636" s="55"/>
      <c r="AS636" s="55"/>
      <c r="AT636" s="55"/>
      <c r="AU636" s="55"/>
      <c r="AV636" s="55"/>
      <c r="AW636" s="55"/>
      <c r="AX636" s="55"/>
      <c r="AY636" s="55"/>
    </row>
    <row r="637" spans="21:51">
      <c r="U637" s="55"/>
      <c r="V637" s="55"/>
      <c r="W637" s="55"/>
      <c r="X637" s="55"/>
      <c r="Y637" s="55"/>
      <c r="Z637" s="55"/>
      <c r="AA637" s="55"/>
      <c r="AB637" s="55"/>
      <c r="AC637" s="55"/>
      <c r="AD637" s="55"/>
      <c r="AE637" s="55"/>
      <c r="AF637" s="55"/>
      <c r="AG637" s="55"/>
      <c r="AH637" s="55"/>
      <c r="AI637" s="55"/>
      <c r="AJ637" s="55"/>
      <c r="AK637" s="55"/>
      <c r="AL637" s="55"/>
      <c r="AM637" s="55"/>
      <c r="AN637" s="55"/>
      <c r="AO637" s="55"/>
      <c r="AP637" s="55"/>
      <c r="AQ637" s="55"/>
      <c r="AR637" s="55"/>
      <c r="AS637" s="55"/>
      <c r="AT637" s="55"/>
      <c r="AU637" s="55"/>
      <c r="AV637" s="55"/>
      <c r="AW637" s="55"/>
      <c r="AX637" s="55"/>
      <c r="AY637" s="55"/>
    </row>
    <row r="638" spans="21:51">
      <c r="U638" s="55"/>
      <c r="V638" s="55"/>
      <c r="W638" s="55"/>
      <c r="X638" s="55"/>
      <c r="Y638" s="55"/>
      <c r="Z638" s="55"/>
      <c r="AA638" s="55"/>
      <c r="AB638" s="55"/>
      <c r="AC638" s="55"/>
      <c r="AD638" s="55"/>
      <c r="AE638" s="55"/>
      <c r="AF638" s="55"/>
      <c r="AG638" s="55"/>
      <c r="AH638" s="55"/>
      <c r="AI638" s="55"/>
      <c r="AJ638" s="55"/>
      <c r="AK638" s="55"/>
      <c r="AL638" s="55"/>
      <c r="AM638" s="55"/>
      <c r="AN638" s="55"/>
      <c r="AO638" s="55"/>
      <c r="AP638" s="55"/>
      <c r="AQ638" s="55"/>
      <c r="AR638" s="55"/>
      <c r="AS638" s="55"/>
      <c r="AT638" s="55"/>
      <c r="AU638" s="55"/>
      <c r="AV638" s="55"/>
      <c r="AW638" s="55"/>
      <c r="AX638" s="55"/>
      <c r="AY638" s="55"/>
    </row>
    <row r="639" spans="21:51">
      <c r="U639" s="55"/>
      <c r="V639" s="55"/>
      <c r="W639" s="55"/>
      <c r="X639" s="55"/>
      <c r="Y639" s="55"/>
      <c r="Z639" s="55"/>
      <c r="AA639" s="55"/>
      <c r="AB639" s="55"/>
      <c r="AC639" s="55"/>
      <c r="AD639" s="55"/>
      <c r="AE639" s="55"/>
      <c r="AF639" s="55"/>
      <c r="AG639" s="55"/>
      <c r="AH639" s="55"/>
      <c r="AI639" s="55"/>
      <c r="AJ639" s="55"/>
      <c r="AK639" s="55"/>
      <c r="AL639" s="55"/>
      <c r="AM639" s="55"/>
      <c r="AN639" s="55"/>
      <c r="AO639" s="55"/>
      <c r="AP639" s="55"/>
      <c r="AQ639" s="55"/>
      <c r="AR639" s="55"/>
      <c r="AS639" s="55"/>
      <c r="AT639" s="55"/>
      <c r="AU639" s="55"/>
      <c r="AV639" s="55"/>
      <c r="AW639" s="55"/>
      <c r="AX639" s="55"/>
      <c r="AY639" s="55"/>
    </row>
    <row r="640" spans="21:51">
      <c r="U640" s="55"/>
      <c r="V640" s="55"/>
      <c r="W640" s="55"/>
      <c r="X640" s="55"/>
      <c r="Y640" s="55"/>
      <c r="Z640" s="55"/>
      <c r="AA640" s="55"/>
      <c r="AB640" s="55"/>
      <c r="AC640" s="55"/>
      <c r="AD640" s="55"/>
      <c r="AE640" s="55"/>
      <c r="AF640" s="55"/>
      <c r="AG640" s="55"/>
      <c r="AH640" s="55"/>
      <c r="AI640" s="55"/>
      <c r="AJ640" s="55"/>
      <c r="AK640" s="55"/>
      <c r="AL640" s="55"/>
      <c r="AM640" s="55"/>
      <c r="AN640" s="55"/>
      <c r="AO640" s="55"/>
      <c r="AP640" s="55"/>
      <c r="AQ640" s="55"/>
      <c r="AR640" s="55"/>
      <c r="AS640" s="55"/>
      <c r="AT640" s="55"/>
      <c r="AU640" s="55"/>
      <c r="AV640" s="55"/>
      <c r="AW640" s="55"/>
      <c r="AX640" s="55"/>
      <c r="AY640" s="55"/>
    </row>
    <row r="641" spans="21:51">
      <c r="U641" s="55"/>
      <c r="V641" s="55"/>
      <c r="W641" s="55"/>
      <c r="X641" s="55"/>
      <c r="Y641" s="55"/>
      <c r="Z641" s="55"/>
      <c r="AA641" s="55"/>
      <c r="AB641" s="55"/>
      <c r="AC641" s="55"/>
      <c r="AD641" s="55"/>
      <c r="AE641" s="55"/>
      <c r="AF641" s="55"/>
      <c r="AG641" s="55"/>
      <c r="AH641" s="55"/>
      <c r="AI641" s="55"/>
      <c r="AJ641" s="55"/>
      <c r="AK641" s="55"/>
      <c r="AL641" s="55"/>
      <c r="AM641" s="55"/>
      <c r="AN641" s="55"/>
      <c r="AO641" s="55"/>
      <c r="AP641" s="55"/>
      <c r="AQ641" s="55"/>
      <c r="AR641" s="55"/>
      <c r="AS641" s="55"/>
      <c r="AT641" s="55"/>
      <c r="AU641" s="55"/>
      <c r="AV641" s="55"/>
      <c r="AW641" s="55"/>
      <c r="AX641" s="55"/>
      <c r="AY641" s="55"/>
    </row>
    <row r="642" spans="21:51">
      <c r="U642" s="55"/>
      <c r="V642" s="55"/>
      <c r="W642" s="55"/>
      <c r="X642" s="55"/>
      <c r="Y642" s="55"/>
      <c r="Z642" s="55"/>
      <c r="AA642" s="55"/>
      <c r="AB642" s="55"/>
      <c r="AC642" s="55"/>
      <c r="AD642" s="55"/>
      <c r="AE642" s="55"/>
      <c r="AF642" s="55"/>
      <c r="AG642" s="55"/>
      <c r="AH642" s="55"/>
      <c r="AI642" s="55"/>
      <c r="AJ642" s="55"/>
      <c r="AK642" s="55"/>
      <c r="AL642" s="55"/>
      <c r="AM642" s="55"/>
      <c r="AN642" s="55"/>
      <c r="AO642" s="55"/>
      <c r="AP642" s="55"/>
      <c r="AQ642" s="55"/>
      <c r="AR642" s="55"/>
      <c r="AS642" s="55"/>
      <c r="AT642" s="55"/>
      <c r="AU642" s="55"/>
      <c r="AV642" s="55"/>
      <c r="AW642" s="55"/>
      <c r="AX642" s="55"/>
      <c r="AY642" s="55"/>
    </row>
    <row r="643" spans="21:51">
      <c r="U643" s="55"/>
      <c r="V643" s="55"/>
      <c r="W643" s="55"/>
      <c r="X643" s="55"/>
      <c r="Y643" s="55"/>
      <c r="Z643" s="55"/>
      <c r="AA643" s="55"/>
      <c r="AB643" s="55"/>
      <c r="AC643" s="55"/>
      <c r="AD643" s="55"/>
      <c r="AE643" s="55"/>
      <c r="AF643" s="55"/>
      <c r="AG643" s="55"/>
      <c r="AH643" s="55"/>
      <c r="AI643" s="55"/>
      <c r="AJ643" s="55"/>
      <c r="AK643" s="55"/>
      <c r="AL643" s="55"/>
      <c r="AM643" s="55"/>
      <c r="AN643" s="55"/>
      <c r="AO643" s="55"/>
      <c r="AP643" s="55"/>
      <c r="AQ643" s="55"/>
      <c r="AR643" s="55"/>
      <c r="AS643" s="55"/>
      <c r="AT643" s="55"/>
      <c r="AU643" s="55"/>
      <c r="AV643" s="55"/>
      <c r="AW643" s="55"/>
      <c r="AX643" s="55"/>
      <c r="AY643" s="55"/>
    </row>
    <row r="644" spans="21:51">
      <c r="U644" s="55"/>
      <c r="V644" s="55"/>
      <c r="W644" s="55"/>
      <c r="X644" s="55"/>
      <c r="Y644" s="55"/>
      <c r="Z644" s="55"/>
      <c r="AA644" s="55"/>
      <c r="AB644" s="55"/>
      <c r="AC644" s="55"/>
      <c r="AD644" s="55"/>
      <c r="AE644" s="55"/>
      <c r="AF644" s="55"/>
      <c r="AG644" s="55"/>
      <c r="AH644" s="55"/>
      <c r="AI644" s="55"/>
      <c r="AJ644" s="55"/>
      <c r="AK644" s="55"/>
      <c r="AL644" s="55"/>
      <c r="AM644" s="55"/>
      <c r="AN644" s="55"/>
      <c r="AO644" s="55"/>
      <c r="AP644" s="55"/>
      <c r="AQ644" s="55"/>
      <c r="AR644" s="55"/>
      <c r="AS644" s="55"/>
      <c r="AT644" s="55"/>
      <c r="AU644" s="55"/>
      <c r="AV644" s="55"/>
      <c r="AW644" s="55"/>
      <c r="AX644" s="55"/>
      <c r="AY644" s="55"/>
    </row>
    <row r="645" spans="21:51">
      <c r="U645" s="55"/>
      <c r="V645" s="55"/>
      <c r="W645" s="55"/>
      <c r="X645" s="55"/>
      <c r="Y645" s="55"/>
      <c r="Z645" s="55"/>
      <c r="AA645" s="55"/>
      <c r="AB645" s="55"/>
      <c r="AC645" s="55"/>
      <c r="AD645" s="55"/>
      <c r="AE645" s="55"/>
      <c r="AF645" s="55"/>
      <c r="AG645" s="55"/>
      <c r="AH645" s="55"/>
      <c r="AI645" s="55"/>
      <c r="AJ645" s="55"/>
      <c r="AK645" s="55"/>
      <c r="AL645" s="55"/>
      <c r="AM645" s="55"/>
      <c r="AN645" s="55"/>
      <c r="AO645" s="55"/>
      <c r="AP645" s="55"/>
      <c r="AQ645" s="55"/>
      <c r="AR645" s="55"/>
      <c r="AS645" s="55"/>
      <c r="AT645" s="55"/>
      <c r="AU645" s="55"/>
      <c r="AV645" s="55"/>
      <c r="AW645" s="55"/>
      <c r="AX645" s="55"/>
      <c r="AY645" s="55"/>
    </row>
    <row r="646" spans="21:51">
      <c r="U646" s="55"/>
      <c r="V646" s="55"/>
      <c r="W646" s="55"/>
      <c r="X646" s="55"/>
      <c r="Y646" s="55"/>
      <c r="Z646" s="55"/>
      <c r="AA646" s="55"/>
      <c r="AB646" s="55"/>
      <c r="AC646" s="55"/>
      <c r="AD646" s="55"/>
      <c r="AE646" s="55"/>
      <c r="AF646" s="55"/>
      <c r="AG646" s="55"/>
      <c r="AH646" s="55"/>
      <c r="AI646" s="55"/>
      <c r="AJ646" s="55"/>
      <c r="AK646" s="55"/>
      <c r="AL646" s="55"/>
      <c r="AM646" s="55"/>
      <c r="AN646" s="55"/>
      <c r="AO646" s="55"/>
      <c r="AP646" s="55"/>
      <c r="AQ646" s="55"/>
      <c r="AR646" s="55"/>
      <c r="AS646" s="55"/>
      <c r="AT646" s="55"/>
      <c r="AU646" s="55"/>
      <c r="AV646" s="55"/>
      <c r="AW646" s="55"/>
      <c r="AX646" s="55"/>
      <c r="AY646" s="55"/>
    </row>
    <row r="647" spans="21:51">
      <c r="U647" s="55"/>
      <c r="V647" s="55"/>
      <c r="W647" s="55"/>
      <c r="X647" s="55"/>
      <c r="Y647" s="55"/>
      <c r="Z647" s="55"/>
      <c r="AA647" s="55"/>
      <c r="AB647" s="55"/>
      <c r="AC647" s="55"/>
      <c r="AD647" s="55"/>
      <c r="AE647" s="55"/>
      <c r="AF647" s="55"/>
      <c r="AG647" s="55"/>
      <c r="AH647" s="55"/>
      <c r="AI647" s="55"/>
      <c r="AJ647" s="55"/>
      <c r="AK647" s="55"/>
      <c r="AL647" s="55"/>
      <c r="AM647" s="55"/>
      <c r="AN647" s="55"/>
      <c r="AO647" s="55"/>
      <c r="AP647" s="55"/>
      <c r="AQ647" s="55"/>
      <c r="AR647" s="55"/>
      <c r="AS647" s="55"/>
      <c r="AT647" s="55"/>
      <c r="AU647" s="55"/>
      <c r="AV647" s="55"/>
      <c r="AW647" s="55"/>
      <c r="AX647" s="55"/>
      <c r="AY647" s="55"/>
    </row>
    <row r="648" spans="21:51">
      <c r="U648" s="55"/>
      <c r="V648" s="55"/>
      <c r="W648" s="55"/>
      <c r="X648" s="55"/>
      <c r="Y648" s="55"/>
      <c r="Z648" s="55"/>
      <c r="AA648" s="55"/>
      <c r="AB648" s="55"/>
      <c r="AC648" s="55"/>
      <c r="AD648" s="55"/>
      <c r="AE648" s="55"/>
      <c r="AF648" s="55"/>
      <c r="AG648" s="55"/>
      <c r="AH648" s="55"/>
      <c r="AI648" s="55"/>
      <c r="AJ648" s="55"/>
      <c r="AK648" s="55"/>
      <c r="AL648" s="55"/>
      <c r="AM648" s="55"/>
      <c r="AN648" s="55"/>
      <c r="AO648" s="55"/>
      <c r="AP648" s="55"/>
      <c r="AQ648" s="55"/>
      <c r="AR648" s="55"/>
      <c r="AS648" s="55"/>
      <c r="AT648" s="55"/>
      <c r="AU648" s="55"/>
      <c r="AV648" s="55"/>
      <c r="AW648" s="55"/>
      <c r="AX648" s="55"/>
      <c r="AY648" s="55"/>
    </row>
    <row r="649" spans="21:51">
      <c r="U649" s="55"/>
      <c r="V649" s="55"/>
      <c r="W649" s="55"/>
      <c r="X649" s="55"/>
      <c r="Y649" s="55"/>
      <c r="Z649" s="55"/>
      <c r="AA649" s="55"/>
      <c r="AB649" s="55"/>
      <c r="AC649" s="55"/>
      <c r="AD649" s="55"/>
      <c r="AE649" s="55"/>
      <c r="AF649" s="55"/>
      <c r="AG649" s="55"/>
      <c r="AH649" s="55"/>
      <c r="AI649" s="55"/>
      <c r="AJ649" s="55"/>
      <c r="AK649" s="55"/>
      <c r="AL649" s="55"/>
      <c r="AM649" s="55"/>
      <c r="AN649" s="55"/>
      <c r="AO649" s="55"/>
      <c r="AP649" s="55"/>
      <c r="AQ649" s="55"/>
      <c r="AR649" s="55"/>
      <c r="AS649" s="55"/>
      <c r="AT649" s="55"/>
      <c r="AU649" s="55"/>
      <c r="AV649" s="55"/>
      <c r="AW649" s="55"/>
      <c r="AX649" s="55"/>
      <c r="AY649" s="55"/>
    </row>
    <row r="650" spans="21:51">
      <c r="U650" s="55"/>
      <c r="V650" s="55"/>
      <c r="W650" s="55"/>
      <c r="X650" s="55"/>
      <c r="Y650" s="55"/>
      <c r="Z650" s="55"/>
      <c r="AA650" s="55"/>
      <c r="AB650" s="55"/>
      <c r="AC650" s="55"/>
      <c r="AD650" s="55"/>
      <c r="AE650" s="55"/>
      <c r="AF650" s="55"/>
      <c r="AG650" s="55"/>
      <c r="AH650" s="55"/>
      <c r="AI650" s="55"/>
      <c r="AJ650" s="55"/>
      <c r="AK650" s="55"/>
      <c r="AL650" s="55"/>
      <c r="AM650" s="55"/>
      <c r="AN650" s="55"/>
      <c r="AO650" s="55"/>
      <c r="AP650" s="55"/>
      <c r="AQ650" s="55"/>
      <c r="AR650" s="55"/>
      <c r="AS650" s="55"/>
      <c r="AT650" s="55"/>
      <c r="AU650" s="55"/>
      <c r="AV650" s="55"/>
      <c r="AW650" s="55"/>
      <c r="AX650" s="55"/>
      <c r="AY650" s="55"/>
    </row>
    <row r="651" spans="21:51">
      <c r="U651" s="55"/>
      <c r="V651" s="55"/>
      <c r="W651" s="55"/>
      <c r="X651" s="55"/>
      <c r="Y651" s="55"/>
      <c r="Z651" s="55"/>
      <c r="AA651" s="55"/>
      <c r="AB651" s="55"/>
      <c r="AC651" s="55"/>
      <c r="AD651" s="55"/>
      <c r="AE651" s="55"/>
      <c r="AF651" s="55"/>
      <c r="AG651" s="55"/>
      <c r="AH651" s="55"/>
      <c r="AI651" s="55"/>
      <c r="AJ651" s="55"/>
      <c r="AK651" s="55"/>
      <c r="AL651" s="55"/>
      <c r="AM651" s="55"/>
      <c r="AN651" s="55"/>
      <c r="AO651" s="55"/>
      <c r="AP651" s="55"/>
      <c r="AQ651" s="55"/>
      <c r="AR651" s="55"/>
      <c r="AS651" s="55"/>
      <c r="AT651" s="55"/>
      <c r="AU651" s="55"/>
      <c r="AV651" s="55"/>
      <c r="AW651" s="55"/>
      <c r="AX651" s="55"/>
      <c r="AY651" s="55"/>
    </row>
    <row r="652" spans="21:51">
      <c r="U652" s="55"/>
      <c r="V652" s="55"/>
      <c r="W652" s="55"/>
      <c r="X652" s="55"/>
      <c r="Y652" s="55"/>
      <c r="Z652" s="55"/>
      <c r="AA652" s="55"/>
      <c r="AB652" s="55"/>
      <c r="AC652" s="55"/>
      <c r="AD652" s="55"/>
      <c r="AE652" s="55"/>
      <c r="AF652" s="55"/>
      <c r="AG652" s="55"/>
      <c r="AH652" s="55"/>
      <c r="AI652" s="55"/>
      <c r="AJ652" s="55"/>
      <c r="AK652" s="55"/>
      <c r="AL652" s="55"/>
      <c r="AM652" s="55"/>
      <c r="AN652" s="55"/>
      <c r="AO652" s="55"/>
      <c r="AP652" s="55"/>
      <c r="AQ652" s="55"/>
      <c r="AR652" s="55"/>
      <c r="AS652" s="55"/>
      <c r="AT652" s="55"/>
      <c r="AU652" s="55"/>
      <c r="AV652" s="55"/>
      <c r="AW652" s="55"/>
      <c r="AX652" s="55"/>
      <c r="AY652" s="55"/>
    </row>
    <row r="653" spans="21:51">
      <c r="U653" s="55"/>
      <c r="V653" s="55"/>
      <c r="W653" s="55"/>
      <c r="X653" s="55"/>
      <c r="Y653" s="55"/>
      <c r="Z653" s="55"/>
      <c r="AA653" s="55"/>
      <c r="AB653" s="55"/>
      <c r="AC653" s="55"/>
      <c r="AD653" s="55"/>
      <c r="AE653" s="55"/>
      <c r="AF653" s="55"/>
      <c r="AG653" s="55"/>
      <c r="AH653" s="55"/>
      <c r="AI653" s="55"/>
      <c r="AJ653" s="55"/>
      <c r="AK653" s="55"/>
      <c r="AL653" s="55"/>
      <c r="AM653" s="55"/>
      <c r="AN653" s="55"/>
      <c r="AO653" s="55"/>
      <c r="AP653" s="55"/>
      <c r="AQ653" s="55"/>
      <c r="AR653" s="55"/>
      <c r="AS653" s="55"/>
      <c r="AT653" s="55"/>
      <c r="AU653" s="55"/>
      <c r="AV653" s="55"/>
      <c r="AW653" s="55"/>
      <c r="AX653" s="55"/>
      <c r="AY653" s="55"/>
    </row>
    <row r="654" spans="21:51">
      <c r="U654" s="55"/>
      <c r="V654" s="55"/>
      <c r="W654" s="55"/>
      <c r="X654" s="55"/>
      <c r="Y654" s="55"/>
      <c r="Z654" s="55"/>
      <c r="AA654" s="55"/>
      <c r="AB654" s="55"/>
      <c r="AC654" s="55"/>
      <c r="AD654" s="55"/>
      <c r="AE654" s="55"/>
      <c r="AF654" s="55"/>
      <c r="AG654" s="55"/>
      <c r="AH654" s="55"/>
      <c r="AI654" s="55"/>
      <c r="AJ654" s="55"/>
      <c r="AK654" s="55"/>
      <c r="AL654" s="55"/>
      <c r="AM654" s="55"/>
      <c r="AN654" s="55"/>
      <c r="AO654" s="55"/>
      <c r="AP654" s="55"/>
      <c r="AQ654" s="55"/>
      <c r="AR654" s="55"/>
      <c r="AS654" s="55"/>
      <c r="AT654" s="55"/>
      <c r="AU654" s="55"/>
      <c r="AV654" s="55"/>
      <c r="AW654" s="55"/>
      <c r="AX654" s="55"/>
      <c r="AY654" s="55"/>
    </row>
    <row r="655" spans="21:51">
      <c r="U655" s="55"/>
      <c r="V655" s="55"/>
      <c r="W655" s="55"/>
      <c r="X655" s="55"/>
      <c r="Y655" s="55"/>
      <c r="Z655" s="55"/>
      <c r="AA655" s="55"/>
      <c r="AB655" s="55"/>
      <c r="AC655" s="55"/>
      <c r="AD655" s="55"/>
      <c r="AE655" s="55"/>
      <c r="AF655" s="55"/>
      <c r="AG655" s="55"/>
      <c r="AH655" s="55"/>
      <c r="AI655" s="55"/>
      <c r="AJ655" s="55"/>
      <c r="AK655" s="55"/>
      <c r="AL655" s="55"/>
      <c r="AM655" s="55"/>
      <c r="AN655" s="55"/>
      <c r="AO655" s="55"/>
      <c r="AP655" s="55"/>
      <c r="AQ655" s="55"/>
      <c r="AR655" s="55"/>
      <c r="AS655" s="55"/>
      <c r="AT655" s="55"/>
      <c r="AU655" s="55"/>
      <c r="AV655" s="55"/>
      <c r="AW655" s="55"/>
      <c r="AX655" s="55"/>
      <c r="AY655" s="55"/>
    </row>
    <row r="656" spans="21:51">
      <c r="U656" s="55"/>
      <c r="V656" s="55"/>
      <c r="W656" s="55"/>
      <c r="X656" s="55"/>
      <c r="Y656" s="55"/>
      <c r="Z656" s="55"/>
      <c r="AA656" s="55"/>
      <c r="AB656" s="55"/>
      <c r="AC656" s="55"/>
      <c r="AD656" s="55"/>
      <c r="AE656" s="55"/>
      <c r="AF656" s="55"/>
      <c r="AG656" s="55"/>
      <c r="AH656" s="55"/>
      <c r="AI656" s="55"/>
      <c r="AJ656" s="55"/>
      <c r="AK656" s="55"/>
      <c r="AL656" s="55"/>
      <c r="AM656" s="55"/>
      <c r="AN656" s="55"/>
      <c r="AO656" s="55"/>
      <c r="AP656" s="55"/>
      <c r="AQ656" s="55"/>
      <c r="AR656" s="55"/>
      <c r="AS656" s="55"/>
      <c r="AT656" s="55"/>
      <c r="AU656" s="55"/>
      <c r="AV656" s="55"/>
      <c r="AW656" s="55"/>
      <c r="AX656" s="55"/>
      <c r="AY656" s="55"/>
    </row>
    <row r="657" spans="21:51">
      <c r="U657" s="55"/>
      <c r="V657" s="55"/>
      <c r="W657" s="55"/>
      <c r="X657" s="55"/>
      <c r="Y657" s="55"/>
      <c r="Z657" s="55"/>
      <c r="AA657" s="55"/>
      <c r="AB657" s="55"/>
      <c r="AC657" s="55"/>
      <c r="AD657" s="55"/>
      <c r="AE657" s="55"/>
      <c r="AF657" s="55"/>
      <c r="AG657" s="55"/>
      <c r="AH657" s="55"/>
      <c r="AI657" s="55"/>
      <c r="AJ657" s="55"/>
      <c r="AK657" s="55"/>
      <c r="AL657" s="55"/>
      <c r="AM657" s="55"/>
      <c r="AN657" s="55"/>
      <c r="AO657" s="55"/>
      <c r="AP657" s="55"/>
      <c r="AQ657" s="55"/>
      <c r="AR657" s="55"/>
      <c r="AS657" s="55"/>
      <c r="AT657" s="55"/>
      <c r="AU657" s="55"/>
      <c r="AV657" s="55"/>
      <c r="AW657" s="55"/>
      <c r="AX657" s="55"/>
      <c r="AY657" s="55"/>
    </row>
    <row r="658" spans="21:51">
      <c r="U658" s="55"/>
      <c r="V658" s="55"/>
      <c r="W658" s="55"/>
      <c r="X658" s="55"/>
      <c r="Y658" s="55"/>
      <c r="Z658" s="55"/>
      <c r="AA658" s="55"/>
      <c r="AB658" s="55"/>
      <c r="AC658" s="55"/>
      <c r="AD658" s="55"/>
      <c r="AE658" s="55"/>
      <c r="AF658" s="55"/>
      <c r="AG658" s="55"/>
      <c r="AH658" s="55"/>
      <c r="AI658" s="55"/>
      <c r="AJ658" s="55"/>
      <c r="AK658" s="55"/>
      <c r="AL658" s="55"/>
      <c r="AM658" s="55"/>
      <c r="AN658" s="55"/>
      <c r="AO658" s="55"/>
      <c r="AP658" s="55"/>
      <c r="AQ658" s="55"/>
      <c r="AR658" s="55"/>
      <c r="AS658" s="55"/>
      <c r="AT658" s="55"/>
      <c r="AU658" s="55"/>
      <c r="AV658" s="55"/>
      <c r="AW658" s="55"/>
      <c r="AX658" s="55"/>
      <c r="AY658" s="55"/>
    </row>
    <row r="659" spans="21:51">
      <c r="U659" s="55"/>
      <c r="V659" s="55"/>
      <c r="W659" s="55"/>
      <c r="X659" s="55"/>
      <c r="Y659" s="55"/>
      <c r="Z659" s="55"/>
      <c r="AA659" s="55"/>
      <c r="AB659" s="55"/>
      <c r="AC659" s="55"/>
      <c r="AD659" s="55"/>
      <c r="AE659" s="55"/>
      <c r="AF659" s="55"/>
      <c r="AG659" s="55"/>
      <c r="AH659" s="55"/>
      <c r="AI659" s="55"/>
      <c r="AJ659" s="55"/>
      <c r="AK659" s="55"/>
      <c r="AL659" s="55"/>
      <c r="AM659" s="55"/>
      <c r="AN659" s="55"/>
      <c r="AO659" s="55"/>
      <c r="AP659" s="55"/>
      <c r="AQ659" s="55"/>
      <c r="AR659" s="55"/>
      <c r="AS659" s="55"/>
      <c r="AT659" s="55"/>
      <c r="AU659" s="55"/>
      <c r="AV659" s="55"/>
      <c r="AW659" s="55"/>
      <c r="AX659" s="55"/>
      <c r="AY659" s="55"/>
    </row>
    <row r="660" spans="21:51">
      <c r="U660" s="55"/>
      <c r="V660" s="55"/>
      <c r="W660" s="55"/>
      <c r="X660" s="55"/>
      <c r="Y660" s="55"/>
      <c r="Z660" s="55"/>
      <c r="AA660" s="55"/>
      <c r="AB660" s="55"/>
      <c r="AC660" s="55"/>
      <c r="AD660" s="55"/>
      <c r="AE660" s="55"/>
      <c r="AF660" s="55"/>
      <c r="AG660" s="55"/>
      <c r="AH660" s="55"/>
      <c r="AI660" s="55"/>
      <c r="AJ660" s="55"/>
      <c r="AK660" s="55"/>
      <c r="AL660" s="55"/>
      <c r="AM660" s="55"/>
      <c r="AN660" s="55"/>
      <c r="AO660" s="55"/>
      <c r="AP660" s="55"/>
      <c r="AQ660" s="55"/>
      <c r="AR660" s="55"/>
      <c r="AS660" s="55"/>
      <c r="AT660" s="55"/>
      <c r="AU660" s="55"/>
      <c r="AV660" s="55"/>
      <c r="AW660" s="55"/>
      <c r="AX660" s="55"/>
      <c r="AY660" s="55"/>
    </row>
    <row r="661" spans="21:51">
      <c r="U661" s="55"/>
      <c r="V661" s="55"/>
      <c r="W661" s="55"/>
      <c r="X661" s="55"/>
      <c r="Y661" s="55"/>
      <c r="Z661" s="55"/>
      <c r="AA661" s="55"/>
      <c r="AB661" s="55"/>
      <c r="AC661" s="55"/>
      <c r="AD661" s="55"/>
      <c r="AE661" s="55"/>
      <c r="AF661" s="55"/>
      <c r="AG661" s="55"/>
      <c r="AH661" s="55"/>
      <c r="AI661" s="55"/>
      <c r="AJ661" s="55"/>
      <c r="AK661" s="55"/>
      <c r="AL661" s="55"/>
      <c r="AM661" s="55"/>
      <c r="AN661" s="55"/>
      <c r="AO661" s="55"/>
      <c r="AP661" s="55"/>
      <c r="AQ661" s="55"/>
      <c r="AR661" s="55"/>
      <c r="AS661" s="55"/>
      <c r="AT661" s="55"/>
      <c r="AU661" s="55"/>
      <c r="AV661" s="55"/>
      <c r="AW661" s="55"/>
      <c r="AX661" s="55"/>
      <c r="AY661" s="55"/>
    </row>
    <row r="662" spans="21:51">
      <c r="U662" s="55"/>
      <c r="V662" s="55"/>
      <c r="W662" s="55"/>
      <c r="X662" s="55"/>
      <c r="Y662" s="55"/>
      <c r="Z662" s="55"/>
      <c r="AA662" s="55"/>
      <c r="AB662" s="55"/>
      <c r="AC662" s="55"/>
      <c r="AD662" s="55"/>
      <c r="AE662" s="55"/>
      <c r="AF662" s="55"/>
      <c r="AG662" s="55"/>
      <c r="AH662" s="55"/>
      <c r="AI662" s="55"/>
      <c r="AJ662" s="55"/>
      <c r="AK662" s="55"/>
      <c r="AL662" s="55"/>
      <c r="AM662" s="55"/>
      <c r="AN662" s="55"/>
      <c r="AO662" s="55"/>
      <c r="AP662" s="55"/>
      <c r="AQ662" s="55"/>
      <c r="AR662" s="55"/>
      <c r="AS662" s="55"/>
      <c r="AT662" s="55"/>
      <c r="AU662" s="55"/>
      <c r="AV662" s="55"/>
      <c r="AW662" s="55"/>
      <c r="AX662" s="55"/>
      <c r="AY662" s="55"/>
    </row>
    <row r="663" spans="21:51">
      <c r="U663" s="55"/>
      <c r="V663" s="55"/>
      <c r="W663" s="55"/>
      <c r="X663" s="55"/>
      <c r="Y663" s="55"/>
      <c r="Z663" s="55"/>
      <c r="AA663" s="55"/>
      <c r="AB663" s="55"/>
      <c r="AC663" s="55"/>
      <c r="AD663" s="55"/>
      <c r="AE663" s="55"/>
      <c r="AF663" s="55"/>
      <c r="AG663" s="55"/>
      <c r="AH663" s="55"/>
      <c r="AI663" s="55"/>
      <c r="AJ663" s="55"/>
      <c r="AK663" s="55"/>
      <c r="AL663" s="55"/>
      <c r="AM663" s="55"/>
      <c r="AN663" s="55"/>
      <c r="AO663" s="55"/>
      <c r="AP663" s="55"/>
      <c r="AQ663" s="55"/>
      <c r="AR663" s="55"/>
      <c r="AS663" s="55"/>
      <c r="AT663" s="55"/>
      <c r="AU663" s="55"/>
      <c r="AV663" s="55"/>
      <c r="AW663" s="55"/>
      <c r="AX663" s="55"/>
      <c r="AY663" s="55"/>
    </row>
    <row r="664" spans="21:51">
      <c r="U664" s="55"/>
      <c r="V664" s="55"/>
      <c r="W664" s="55"/>
      <c r="X664" s="55"/>
      <c r="Y664" s="55"/>
      <c r="Z664" s="55"/>
      <c r="AA664" s="55"/>
      <c r="AB664" s="55"/>
      <c r="AC664" s="55"/>
      <c r="AD664" s="55"/>
      <c r="AE664" s="55"/>
      <c r="AF664" s="55"/>
      <c r="AG664" s="55"/>
      <c r="AH664" s="55"/>
      <c r="AI664" s="55"/>
      <c r="AJ664" s="55"/>
      <c r="AK664" s="55"/>
      <c r="AL664" s="55"/>
      <c r="AM664" s="55"/>
      <c r="AN664" s="55"/>
      <c r="AO664" s="55"/>
      <c r="AP664" s="55"/>
      <c r="AQ664" s="55"/>
      <c r="AR664" s="55"/>
      <c r="AS664" s="55"/>
      <c r="AT664" s="55"/>
      <c r="AU664" s="55"/>
      <c r="AV664" s="55"/>
      <c r="AW664" s="55"/>
      <c r="AX664" s="55"/>
      <c r="AY664" s="55"/>
    </row>
    <row r="665" spans="21:51">
      <c r="U665" s="55"/>
      <c r="V665" s="55"/>
      <c r="W665" s="55"/>
      <c r="X665" s="55"/>
      <c r="Y665" s="55"/>
      <c r="Z665" s="55"/>
      <c r="AA665" s="55"/>
      <c r="AB665" s="55"/>
      <c r="AC665" s="55"/>
      <c r="AD665" s="55"/>
      <c r="AE665" s="55"/>
      <c r="AF665" s="55"/>
      <c r="AG665" s="55"/>
      <c r="AH665" s="55"/>
      <c r="AI665" s="55"/>
      <c r="AJ665" s="55"/>
      <c r="AK665" s="55"/>
      <c r="AL665" s="55"/>
      <c r="AM665" s="55"/>
      <c r="AN665" s="55"/>
      <c r="AO665" s="55"/>
      <c r="AP665" s="55"/>
      <c r="AQ665" s="55"/>
      <c r="AR665" s="55"/>
      <c r="AS665" s="55"/>
      <c r="AT665" s="55"/>
      <c r="AU665" s="55"/>
      <c r="AV665" s="55"/>
      <c r="AW665" s="55"/>
      <c r="AX665" s="55"/>
      <c r="AY665" s="55"/>
    </row>
    <row r="666" spans="21:51">
      <c r="U666" s="55"/>
      <c r="V666" s="55"/>
      <c r="W666" s="55"/>
      <c r="X666" s="55"/>
      <c r="Y666" s="55"/>
      <c r="Z666" s="55"/>
      <c r="AA666" s="55"/>
      <c r="AB666" s="55"/>
      <c r="AC666" s="55"/>
      <c r="AD666" s="55"/>
      <c r="AE666" s="55"/>
      <c r="AF666" s="55"/>
      <c r="AG666" s="55"/>
      <c r="AH666" s="55"/>
      <c r="AI666" s="55"/>
      <c r="AJ666" s="55"/>
      <c r="AK666" s="55"/>
      <c r="AL666" s="55"/>
      <c r="AM666" s="55"/>
      <c r="AN666" s="55"/>
      <c r="AO666" s="55"/>
      <c r="AP666" s="55"/>
      <c r="AQ666" s="55"/>
      <c r="AR666" s="55"/>
      <c r="AS666" s="55"/>
      <c r="AT666" s="55"/>
      <c r="AU666" s="55"/>
      <c r="AV666" s="55"/>
      <c r="AW666" s="55"/>
      <c r="AX666" s="55"/>
      <c r="AY666" s="55"/>
    </row>
    <row r="667" spans="21:51">
      <c r="U667" s="55"/>
      <c r="V667" s="55"/>
      <c r="W667" s="55"/>
      <c r="X667" s="55"/>
      <c r="Y667" s="55"/>
      <c r="Z667" s="55"/>
      <c r="AA667" s="55"/>
      <c r="AB667" s="55"/>
      <c r="AC667" s="55"/>
      <c r="AD667" s="55"/>
      <c r="AE667" s="55"/>
      <c r="AF667" s="55"/>
      <c r="AG667" s="55"/>
      <c r="AH667" s="55"/>
      <c r="AI667" s="55"/>
      <c r="AJ667" s="55"/>
      <c r="AK667" s="55"/>
      <c r="AL667" s="55"/>
      <c r="AM667" s="55"/>
      <c r="AN667" s="55"/>
      <c r="AO667" s="55"/>
      <c r="AP667" s="55"/>
      <c r="AQ667" s="55"/>
      <c r="AR667" s="55"/>
      <c r="AS667" s="55"/>
      <c r="AT667" s="55"/>
      <c r="AU667" s="55"/>
      <c r="AV667" s="55"/>
      <c r="AW667" s="55"/>
      <c r="AX667" s="55"/>
      <c r="AY667" s="55"/>
    </row>
    <row r="668" spans="21:51">
      <c r="U668" s="55"/>
      <c r="V668" s="55"/>
      <c r="W668" s="55"/>
      <c r="X668" s="55"/>
      <c r="Y668" s="55"/>
      <c r="Z668" s="55"/>
      <c r="AA668" s="55"/>
      <c r="AB668" s="55"/>
      <c r="AC668" s="55"/>
      <c r="AD668" s="55"/>
      <c r="AE668" s="55"/>
      <c r="AF668" s="55"/>
      <c r="AG668" s="55"/>
      <c r="AH668" s="55"/>
      <c r="AI668" s="55"/>
      <c r="AJ668" s="55"/>
      <c r="AK668" s="55"/>
      <c r="AL668" s="55"/>
      <c r="AM668" s="55"/>
      <c r="AN668" s="55"/>
      <c r="AO668" s="55"/>
      <c r="AP668" s="55"/>
      <c r="AQ668" s="55"/>
      <c r="AR668" s="55"/>
      <c r="AS668" s="55"/>
      <c r="AT668" s="55"/>
      <c r="AU668" s="55"/>
      <c r="AV668" s="55"/>
      <c r="AW668" s="55"/>
      <c r="AX668" s="55"/>
      <c r="AY668" s="55"/>
    </row>
    <row r="669" spans="21:51">
      <c r="U669" s="55"/>
      <c r="V669" s="55"/>
      <c r="W669" s="55"/>
      <c r="X669" s="55"/>
      <c r="Y669" s="55"/>
      <c r="Z669" s="55"/>
      <c r="AA669" s="55"/>
      <c r="AB669" s="55"/>
      <c r="AC669" s="55"/>
      <c r="AD669" s="55"/>
      <c r="AE669" s="55"/>
      <c r="AF669" s="55"/>
      <c r="AG669" s="55"/>
      <c r="AH669" s="55"/>
      <c r="AI669" s="55"/>
      <c r="AJ669" s="55"/>
      <c r="AK669" s="55"/>
      <c r="AL669" s="55"/>
      <c r="AM669" s="55"/>
      <c r="AN669" s="55"/>
      <c r="AO669" s="55"/>
      <c r="AP669" s="55"/>
      <c r="AQ669" s="55"/>
      <c r="AR669" s="55"/>
      <c r="AS669" s="55"/>
      <c r="AT669" s="55"/>
      <c r="AU669" s="55"/>
      <c r="AV669" s="55"/>
      <c r="AW669" s="55"/>
      <c r="AX669" s="55"/>
      <c r="AY669" s="55"/>
    </row>
    <row r="670" spans="21:51">
      <c r="U670" s="55"/>
      <c r="V670" s="55"/>
      <c r="W670" s="55"/>
      <c r="X670" s="55"/>
      <c r="Y670" s="55"/>
      <c r="Z670" s="55"/>
      <c r="AA670" s="55"/>
      <c r="AB670" s="55"/>
      <c r="AC670" s="55"/>
      <c r="AD670" s="55"/>
      <c r="AE670" s="55"/>
      <c r="AF670" s="55"/>
      <c r="AG670" s="55"/>
      <c r="AH670" s="55"/>
      <c r="AI670" s="55"/>
      <c r="AJ670" s="55"/>
      <c r="AK670" s="55"/>
      <c r="AL670" s="55"/>
      <c r="AM670" s="55"/>
      <c r="AN670" s="55"/>
      <c r="AO670" s="55"/>
      <c r="AP670" s="55"/>
      <c r="AQ670" s="55"/>
      <c r="AR670" s="55"/>
      <c r="AS670" s="55"/>
      <c r="AT670" s="55"/>
      <c r="AU670" s="55"/>
      <c r="AV670" s="55"/>
      <c r="AW670" s="55"/>
      <c r="AX670" s="55"/>
      <c r="AY670" s="55"/>
    </row>
    <row r="671" spans="21:51">
      <c r="U671" s="55"/>
      <c r="V671" s="55"/>
      <c r="W671" s="55"/>
      <c r="X671" s="55"/>
      <c r="Y671" s="55"/>
      <c r="Z671" s="55"/>
      <c r="AA671" s="55"/>
      <c r="AB671" s="55"/>
      <c r="AC671" s="55"/>
      <c r="AD671" s="55"/>
      <c r="AE671" s="55"/>
      <c r="AF671" s="55"/>
      <c r="AG671" s="55"/>
      <c r="AH671" s="55"/>
      <c r="AI671" s="55"/>
      <c r="AJ671" s="55"/>
      <c r="AK671" s="55"/>
      <c r="AL671" s="55"/>
      <c r="AM671" s="55"/>
      <c r="AN671" s="55"/>
      <c r="AO671" s="55"/>
      <c r="AP671" s="55"/>
      <c r="AQ671" s="55"/>
      <c r="AR671" s="55"/>
      <c r="AS671" s="55"/>
      <c r="AT671" s="55"/>
      <c r="AU671" s="55"/>
      <c r="AV671" s="55"/>
      <c r="AW671" s="55"/>
      <c r="AX671" s="55"/>
      <c r="AY671" s="55"/>
    </row>
    <row r="672" spans="21:51">
      <c r="U672" s="55"/>
      <c r="V672" s="55"/>
      <c r="W672" s="55"/>
      <c r="X672" s="55"/>
      <c r="Y672" s="55"/>
      <c r="Z672" s="55"/>
      <c r="AA672" s="55"/>
      <c r="AB672" s="55"/>
      <c r="AC672" s="55"/>
      <c r="AD672" s="55"/>
      <c r="AE672" s="55"/>
      <c r="AF672" s="55"/>
      <c r="AG672" s="55"/>
      <c r="AH672" s="55"/>
      <c r="AI672" s="55"/>
      <c r="AJ672" s="55"/>
      <c r="AK672" s="55"/>
      <c r="AL672" s="55"/>
      <c r="AM672" s="55"/>
      <c r="AN672" s="55"/>
      <c r="AO672" s="55"/>
      <c r="AP672" s="55"/>
      <c r="AQ672" s="55"/>
      <c r="AR672" s="55"/>
      <c r="AS672" s="55"/>
      <c r="AT672" s="55"/>
      <c r="AU672" s="55"/>
      <c r="AV672" s="55"/>
      <c r="AW672" s="55"/>
      <c r="AX672" s="55"/>
      <c r="AY672" s="55"/>
    </row>
    <row r="673" spans="21:51">
      <c r="U673" s="55"/>
      <c r="V673" s="55"/>
      <c r="W673" s="55"/>
      <c r="X673" s="55"/>
      <c r="Y673" s="55"/>
      <c r="Z673" s="55"/>
      <c r="AA673" s="55"/>
      <c r="AB673" s="55"/>
      <c r="AC673" s="55"/>
      <c r="AD673" s="55"/>
      <c r="AE673" s="55"/>
      <c r="AF673" s="55"/>
      <c r="AG673" s="55"/>
      <c r="AH673" s="55"/>
      <c r="AI673" s="55"/>
      <c r="AJ673" s="55"/>
      <c r="AK673" s="55"/>
      <c r="AL673" s="55"/>
      <c r="AM673" s="55"/>
      <c r="AN673" s="55"/>
      <c r="AO673" s="55"/>
      <c r="AP673" s="55"/>
      <c r="AQ673" s="55"/>
      <c r="AR673" s="55"/>
      <c r="AS673" s="55"/>
      <c r="AT673" s="55"/>
      <c r="AU673" s="55"/>
      <c r="AV673" s="55"/>
      <c r="AW673" s="55"/>
      <c r="AX673" s="55"/>
      <c r="AY673" s="55"/>
    </row>
    <row r="674" spans="21:51">
      <c r="U674" s="55"/>
      <c r="V674" s="55"/>
      <c r="W674" s="55"/>
      <c r="X674" s="55"/>
      <c r="Y674" s="55"/>
      <c r="Z674" s="55"/>
      <c r="AA674" s="55"/>
      <c r="AB674" s="55"/>
      <c r="AC674" s="55"/>
      <c r="AD674" s="55"/>
      <c r="AE674" s="55"/>
      <c r="AF674" s="55"/>
      <c r="AG674" s="55"/>
      <c r="AH674" s="55"/>
      <c r="AI674" s="55"/>
      <c r="AJ674" s="55"/>
      <c r="AK674" s="55"/>
      <c r="AL674" s="55"/>
      <c r="AM674" s="55"/>
      <c r="AN674" s="55"/>
      <c r="AO674" s="55"/>
      <c r="AP674" s="55"/>
      <c r="AQ674" s="55"/>
      <c r="AR674" s="55"/>
      <c r="AS674" s="55"/>
      <c r="AT674" s="55"/>
      <c r="AU674" s="55"/>
      <c r="AV674" s="55"/>
      <c r="AW674" s="55"/>
      <c r="AX674" s="55"/>
      <c r="AY674" s="55"/>
    </row>
    <row r="675" spans="21:51">
      <c r="U675" s="55"/>
      <c r="V675" s="55"/>
      <c r="W675" s="55"/>
      <c r="X675" s="55"/>
      <c r="Y675" s="55"/>
      <c r="Z675" s="55"/>
      <c r="AA675" s="55"/>
      <c r="AB675" s="55"/>
      <c r="AC675" s="55"/>
      <c r="AD675" s="55"/>
      <c r="AE675" s="55"/>
      <c r="AF675" s="55"/>
      <c r="AG675" s="55"/>
      <c r="AH675" s="55"/>
      <c r="AI675" s="55"/>
      <c r="AJ675" s="55"/>
      <c r="AK675" s="55"/>
      <c r="AL675" s="55"/>
      <c r="AM675" s="55"/>
      <c r="AN675" s="55"/>
      <c r="AO675" s="55"/>
      <c r="AP675" s="55"/>
      <c r="AQ675" s="55"/>
      <c r="AR675" s="55"/>
      <c r="AS675" s="55"/>
      <c r="AT675" s="55"/>
      <c r="AU675" s="55"/>
      <c r="AV675" s="55"/>
      <c r="AW675" s="55"/>
      <c r="AX675" s="55"/>
      <c r="AY675" s="55"/>
    </row>
    <row r="676" spans="21:51">
      <c r="U676" s="55"/>
      <c r="V676" s="55"/>
      <c r="W676" s="55"/>
      <c r="X676" s="55"/>
      <c r="Y676" s="55"/>
      <c r="Z676" s="55"/>
      <c r="AA676" s="55"/>
      <c r="AB676" s="55"/>
      <c r="AC676" s="55"/>
      <c r="AD676" s="55"/>
      <c r="AE676" s="55"/>
      <c r="AF676" s="55"/>
      <c r="AG676" s="55"/>
      <c r="AH676" s="55"/>
      <c r="AI676" s="55"/>
      <c r="AJ676" s="55"/>
      <c r="AK676" s="55"/>
      <c r="AL676" s="55"/>
      <c r="AM676" s="55"/>
      <c r="AN676" s="55"/>
      <c r="AO676" s="55"/>
      <c r="AP676" s="55"/>
      <c r="AQ676" s="55"/>
      <c r="AR676" s="55"/>
      <c r="AS676" s="55"/>
      <c r="AT676" s="55"/>
      <c r="AU676" s="55"/>
      <c r="AV676" s="55"/>
      <c r="AW676" s="55"/>
      <c r="AX676" s="55"/>
      <c r="AY676" s="55"/>
    </row>
    <row r="677" spans="21:51">
      <c r="U677" s="55"/>
      <c r="V677" s="55"/>
      <c r="W677" s="55"/>
      <c r="X677" s="55"/>
      <c r="Y677" s="55"/>
      <c r="Z677" s="55"/>
      <c r="AA677" s="55"/>
      <c r="AB677" s="55"/>
      <c r="AC677" s="55"/>
      <c r="AD677" s="55"/>
      <c r="AE677" s="55"/>
      <c r="AF677" s="55"/>
      <c r="AG677" s="55"/>
      <c r="AH677" s="55"/>
      <c r="AI677" s="55"/>
      <c r="AJ677" s="55"/>
      <c r="AK677" s="55"/>
      <c r="AL677" s="55"/>
      <c r="AM677" s="55"/>
      <c r="AN677" s="55"/>
      <c r="AO677" s="55"/>
      <c r="AP677" s="55"/>
      <c r="AQ677" s="55"/>
      <c r="AR677" s="55"/>
      <c r="AS677" s="55"/>
      <c r="AT677" s="55"/>
      <c r="AU677" s="55"/>
      <c r="AV677" s="55"/>
      <c r="AW677" s="55"/>
      <c r="AX677" s="55"/>
      <c r="AY677" s="55"/>
    </row>
    <row r="678" spans="21:51">
      <c r="U678" s="55"/>
      <c r="V678" s="55"/>
      <c r="W678" s="55"/>
      <c r="X678" s="55"/>
      <c r="Y678" s="55"/>
      <c r="Z678" s="55"/>
      <c r="AA678" s="55"/>
      <c r="AB678" s="55"/>
      <c r="AC678" s="55"/>
      <c r="AD678" s="55"/>
      <c r="AE678" s="55"/>
      <c r="AF678" s="55"/>
      <c r="AG678" s="55"/>
      <c r="AH678" s="55"/>
      <c r="AI678" s="55"/>
      <c r="AJ678" s="55"/>
      <c r="AK678" s="55"/>
      <c r="AL678" s="55"/>
      <c r="AM678" s="55"/>
      <c r="AN678" s="55"/>
      <c r="AO678" s="55"/>
      <c r="AP678" s="55"/>
      <c r="AQ678" s="55"/>
      <c r="AR678" s="55"/>
      <c r="AS678" s="55"/>
      <c r="AT678" s="55"/>
      <c r="AU678" s="55"/>
      <c r="AV678" s="55"/>
      <c r="AW678" s="55"/>
      <c r="AX678" s="55"/>
      <c r="AY678" s="55"/>
    </row>
    <row r="679" spans="21:51">
      <c r="U679" s="55"/>
      <c r="V679" s="55"/>
      <c r="W679" s="55"/>
      <c r="X679" s="55"/>
      <c r="Y679" s="55"/>
      <c r="Z679" s="55"/>
      <c r="AA679" s="55"/>
      <c r="AB679" s="55"/>
      <c r="AC679" s="55"/>
      <c r="AD679" s="55"/>
      <c r="AE679" s="55"/>
      <c r="AF679" s="55"/>
      <c r="AG679" s="55"/>
      <c r="AH679" s="55"/>
      <c r="AI679" s="55"/>
      <c r="AJ679" s="55"/>
      <c r="AK679" s="55"/>
      <c r="AL679" s="55"/>
      <c r="AM679" s="55"/>
      <c r="AN679" s="55"/>
      <c r="AO679" s="55"/>
      <c r="AP679" s="55"/>
      <c r="AQ679" s="55"/>
      <c r="AR679" s="55"/>
      <c r="AS679" s="55"/>
      <c r="AT679" s="55"/>
      <c r="AU679" s="55"/>
      <c r="AV679" s="55"/>
      <c r="AW679" s="55"/>
      <c r="AX679" s="55"/>
      <c r="AY679" s="55"/>
    </row>
    <row r="680" spans="21:51">
      <c r="U680" s="55"/>
      <c r="V680" s="55"/>
      <c r="W680" s="55"/>
      <c r="X680" s="55"/>
      <c r="Y680" s="55"/>
      <c r="Z680" s="55"/>
      <c r="AA680" s="55"/>
      <c r="AB680" s="55"/>
      <c r="AC680" s="55"/>
      <c r="AD680" s="55"/>
      <c r="AE680" s="55"/>
      <c r="AF680" s="55"/>
      <c r="AG680" s="55"/>
      <c r="AH680" s="55"/>
      <c r="AI680" s="55"/>
      <c r="AJ680" s="55"/>
      <c r="AK680" s="55"/>
      <c r="AL680" s="55"/>
      <c r="AM680" s="55"/>
      <c r="AN680" s="55"/>
      <c r="AO680" s="55"/>
      <c r="AP680" s="55"/>
      <c r="AQ680" s="55"/>
      <c r="AR680" s="55"/>
      <c r="AS680" s="55"/>
      <c r="AT680" s="55"/>
      <c r="AU680" s="55"/>
      <c r="AV680" s="55"/>
      <c r="AW680" s="55"/>
      <c r="AX680" s="55"/>
      <c r="AY680" s="55"/>
    </row>
    <row r="681" spans="21:51">
      <c r="U681" s="55"/>
      <c r="V681" s="55"/>
      <c r="W681" s="55"/>
      <c r="X681" s="55"/>
      <c r="Y681" s="55"/>
      <c r="Z681" s="55"/>
      <c r="AA681" s="55"/>
      <c r="AB681" s="55"/>
      <c r="AC681" s="55"/>
      <c r="AD681" s="55"/>
      <c r="AE681" s="55"/>
      <c r="AF681" s="55"/>
      <c r="AG681" s="55"/>
      <c r="AH681" s="55"/>
      <c r="AI681" s="55"/>
      <c r="AJ681" s="55"/>
      <c r="AK681" s="55"/>
      <c r="AL681" s="55"/>
      <c r="AM681" s="55"/>
      <c r="AN681" s="55"/>
      <c r="AO681" s="55"/>
      <c r="AP681" s="55"/>
      <c r="AQ681" s="55"/>
      <c r="AR681" s="55"/>
      <c r="AS681" s="55"/>
      <c r="AT681" s="55"/>
      <c r="AU681" s="55"/>
      <c r="AV681" s="55"/>
      <c r="AW681" s="55"/>
      <c r="AX681" s="55"/>
      <c r="AY681" s="55"/>
    </row>
    <row r="682" spans="21:51">
      <c r="U682" s="55"/>
      <c r="V682" s="55"/>
      <c r="W682" s="55"/>
      <c r="X682" s="55"/>
      <c r="Y682" s="55"/>
      <c r="Z682" s="55"/>
      <c r="AA682" s="55"/>
      <c r="AB682" s="55"/>
      <c r="AC682" s="55"/>
      <c r="AD682" s="55"/>
      <c r="AE682" s="55"/>
      <c r="AF682" s="55"/>
      <c r="AG682" s="55"/>
      <c r="AH682" s="55"/>
      <c r="AI682" s="55"/>
      <c r="AJ682" s="55"/>
      <c r="AK682" s="55"/>
      <c r="AL682" s="55"/>
      <c r="AM682" s="55"/>
      <c r="AN682" s="55"/>
      <c r="AO682" s="55"/>
      <c r="AP682" s="55"/>
      <c r="AQ682" s="55"/>
      <c r="AR682" s="55"/>
      <c r="AS682" s="55"/>
      <c r="AT682" s="55"/>
      <c r="AU682" s="55"/>
      <c r="AV682" s="55"/>
      <c r="AW682" s="55"/>
      <c r="AX682" s="55"/>
      <c r="AY682" s="55"/>
    </row>
    <row r="683" spans="21:51">
      <c r="U683" s="55"/>
      <c r="V683" s="55"/>
      <c r="W683" s="55"/>
      <c r="X683" s="55"/>
      <c r="Y683" s="55"/>
      <c r="Z683" s="55"/>
      <c r="AA683" s="55"/>
      <c r="AB683" s="55"/>
      <c r="AC683" s="55"/>
      <c r="AD683" s="55"/>
      <c r="AE683" s="55"/>
      <c r="AF683" s="55"/>
      <c r="AG683" s="55"/>
      <c r="AH683" s="55"/>
      <c r="AI683" s="55"/>
      <c r="AJ683" s="55"/>
      <c r="AK683" s="55"/>
      <c r="AL683" s="55"/>
      <c r="AM683" s="55"/>
      <c r="AN683" s="55"/>
      <c r="AO683" s="55"/>
      <c r="AP683" s="55"/>
      <c r="AQ683" s="55"/>
      <c r="AR683" s="55"/>
      <c r="AS683" s="55"/>
      <c r="AT683" s="55"/>
      <c r="AU683" s="55"/>
      <c r="AV683" s="55"/>
      <c r="AW683" s="55"/>
      <c r="AX683" s="55"/>
      <c r="AY683" s="55"/>
    </row>
    <row r="684" spans="21:51">
      <c r="U684" s="55"/>
      <c r="V684" s="55"/>
      <c r="W684" s="55"/>
      <c r="X684" s="55"/>
      <c r="Y684" s="55"/>
      <c r="Z684" s="55"/>
      <c r="AA684" s="55"/>
      <c r="AB684" s="55"/>
      <c r="AC684" s="55"/>
      <c r="AD684" s="55"/>
      <c r="AE684" s="55"/>
      <c r="AF684" s="55"/>
      <c r="AG684" s="55"/>
      <c r="AH684" s="55"/>
      <c r="AI684" s="55"/>
      <c r="AJ684" s="55"/>
      <c r="AK684" s="55"/>
      <c r="AL684" s="55"/>
      <c r="AM684" s="55"/>
      <c r="AN684" s="55"/>
      <c r="AO684" s="55"/>
      <c r="AP684" s="55"/>
      <c r="AQ684" s="55"/>
      <c r="AR684" s="55"/>
      <c r="AS684" s="55"/>
      <c r="AT684" s="55"/>
      <c r="AU684" s="55"/>
      <c r="AV684" s="55"/>
      <c r="AW684" s="55"/>
      <c r="AX684" s="55"/>
      <c r="AY684" s="55"/>
    </row>
    <row r="685" spans="21:51">
      <c r="U685" s="55"/>
      <c r="V685" s="55"/>
      <c r="W685" s="55"/>
      <c r="X685" s="55"/>
      <c r="Y685" s="55"/>
      <c r="Z685" s="55"/>
      <c r="AA685" s="55"/>
      <c r="AB685" s="55"/>
      <c r="AC685" s="55"/>
      <c r="AD685" s="55"/>
      <c r="AE685" s="55"/>
      <c r="AF685" s="55"/>
      <c r="AG685" s="55"/>
      <c r="AH685" s="55"/>
      <c r="AI685" s="55"/>
      <c r="AJ685" s="55"/>
      <c r="AK685" s="55"/>
      <c r="AL685" s="55"/>
      <c r="AM685" s="55"/>
      <c r="AN685" s="55"/>
      <c r="AO685" s="55"/>
      <c r="AP685" s="55"/>
      <c r="AQ685" s="55"/>
      <c r="AR685" s="55"/>
      <c r="AS685" s="55"/>
      <c r="AT685" s="55"/>
      <c r="AU685" s="55"/>
      <c r="AV685" s="55"/>
      <c r="AW685" s="55"/>
      <c r="AX685" s="55"/>
      <c r="AY685" s="55"/>
    </row>
    <row r="686" spans="21:51">
      <c r="U686" s="55"/>
      <c r="V686" s="55"/>
      <c r="W686" s="55"/>
      <c r="X686" s="55"/>
      <c r="Y686" s="55"/>
      <c r="Z686" s="55"/>
      <c r="AA686" s="55"/>
      <c r="AB686" s="55"/>
      <c r="AC686" s="55"/>
      <c r="AD686" s="55"/>
      <c r="AE686" s="55"/>
      <c r="AF686" s="55"/>
      <c r="AG686" s="55"/>
      <c r="AH686" s="55"/>
      <c r="AI686" s="55"/>
      <c r="AJ686" s="55"/>
      <c r="AK686" s="55"/>
      <c r="AL686" s="55"/>
      <c r="AM686" s="55"/>
      <c r="AN686" s="55"/>
      <c r="AO686" s="55"/>
      <c r="AP686" s="55"/>
      <c r="AQ686" s="55"/>
      <c r="AR686" s="55"/>
      <c r="AS686" s="55"/>
      <c r="AT686" s="55"/>
      <c r="AU686" s="55"/>
      <c r="AV686" s="55"/>
      <c r="AW686" s="55"/>
      <c r="AX686" s="55"/>
      <c r="AY686" s="55"/>
    </row>
    <row r="687" spans="21:51">
      <c r="U687" s="55"/>
      <c r="V687" s="55"/>
      <c r="W687" s="55"/>
      <c r="X687" s="55"/>
      <c r="Y687" s="55"/>
      <c r="Z687" s="55"/>
      <c r="AA687" s="55"/>
      <c r="AB687" s="55"/>
      <c r="AC687" s="55"/>
      <c r="AD687" s="55"/>
      <c r="AE687" s="55"/>
      <c r="AF687" s="55"/>
      <c r="AG687" s="55"/>
      <c r="AH687" s="55"/>
      <c r="AI687" s="55"/>
      <c r="AJ687" s="55"/>
      <c r="AK687" s="55"/>
      <c r="AL687" s="55"/>
      <c r="AM687" s="55"/>
      <c r="AN687" s="55"/>
      <c r="AO687" s="55"/>
      <c r="AP687" s="55"/>
      <c r="AQ687" s="55"/>
      <c r="AR687" s="55"/>
      <c r="AS687" s="55"/>
      <c r="AT687" s="55"/>
      <c r="AU687" s="55"/>
      <c r="AV687" s="55"/>
      <c r="AW687" s="55"/>
      <c r="AX687" s="55"/>
      <c r="AY687" s="55"/>
    </row>
    <row r="688" spans="21:51">
      <c r="U688" s="55"/>
      <c r="V688" s="55"/>
      <c r="W688" s="55"/>
      <c r="X688" s="55"/>
      <c r="Y688" s="55"/>
      <c r="Z688" s="55"/>
      <c r="AA688" s="55"/>
      <c r="AB688" s="55"/>
      <c r="AC688" s="55"/>
      <c r="AD688" s="55"/>
      <c r="AE688" s="55"/>
      <c r="AF688" s="55"/>
      <c r="AG688" s="55"/>
      <c r="AH688" s="55"/>
      <c r="AI688" s="55"/>
      <c r="AJ688" s="55"/>
      <c r="AK688" s="55"/>
      <c r="AL688" s="55"/>
      <c r="AM688" s="55"/>
      <c r="AN688" s="55"/>
      <c r="AO688" s="55"/>
      <c r="AP688" s="55"/>
      <c r="AQ688" s="55"/>
      <c r="AR688" s="55"/>
      <c r="AS688" s="55"/>
      <c r="AT688" s="55"/>
      <c r="AU688" s="55"/>
      <c r="AV688" s="55"/>
      <c r="AW688" s="55"/>
      <c r="AX688" s="55"/>
      <c r="AY688" s="55"/>
    </row>
    <row r="689" spans="21:51">
      <c r="U689" s="55"/>
      <c r="V689" s="55"/>
      <c r="W689" s="55"/>
      <c r="X689" s="55"/>
      <c r="Y689" s="55"/>
      <c r="Z689" s="55"/>
      <c r="AA689" s="55"/>
      <c r="AB689" s="55"/>
      <c r="AC689" s="55"/>
      <c r="AD689" s="55"/>
      <c r="AE689" s="55"/>
      <c r="AF689" s="55"/>
      <c r="AG689" s="55"/>
      <c r="AH689" s="55"/>
      <c r="AI689" s="55"/>
      <c r="AJ689" s="55"/>
      <c r="AK689" s="55"/>
      <c r="AL689" s="55"/>
      <c r="AM689" s="55"/>
      <c r="AN689" s="55"/>
      <c r="AO689" s="55"/>
      <c r="AP689" s="55"/>
      <c r="AQ689" s="55"/>
      <c r="AR689" s="55"/>
      <c r="AS689" s="55"/>
      <c r="AT689" s="55"/>
      <c r="AU689" s="55"/>
      <c r="AV689" s="55"/>
      <c r="AW689" s="55"/>
      <c r="AX689" s="55"/>
      <c r="AY689" s="55"/>
    </row>
    <row r="690" spans="21:51">
      <c r="U690" s="55"/>
      <c r="V690" s="55"/>
      <c r="W690" s="55"/>
      <c r="X690" s="55"/>
      <c r="Y690" s="55"/>
      <c r="Z690" s="55"/>
      <c r="AA690" s="55"/>
      <c r="AB690" s="55"/>
      <c r="AC690" s="55"/>
      <c r="AD690" s="55"/>
      <c r="AE690" s="55"/>
      <c r="AF690" s="55"/>
      <c r="AG690" s="55"/>
      <c r="AH690" s="55"/>
      <c r="AI690" s="55"/>
      <c r="AJ690" s="55"/>
      <c r="AK690" s="55"/>
      <c r="AL690" s="55"/>
      <c r="AM690" s="55"/>
      <c r="AN690" s="55"/>
      <c r="AO690" s="55"/>
      <c r="AP690" s="55"/>
      <c r="AQ690" s="55"/>
      <c r="AR690" s="55"/>
      <c r="AS690" s="55"/>
      <c r="AT690" s="55"/>
      <c r="AU690" s="55"/>
      <c r="AV690" s="55"/>
      <c r="AW690" s="55"/>
      <c r="AX690" s="55"/>
      <c r="AY690" s="55"/>
    </row>
    <row r="691" spans="21:51">
      <c r="U691" s="55"/>
      <c r="V691" s="55"/>
      <c r="W691" s="55"/>
      <c r="X691" s="55"/>
      <c r="Y691" s="55"/>
      <c r="Z691" s="55"/>
      <c r="AA691" s="55"/>
      <c r="AB691" s="55"/>
      <c r="AC691" s="55"/>
      <c r="AD691" s="55"/>
      <c r="AE691" s="55"/>
      <c r="AF691" s="55"/>
      <c r="AG691" s="55"/>
      <c r="AH691" s="55"/>
      <c r="AI691" s="55"/>
      <c r="AJ691" s="55"/>
      <c r="AK691" s="55"/>
      <c r="AL691" s="55"/>
      <c r="AM691" s="55"/>
      <c r="AN691" s="55"/>
      <c r="AO691" s="55"/>
      <c r="AP691" s="55"/>
      <c r="AQ691" s="55"/>
      <c r="AR691" s="55"/>
      <c r="AS691" s="55"/>
      <c r="AT691" s="55"/>
      <c r="AU691" s="55"/>
      <c r="AV691" s="55"/>
      <c r="AW691" s="55"/>
      <c r="AX691" s="55"/>
      <c r="AY691" s="55"/>
    </row>
    <row r="692" spans="21:51">
      <c r="U692" s="55"/>
      <c r="V692" s="55"/>
      <c r="W692" s="55"/>
      <c r="X692" s="55"/>
      <c r="Y692" s="55"/>
      <c r="Z692" s="55"/>
      <c r="AA692" s="55"/>
      <c r="AB692" s="55"/>
      <c r="AC692" s="55"/>
      <c r="AD692" s="55"/>
      <c r="AE692" s="55"/>
      <c r="AF692" s="55"/>
      <c r="AG692" s="55"/>
      <c r="AH692" s="55"/>
      <c r="AI692" s="55"/>
      <c r="AJ692" s="55"/>
      <c r="AK692" s="55"/>
      <c r="AL692" s="55"/>
      <c r="AM692" s="55"/>
      <c r="AN692" s="55"/>
      <c r="AO692" s="55"/>
      <c r="AP692" s="55"/>
      <c r="AQ692" s="55"/>
      <c r="AR692" s="55"/>
      <c r="AS692" s="55"/>
      <c r="AT692" s="55"/>
      <c r="AU692" s="55"/>
      <c r="AV692" s="55"/>
      <c r="AW692" s="55"/>
      <c r="AX692" s="55"/>
      <c r="AY692" s="55"/>
    </row>
    <row r="693" spans="21:51">
      <c r="U693" s="55"/>
      <c r="V693" s="55"/>
      <c r="W693" s="55"/>
      <c r="X693" s="55"/>
      <c r="Y693" s="55"/>
      <c r="Z693" s="55"/>
      <c r="AA693" s="55"/>
      <c r="AB693" s="55"/>
      <c r="AC693" s="55"/>
      <c r="AD693" s="55"/>
      <c r="AE693" s="55"/>
      <c r="AF693" s="55"/>
      <c r="AG693" s="55"/>
      <c r="AH693" s="55"/>
      <c r="AI693" s="55"/>
      <c r="AJ693" s="55"/>
      <c r="AK693" s="55"/>
      <c r="AL693" s="55"/>
      <c r="AM693" s="55"/>
      <c r="AN693" s="55"/>
      <c r="AO693" s="55"/>
      <c r="AP693" s="55"/>
      <c r="AQ693" s="55"/>
      <c r="AR693" s="55"/>
      <c r="AS693" s="55"/>
      <c r="AT693" s="55"/>
      <c r="AU693" s="55"/>
      <c r="AV693" s="55"/>
      <c r="AW693" s="55"/>
      <c r="AX693" s="55"/>
      <c r="AY693" s="55"/>
    </row>
    <row r="694" spans="21:51">
      <c r="U694" s="55"/>
      <c r="V694" s="55"/>
      <c r="W694" s="55"/>
      <c r="X694" s="55"/>
      <c r="Y694" s="55"/>
      <c r="Z694" s="55"/>
      <c r="AA694" s="55"/>
      <c r="AB694" s="55"/>
      <c r="AC694" s="55"/>
      <c r="AD694" s="55"/>
      <c r="AE694" s="55"/>
      <c r="AF694" s="55"/>
      <c r="AG694" s="55"/>
      <c r="AH694" s="55"/>
      <c r="AI694" s="55"/>
      <c r="AJ694" s="55"/>
      <c r="AK694" s="55"/>
      <c r="AL694" s="55"/>
      <c r="AM694" s="55"/>
      <c r="AN694" s="55"/>
      <c r="AO694" s="55"/>
      <c r="AP694" s="55"/>
      <c r="AQ694" s="55"/>
      <c r="AR694" s="55"/>
      <c r="AS694" s="55"/>
      <c r="AT694" s="55"/>
      <c r="AU694" s="55"/>
      <c r="AV694" s="55"/>
      <c r="AW694" s="55"/>
      <c r="AX694" s="55"/>
      <c r="AY694" s="55"/>
    </row>
    <row r="695" spans="21:51">
      <c r="U695" s="55"/>
      <c r="V695" s="55"/>
      <c r="W695" s="55"/>
      <c r="X695" s="55"/>
      <c r="Y695" s="55"/>
      <c r="Z695" s="55"/>
      <c r="AA695" s="55"/>
      <c r="AB695" s="55"/>
      <c r="AC695" s="55"/>
      <c r="AD695" s="55"/>
      <c r="AE695" s="55"/>
      <c r="AF695" s="55"/>
      <c r="AG695" s="55"/>
      <c r="AH695" s="55"/>
      <c r="AI695" s="55"/>
      <c r="AJ695" s="55"/>
      <c r="AK695" s="55"/>
      <c r="AL695" s="55"/>
      <c r="AM695" s="55"/>
      <c r="AN695" s="55"/>
      <c r="AO695" s="55"/>
      <c r="AP695" s="55"/>
      <c r="AQ695" s="55"/>
      <c r="AR695" s="55"/>
      <c r="AS695" s="55"/>
      <c r="AT695" s="55"/>
      <c r="AU695" s="55"/>
      <c r="AV695" s="55"/>
      <c r="AW695" s="55"/>
      <c r="AX695" s="55"/>
      <c r="AY695" s="55"/>
    </row>
    <row r="696" spans="21:51">
      <c r="U696" s="55"/>
      <c r="V696" s="55"/>
      <c r="W696" s="55"/>
      <c r="X696" s="55"/>
      <c r="Y696" s="55"/>
      <c r="Z696" s="55"/>
      <c r="AA696" s="55"/>
      <c r="AB696" s="55"/>
      <c r="AC696" s="55"/>
      <c r="AD696" s="55"/>
      <c r="AE696" s="55"/>
      <c r="AF696" s="55"/>
      <c r="AG696" s="55"/>
      <c r="AH696" s="55"/>
      <c r="AI696" s="55"/>
      <c r="AJ696" s="55"/>
      <c r="AK696" s="55"/>
      <c r="AL696" s="55"/>
      <c r="AM696" s="55"/>
      <c r="AN696" s="55"/>
      <c r="AO696" s="55"/>
      <c r="AP696" s="55"/>
      <c r="AQ696" s="55"/>
      <c r="AR696" s="55"/>
      <c r="AS696" s="55"/>
      <c r="AT696" s="55"/>
      <c r="AU696" s="55"/>
      <c r="AV696" s="55"/>
      <c r="AW696" s="55"/>
      <c r="AX696" s="55"/>
      <c r="AY696" s="55"/>
    </row>
    <row r="697" spans="21:51">
      <c r="U697" s="55"/>
      <c r="V697" s="55"/>
      <c r="W697" s="55"/>
      <c r="X697" s="55"/>
      <c r="Y697" s="55"/>
      <c r="Z697" s="55"/>
      <c r="AA697" s="55"/>
      <c r="AB697" s="55"/>
      <c r="AC697" s="55"/>
      <c r="AD697" s="55"/>
      <c r="AE697" s="55"/>
      <c r="AF697" s="55"/>
      <c r="AG697" s="55"/>
      <c r="AH697" s="55"/>
      <c r="AI697" s="55"/>
      <c r="AJ697" s="55"/>
      <c r="AK697" s="55"/>
      <c r="AL697" s="55"/>
      <c r="AM697" s="55"/>
      <c r="AN697" s="55"/>
      <c r="AO697" s="55"/>
      <c r="AP697" s="55"/>
      <c r="AQ697" s="55"/>
      <c r="AR697" s="55"/>
      <c r="AS697" s="55"/>
      <c r="AT697" s="55"/>
      <c r="AU697" s="55"/>
      <c r="AV697" s="55"/>
      <c r="AW697" s="55"/>
      <c r="AX697" s="55"/>
      <c r="AY697" s="55"/>
    </row>
    <row r="698" spans="21:51">
      <c r="U698" s="55"/>
      <c r="V698" s="55"/>
      <c r="W698" s="55"/>
      <c r="X698" s="55"/>
      <c r="Y698" s="55"/>
      <c r="Z698" s="55"/>
      <c r="AA698" s="55"/>
      <c r="AB698" s="55"/>
      <c r="AC698" s="55"/>
      <c r="AD698" s="55"/>
      <c r="AE698" s="55"/>
      <c r="AF698" s="55"/>
      <c r="AG698" s="55"/>
      <c r="AH698" s="55"/>
      <c r="AI698" s="55"/>
      <c r="AJ698" s="55"/>
      <c r="AK698" s="55"/>
      <c r="AL698" s="55"/>
      <c r="AM698" s="55"/>
      <c r="AN698" s="55"/>
      <c r="AO698" s="55"/>
      <c r="AP698" s="55"/>
      <c r="AQ698" s="55"/>
      <c r="AR698" s="55"/>
      <c r="AS698" s="55"/>
      <c r="AT698" s="55"/>
      <c r="AU698" s="55"/>
      <c r="AV698" s="55"/>
      <c r="AW698" s="55"/>
      <c r="AX698" s="55"/>
      <c r="AY698" s="55"/>
    </row>
    <row r="699" spans="21:51">
      <c r="U699" s="55"/>
      <c r="V699" s="55"/>
      <c r="W699" s="55"/>
      <c r="X699" s="55"/>
      <c r="Y699" s="55"/>
      <c r="Z699" s="55"/>
      <c r="AA699" s="55"/>
      <c r="AB699" s="55"/>
      <c r="AC699" s="55"/>
      <c r="AD699" s="55"/>
      <c r="AE699" s="55"/>
      <c r="AF699" s="55"/>
      <c r="AG699" s="55"/>
      <c r="AH699" s="55"/>
      <c r="AI699" s="55"/>
      <c r="AJ699" s="55"/>
      <c r="AK699" s="55"/>
      <c r="AL699" s="55"/>
      <c r="AM699" s="55"/>
      <c r="AN699" s="55"/>
      <c r="AO699" s="55"/>
      <c r="AP699" s="55"/>
      <c r="AQ699" s="55"/>
      <c r="AR699" s="55"/>
      <c r="AS699" s="55"/>
      <c r="AT699" s="55"/>
      <c r="AU699" s="55"/>
      <c r="AV699" s="55"/>
      <c r="AW699" s="55"/>
      <c r="AX699" s="55"/>
      <c r="AY699" s="55"/>
    </row>
    <row r="700" spans="21:51">
      <c r="U700" s="55"/>
      <c r="V700" s="55"/>
      <c r="W700" s="55"/>
      <c r="X700" s="55"/>
      <c r="Y700" s="55"/>
      <c r="Z700" s="55"/>
      <c r="AA700" s="55"/>
      <c r="AB700" s="55"/>
      <c r="AC700" s="55"/>
      <c r="AD700" s="55"/>
      <c r="AE700" s="55"/>
      <c r="AF700" s="55"/>
      <c r="AG700" s="55"/>
      <c r="AH700" s="55"/>
      <c r="AI700" s="55"/>
      <c r="AJ700" s="55"/>
      <c r="AK700" s="55"/>
      <c r="AL700" s="55"/>
      <c r="AM700" s="55"/>
      <c r="AN700" s="55"/>
      <c r="AO700" s="55"/>
      <c r="AP700" s="55"/>
      <c r="AQ700" s="55"/>
      <c r="AR700" s="55"/>
      <c r="AS700" s="55"/>
      <c r="AT700" s="55"/>
      <c r="AU700" s="55"/>
      <c r="AV700" s="55"/>
      <c r="AW700" s="55"/>
      <c r="AX700" s="55"/>
      <c r="AY700" s="55"/>
    </row>
    <row r="701" spans="21:51">
      <c r="U701" s="55"/>
      <c r="V701" s="55"/>
      <c r="W701" s="55"/>
      <c r="X701" s="55"/>
      <c r="Y701" s="55"/>
      <c r="Z701" s="55"/>
      <c r="AA701" s="55"/>
      <c r="AB701" s="55"/>
      <c r="AC701" s="55"/>
      <c r="AD701" s="55"/>
      <c r="AE701" s="55"/>
      <c r="AF701" s="55"/>
      <c r="AG701" s="55"/>
      <c r="AH701" s="55"/>
      <c r="AI701" s="55"/>
      <c r="AJ701" s="55"/>
      <c r="AK701" s="55"/>
      <c r="AL701" s="55"/>
      <c r="AM701" s="55"/>
      <c r="AN701" s="55"/>
      <c r="AO701" s="55"/>
      <c r="AP701" s="55"/>
      <c r="AQ701" s="55"/>
      <c r="AR701" s="55"/>
      <c r="AS701" s="55"/>
      <c r="AT701" s="55"/>
      <c r="AU701" s="55"/>
      <c r="AV701" s="55"/>
      <c r="AW701" s="55"/>
      <c r="AX701" s="55"/>
      <c r="AY701" s="55"/>
    </row>
    <row r="702" spans="21:51">
      <c r="U702" s="55"/>
      <c r="V702" s="55"/>
      <c r="W702" s="55"/>
      <c r="X702" s="55"/>
      <c r="Y702" s="55"/>
      <c r="Z702" s="55"/>
      <c r="AA702" s="55"/>
      <c r="AB702" s="55"/>
      <c r="AC702" s="55"/>
      <c r="AD702" s="55"/>
      <c r="AE702" s="55"/>
      <c r="AF702" s="55"/>
      <c r="AG702" s="55"/>
      <c r="AH702" s="55"/>
      <c r="AI702" s="55"/>
      <c r="AJ702" s="55"/>
      <c r="AK702" s="55"/>
      <c r="AL702" s="55"/>
      <c r="AM702" s="55"/>
      <c r="AN702" s="55"/>
      <c r="AO702" s="55"/>
      <c r="AP702" s="55"/>
      <c r="AQ702" s="55"/>
      <c r="AR702" s="55"/>
      <c r="AS702" s="55"/>
      <c r="AT702" s="55"/>
      <c r="AU702" s="55"/>
      <c r="AV702" s="55"/>
      <c r="AW702" s="55"/>
      <c r="AX702" s="55"/>
      <c r="AY702" s="55"/>
    </row>
    <row r="703" spans="21:51">
      <c r="U703" s="55"/>
      <c r="V703" s="55"/>
      <c r="W703" s="55"/>
      <c r="X703" s="55"/>
      <c r="Y703" s="55"/>
      <c r="Z703" s="55"/>
      <c r="AA703" s="55"/>
      <c r="AB703" s="55"/>
      <c r="AC703" s="55"/>
      <c r="AD703" s="55"/>
      <c r="AE703" s="55"/>
      <c r="AF703" s="55"/>
      <c r="AG703" s="55"/>
      <c r="AH703" s="55"/>
      <c r="AI703" s="55"/>
      <c r="AJ703" s="55"/>
      <c r="AK703" s="55"/>
      <c r="AL703" s="55"/>
      <c r="AM703" s="55"/>
      <c r="AN703" s="55"/>
      <c r="AO703" s="55"/>
      <c r="AP703" s="55"/>
      <c r="AQ703" s="55"/>
      <c r="AR703" s="55"/>
      <c r="AS703" s="55"/>
      <c r="AT703" s="55"/>
      <c r="AU703" s="55"/>
      <c r="AV703" s="55"/>
      <c r="AW703" s="55"/>
      <c r="AX703" s="55"/>
      <c r="AY703" s="55"/>
    </row>
    <row r="704" spans="21:51">
      <c r="U704" s="55"/>
      <c r="V704" s="55"/>
      <c r="W704" s="55"/>
      <c r="X704" s="55"/>
      <c r="Y704" s="55"/>
      <c r="Z704" s="55"/>
      <c r="AA704" s="55"/>
      <c r="AB704" s="55"/>
      <c r="AC704" s="55"/>
      <c r="AD704" s="55"/>
      <c r="AE704" s="55"/>
      <c r="AF704" s="55"/>
      <c r="AG704" s="55"/>
      <c r="AH704" s="55"/>
      <c r="AI704" s="55"/>
      <c r="AJ704" s="55"/>
      <c r="AK704" s="55"/>
      <c r="AL704" s="55"/>
      <c r="AM704" s="55"/>
      <c r="AN704" s="55"/>
      <c r="AO704" s="55"/>
      <c r="AP704" s="55"/>
      <c r="AQ704" s="55"/>
      <c r="AR704" s="55"/>
      <c r="AS704" s="55"/>
      <c r="AT704" s="55"/>
      <c r="AU704" s="55"/>
      <c r="AV704" s="55"/>
      <c r="AW704" s="55"/>
      <c r="AX704" s="55"/>
      <c r="AY704" s="55"/>
    </row>
    <row r="705" spans="21:51">
      <c r="U705" s="55"/>
      <c r="V705" s="55"/>
      <c r="W705" s="55"/>
      <c r="X705" s="55"/>
      <c r="Y705" s="55"/>
      <c r="Z705" s="55"/>
      <c r="AA705" s="55"/>
      <c r="AB705" s="55"/>
      <c r="AC705" s="55"/>
      <c r="AD705" s="55"/>
      <c r="AE705" s="55"/>
      <c r="AF705" s="55"/>
      <c r="AG705" s="55"/>
      <c r="AH705" s="55"/>
      <c r="AI705" s="55"/>
      <c r="AJ705" s="55"/>
      <c r="AK705" s="55"/>
      <c r="AL705" s="55"/>
      <c r="AM705" s="55"/>
      <c r="AN705" s="55"/>
      <c r="AO705" s="55"/>
      <c r="AP705" s="55"/>
      <c r="AQ705" s="55"/>
      <c r="AR705" s="55"/>
      <c r="AS705" s="55"/>
      <c r="AT705" s="55"/>
      <c r="AU705" s="55"/>
      <c r="AV705" s="55"/>
      <c r="AW705" s="55"/>
      <c r="AX705" s="55"/>
      <c r="AY705" s="55"/>
    </row>
    <row r="706" spans="21:51">
      <c r="U706" s="55"/>
      <c r="V706" s="55"/>
      <c r="W706" s="55"/>
      <c r="X706" s="55"/>
      <c r="Y706" s="55"/>
      <c r="Z706" s="55"/>
      <c r="AA706" s="55"/>
      <c r="AB706" s="55"/>
      <c r="AC706" s="55"/>
      <c r="AD706" s="55"/>
      <c r="AE706" s="55"/>
      <c r="AF706" s="55"/>
      <c r="AG706" s="55"/>
      <c r="AH706" s="55"/>
      <c r="AI706" s="55"/>
      <c r="AJ706" s="55"/>
      <c r="AK706" s="55"/>
      <c r="AL706" s="55"/>
      <c r="AM706" s="55"/>
      <c r="AN706" s="55"/>
      <c r="AO706" s="55"/>
      <c r="AP706" s="55"/>
      <c r="AQ706" s="55"/>
      <c r="AR706" s="55"/>
      <c r="AS706" s="55"/>
      <c r="AT706" s="55"/>
      <c r="AU706" s="55"/>
      <c r="AV706" s="55"/>
      <c r="AW706" s="55"/>
      <c r="AX706" s="55"/>
      <c r="AY706" s="55"/>
    </row>
    <row r="707" spans="21:51">
      <c r="U707" s="55"/>
      <c r="V707" s="55"/>
      <c r="W707" s="55"/>
      <c r="X707" s="55"/>
      <c r="Y707" s="55"/>
      <c r="Z707" s="55"/>
      <c r="AA707" s="55"/>
      <c r="AB707" s="55"/>
      <c r="AC707" s="55"/>
      <c r="AD707" s="55"/>
      <c r="AE707" s="55"/>
      <c r="AF707" s="55"/>
      <c r="AG707" s="55"/>
      <c r="AH707" s="55"/>
      <c r="AI707" s="55"/>
      <c r="AJ707" s="55"/>
      <c r="AK707" s="55"/>
      <c r="AL707" s="55"/>
      <c r="AM707" s="55"/>
      <c r="AN707" s="55"/>
      <c r="AO707" s="55"/>
      <c r="AP707" s="55"/>
      <c r="AQ707" s="55"/>
      <c r="AR707" s="55"/>
      <c r="AS707" s="55"/>
      <c r="AT707" s="55"/>
      <c r="AU707" s="55"/>
      <c r="AV707" s="55"/>
      <c r="AW707" s="55"/>
      <c r="AX707" s="55"/>
      <c r="AY707" s="55"/>
    </row>
    <row r="708" spans="21:51">
      <c r="U708" s="55"/>
      <c r="V708" s="55"/>
      <c r="W708" s="55"/>
      <c r="X708" s="55"/>
      <c r="Y708" s="55"/>
      <c r="Z708" s="55"/>
      <c r="AA708" s="55"/>
      <c r="AB708" s="55"/>
      <c r="AC708" s="55"/>
      <c r="AD708" s="55"/>
      <c r="AE708" s="55"/>
      <c r="AF708" s="55"/>
      <c r="AG708" s="55"/>
      <c r="AH708" s="55"/>
      <c r="AI708" s="55"/>
      <c r="AJ708" s="55"/>
      <c r="AK708" s="55"/>
      <c r="AL708" s="55"/>
      <c r="AM708" s="55"/>
      <c r="AN708" s="55"/>
      <c r="AO708" s="55"/>
      <c r="AP708" s="55"/>
      <c r="AQ708" s="55"/>
      <c r="AR708" s="55"/>
      <c r="AS708" s="55"/>
      <c r="AT708" s="55"/>
      <c r="AU708" s="55"/>
      <c r="AV708" s="55"/>
      <c r="AW708" s="55"/>
      <c r="AX708" s="55"/>
      <c r="AY708" s="55"/>
    </row>
    <row r="709" spans="21:51">
      <c r="U709" s="55"/>
      <c r="V709" s="55"/>
      <c r="W709" s="55"/>
      <c r="X709" s="55"/>
      <c r="Y709" s="55"/>
      <c r="Z709" s="55"/>
      <c r="AA709" s="55"/>
      <c r="AB709" s="55"/>
      <c r="AC709" s="55"/>
      <c r="AD709" s="55"/>
      <c r="AE709" s="55"/>
      <c r="AF709" s="55"/>
      <c r="AG709" s="55"/>
      <c r="AH709" s="55"/>
      <c r="AI709" s="55"/>
      <c r="AJ709" s="55"/>
      <c r="AK709" s="55"/>
      <c r="AL709" s="55"/>
      <c r="AM709" s="55"/>
      <c r="AN709" s="55"/>
      <c r="AO709" s="55"/>
      <c r="AP709" s="55"/>
      <c r="AQ709" s="55"/>
      <c r="AR709" s="55"/>
      <c r="AS709" s="55"/>
      <c r="AT709" s="55"/>
      <c r="AU709" s="55"/>
      <c r="AV709" s="55"/>
      <c r="AW709" s="55"/>
      <c r="AX709" s="55"/>
      <c r="AY709" s="55"/>
    </row>
    <row r="710" spans="21:51">
      <c r="U710" s="55"/>
      <c r="V710" s="55"/>
      <c r="W710" s="55"/>
      <c r="X710" s="55"/>
      <c r="Y710" s="55"/>
      <c r="Z710" s="55"/>
      <c r="AA710" s="55"/>
      <c r="AB710" s="55"/>
      <c r="AC710" s="55"/>
      <c r="AD710" s="55"/>
      <c r="AE710" s="55"/>
      <c r="AF710" s="55"/>
      <c r="AG710" s="55"/>
      <c r="AH710" s="55"/>
      <c r="AI710" s="55"/>
      <c r="AJ710" s="55"/>
      <c r="AK710" s="55"/>
      <c r="AL710" s="55"/>
      <c r="AM710" s="55"/>
      <c r="AN710" s="55"/>
      <c r="AO710" s="55"/>
      <c r="AP710" s="55"/>
      <c r="AQ710" s="55"/>
      <c r="AR710" s="55"/>
      <c r="AS710" s="55"/>
      <c r="AT710" s="55"/>
      <c r="AU710" s="55"/>
      <c r="AV710" s="55"/>
      <c r="AW710" s="55"/>
      <c r="AX710" s="55"/>
      <c r="AY710" s="55"/>
    </row>
    <row r="711" spans="21:51">
      <c r="U711" s="55"/>
      <c r="V711" s="55"/>
      <c r="W711" s="55"/>
      <c r="X711" s="55"/>
      <c r="Y711" s="55"/>
      <c r="Z711" s="55"/>
      <c r="AA711" s="55"/>
      <c r="AB711" s="55"/>
      <c r="AC711" s="55"/>
      <c r="AD711" s="55"/>
      <c r="AE711" s="55"/>
      <c r="AF711" s="55"/>
      <c r="AG711" s="55"/>
      <c r="AH711" s="55"/>
      <c r="AI711" s="55"/>
      <c r="AJ711" s="55"/>
      <c r="AK711" s="55"/>
      <c r="AL711" s="55"/>
      <c r="AM711" s="55"/>
      <c r="AN711" s="55"/>
      <c r="AO711" s="55"/>
      <c r="AP711" s="55"/>
      <c r="AQ711" s="55"/>
      <c r="AR711" s="55"/>
      <c r="AS711" s="55"/>
      <c r="AT711" s="55"/>
      <c r="AU711" s="55"/>
      <c r="AV711" s="55"/>
      <c r="AW711" s="55"/>
      <c r="AX711" s="55"/>
      <c r="AY711" s="55"/>
    </row>
    <row r="712" spans="21:51">
      <c r="U712" s="55"/>
      <c r="V712" s="55"/>
      <c r="W712" s="55"/>
      <c r="X712" s="55"/>
      <c r="Y712" s="55"/>
      <c r="Z712" s="55"/>
      <c r="AA712" s="55"/>
      <c r="AB712" s="55"/>
      <c r="AC712" s="55"/>
      <c r="AD712" s="55"/>
      <c r="AE712" s="55"/>
      <c r="AF712" s="55"/>
      <c r="AG712" s="55"/>
      <c r="AH712" s="55"/>
      <c r="AI712" s="55"/>
      <c r="AJ712" s="55"/>
      <c r="AK712" s="55"/>
      <c r="AL712" s="55"/>
      <c r="AM712" s="55"/>
      <c r="AN712" s="55"/>
      <c r="AO712" s="55"/>
      <c r="AP712" s="55"/>
      <c r="AQ712" s="55"/>
      <c r="AR712" s="55"/>
      <c r="AS712" s="55"/>
      <c r="AT712" s="55"/>
      <c r="AU712" s="55"/>
      <c r="AV712" s="55"/>
      <c r="AW712" s="55"/>
      <c r="AX712" s="55"/>
      <c r="AY712" s="55"/>
    </row>
    <row r="713" spans="21:51">
      <c r="U713" s="55"/>
      <c r="V713" s="55"/>
      <c r="W713" s="55"/>
      <c r="X713" s="55"/>
      <c r="Y713" s="55"/>
      <c r="Z713" s="55"/>
      <c r="AA713" s="55"/>
      <c r="AB713" s="55"/>
      <c r="AC713" s="55"/>
      <c r="AD713" s="55"/>
      <c r="AE713" s="55"/>
      <c r="AF713" s="55"/>
      <c r="AG713" s="55"/>
      <c r="AH713" s="55"/>
      <c r="AI713" s="55"/>
      <c r="AJ713" s="55"/>
      <c r="AK713" s="55"/>
      <c r="AL713" s="55"/>
      <c r="AM713" s="55"/>
      <c r="AN713" s="55"/>
      <c r="AO713" s="55"/>
      <c r="AP713" s="55"/>
      <c r="AQ713" s="55"/>
      <c r="AR713" s="55"/>
      <c r="AS713" s="55"/>
      <c r="AT713" s="55"/>
      <c r="AU713" s="55"/>
      <c r="AV713" s="55"/>
      <c r="AW713" s="55"/>
      <c r="AX713" s="55"/>
      <c r="AY713" s="55"/>
    </row>
    <row r="714" spans="21:51">
      <c r="U714" s="55"/>
      <c r="V714" s="55"/>
      <c r="W714" s="55"/>
      <c r="X714" s="55"/>
      <c r="Y714" s="55"/>
      <c r="Z714" s="55"/>
      <c r="AA714" s="55"/>
      <c r="AB714" s="55"/>
      <c r="AC714" s="55"/>
      <c r="AD714" s="55"/>
      <c r="AE714" s="55"/>
      <c r="AF714" s="55"/>
      <c r="AG714" s="55"/>
      <c r="AH714" s="55"/>
      <c r="AI714" s="55"/>
      <c r="AJ714" s="55"/>
      <c r="AK714" s="55"/>
      <c r="AL714" s="55"/>
      <c r="AM714" s="55"/>
      <c r="AN714" s="55"/>
      <c r="AO714" s="55"/>
      <c r="AP714" s="55"/>
      <c r="AQ714" s="55"/>
      <c r="AR714" s="55"/>
      <c r="AS714" s="55"/>
      <c r="AT714" s="55"/>
      <c r="AU714" s="55"/>
      <c r="AV714" s="55"/>
      <c r="AW714" s="55"/>
      <c r="AX714" s="55"/>
      <c r="AY714" s="55"/>
    </row>
    <row r="715" spans="21:51">
      <c r="U715" s="55"/>
      <c r="V715" s="55"/>
      <c r="W715" s="55"/>
      <c r="X715" s="55"/>
      <c r="Y715" s="55"/>
      <c r="Z715" s="55"/>
      <c r="AA715" s="55"/>
      <c r="AB715" s="55"/>
      <c r="AC715" s="55"/>
      <c r="AD715" s="55"/>
      <c r="AE715" s="55"/>
      <c r="AF715" s="55"/>
      <c r="AG715" s="55"/>
      <c r="AH715" s="55"/>
      <c r="AI715" s="55"/>
      <c r="AJ715" s="55"/>
      <c r="AK715" s="55"/>
      <c r="AL715" s="55"/>
      <c r="AM715" s="55"/>
      <c r="AN715" s="55"/>
      <c r="AO715" s="55"/>
      <c r="AP715" s="55"/>
      <c r="AQ715" s="55"/>
      <c r="AR715" s="55"/>
      <c r="AS715" s="55"/>
      <c r="AT715" s="55"/>
      <c r="AU715" s="55"/>
      <c r="AV715" s="55"/>
      <c r="AW715" s="55"/>
      <c r="AX715" s="55"/>
      <c r="AY715" s="55"/>
    </row>
    <row r="716" spans="21:51">
      <c r="U716" s="55"/>
      <c r="V716" s="55"/>
      <c r="W716" s="55"/>
      <c r="X716" s="55"/>
      <c r="Y716" s="55"/>
      <c r="Z716" s="55"/>
      <c r="AA716" s="55"/>
      <c r="AB716" s="55"/>
      <c r="AC716" s="55"/>
      <c r="AD716" s="55"/>
      <c r="AE716" s="55"/>
      <c r="AF716" s="55"/>
      <c r="AG716" s="55"/>
      <c r="AH716" s="55"/>
      <c r="AI716" s="55"/>
      <c r="AJ716" s="55"/>
      <c r="AK716" s="55"/>
      <c r="AL716" s="55"/>
      <c r="AM716" s="55"/>
      <c r="AN716" s="55"/>
      <c r="AO716" s="55"/>
      <c r="AP716" s="55"/>
      <c r="AQ716" s="55"/>
      <c r="AR716" s="55"/>
      <c r="AS716" s="55"/>
      <c r="AT716" s="55"/>
      <c r="AU716" s="55"/>
      <c r="AV716" s="55"/>
      <c r="AW716" s="55"/>
      <c r="AX716" s="55"/>
      <c r="AY716" s="55"/>
    </row>
    <row r="717" spans="21:51">
      <c r="U717" s="55"/>
      <c r="V717" s="55"/>
      <c r="W717" s="55"/>
      <c r="X717" s="55"/>
      <c r="Y717" s="55"/>
      <c r="Z717" s="55"/>
      <c r="AA717" s="55"/>
      <c r="AB717" s="55"/>
      <c r="AC717" s="55"/>
      <c r="AD717" s="55"/>
      <c r="AE717" s="55"/>
      <c r="AF717" s="55"/>
      <c r="AG717" s="55"/>
      <c r="AH717" s="55"/>
      <c r="AI717" s="55"/>
      <c r="AJ717" s="55"/>
      <c r="AK717" s="55"/>
      <c r="AL717" s="55"/>
      <c r="AM717" s="55"/>
      <c r="AN717" s="55"/>
      <c r="AO717" s="55"/>
      <c r="AP717" s="55"/>
      <c r="AQ717" s="55"/>
      <c r="AR717" s="55"/>
      <c r="AS717" s="55"/>
      <c r="AT717" s="55"/>
      <c r="AU717" s="55"/>
      <c r="AV717" s="55"/>
      <c r="AW717" s="55"/>
      <c r="AX717" s="55"/>
      <c r="AY717" s="55"/>
    </row>
    <row r="718" spans="21:51">
      <c r="U718" s="55"/>
      <c r="V718" s="55"/>
      <c r="W718" s="55"/>
      <c r="X718" s="55"/>
      <c r="Y718" s="55"/>
      <c r="Z718" s="55"/>
      <c r="AA718" s="55"/>
      <c r="AB718" s="55"/>
      <c r="AC718" s="55"/>
      <c r="AD718" s="55"/>
      <c r="AE718" s="55"/>
      <c r="AF718" s="55"/>
      <c r="AG718" s="55"/>
      <c r="AH718" s="55"/>
      <c r="AI718" s="55"/>
      <c r="AJ718" s="55"/>
      <c r="AK718" s="55"/>
      <c r="AL718" s="55"/>
      <c r="AM718" s="55"/>
      <c r="AN718" s="55"/>
      <c r="AO718" s="55"/>
      <c r="AP718" s="55"/>
      <c r="AQ718" s="55"/>
      <c r="AR718" s="55"/>
      <c r="AS718" s="55"/>
      <c r="AT718" s="55"/>
      <c r="AU718" s="55"/>
      <c r="AV718" s="55"/>
      <c r="AW718" s="55"/>
      <c r="AX718" s="55"/>
      <c r="AY718" s="55"/>
    </row>
    <row r="719" spans="21:51">
      <c r="U719" s="55"/>
      <c r="V719" s="55"/>
      <c r="W719" s="55"/>
      <c r="X719" s="55"/>
      <c r="Y719" s="55"/>
      <c r="Z719" s="55"/>
      <c r="AA719" s="55"/>
      <c r="AB719" s="55"/>
      <c r="AC719" s="55"/>
      <c r="AD719" s="55"/>
      <c r="AE719" s="55"/>
      <c r="AF719" s="55"/>
      <c r="AG719" s="55"/>
      <c r="AH719" s="55"/>
      <c r="AI719" s="55"/>
      <c r="AJ719" s="55"/>
      <c r="AK719" s="55"/>
      <c r="AL719" s="55"/>
      <c r="AM719" s="55"/>
      <c r="AN719" s="55"/>
      <c r="AO719" s="55"/>
      <c r="AP719" s="55"/>
      <c r="AQ719" s="55"/>
      <c r="AR719" s="55"/>
      <c r="AS719" s="55"/>
      <c r="AT719" s="55"/>
      <c r="AU719" s="55"/>
      <c r="AV719" s="55"/>
      <c r="AW719" s="55"/>
      <c r="AX719" s="55"/>
      <c r="AY719" s="55"/>
    </row>
    <row r="720" spans="21:51">
      <c r="U720" s="55"/>
      <c r="V720" s="55"/>
      <c r="W720" s="55"/>
      <c r="X720" s="55"/>
      <c r="Y720" s="55"/>
      <c r="Z720" s="55"/>
      <c r="AA720" s="55"/>
      <c r="AB720" s="55"/>
      <c r="AC720" s="55"/>
      <c r="AD720" s="55"/>
      <c r="AE720" s="55"/>
      <c r="AF720" s="55"/>
      <c r="AG720" s="55"/>
      <c r="AH720" s="55"/>
      <c r="AI720" s="55"/>
      <c r="AJ720" s="55"/>
      <c r="AK720" s="55"/>
      <c r="AL720" s="55"/>
      <c r="AM720" s="55"/>
      <c r="AN720" s="55"/>
      <c r="AO720" s="55"/>
      <c r="AP720" s="55"/>
      <c r="AQ720" s="55"/>
      <c r="AR720" s="55"/>
      <c r="AS720" s="55"/>
      <c r="AT720" s="55"/>
      <c r="AU720" s="55"/>
      <c r="AV720" s="55"/>
      <c r="AW720" s="55"/>
      <c r="AX720" s="55"/>
      <c r="AY720" s="55"/>
    </row>
    <row r="721" spans="21:51">
      <c r="U721" s="55"/>
      <c r="V721" s="55"/>
      <c r="W721" s="55"/>
      <c r="X721" s="55"/>
      <c r="Y721" s="55"/>
      <c r="Z721" s="55"/>
      <c r="AA721" s="55"/>
      <c r="AB721" s="55"/>
      <c r="AC721" s="55"/>
      <c r="AD721" s="55"/>
      <c r="AE721" s="55"/>
      <c r="AF721" s="55"/>
      <c r="AG721" s="55"/>
      <c r="AH721" s="55"/>
      <c r="AI721" s="55"/>
      <c r="AJ721" s="55"/>
      <c r="AK721" s="55"/>
      <c r="AL721" s="55"/>
      <c r="AM721" s="55"/>
      <c r="AN721" s="55"/>
      <c r="AO721" s="55"/>
      <c r="AP721" s="55"/>
      <c r="AQ721" s="55"/>
      <c r="AR721" s="55"/>
      <c r="AS721" s="55"/>
      <c r="AT721" s="55"/>
      <c r="AU721" s="55"/>
      <c r="AV721" s="55"/>
      <c r="AW721" s="55"/>
      <c r="AX721" s="55"/>
      <c r="AY721" s="55"/>
    </row>
    <row r="722" spans="21:51">
      <c r="U722" s="55"/>
      <c r="V722" s="55"/>
      <c r="W722" s="55"/>
      <c r="X722" s="55"/>
      <c r="Y722" s="55"/>
      <c r="Z722" s="55"/>
      <c r="AA722" s="55"/>
      <c r="AB722" s="55"/>
      <c r="AC722" s="55"/>
      <c r="AD722" s="55"/>
      <c r="AE722" s="55"/>
      <c r="AF722" s="55"/>
      <c r="AG722" s="55"/>
      <c r="AH722" s="55"/>
      <c r="AI722" s="55"/>
      <c r="AJ722" s="55"/>
      <c r="AK722" s="55"/>
      <c r="AL722" s="55"/>
      <c r="AM722" s="55"/>
      <c r="AN722" s="55"/>
      <c r="AO722" s="55"/>
      <c r="AP722" s="55"/>
      <c r="AQ722" s="55"/>
      <c r="AR722" s="55"/>
      <c r="AS722" s="55"/>
      <c r="AT722" s="55"/>
      <c r="AU722" s="55"/>
      <c r="AV722" s="55"/>
      <c r="AW722" s="55"/>
      <c r="AX722" s="55"/>
      <c r="AY722" s="55"/>
    </row>
    <row r="723" spans="21:51">
      <c r="U723" s="55"/>
      <c r="V723" s="55"/>
      <c r="W723" s="55"/>
      <c r="X723" s="55"/>
      <c r="Y723" s="55"/>
      <c r="Z723" s="55"/>
      <c r="AA723" s="55"/>
      <c r="AB723" s="55"/>
      <c r="AC723" s="55"/>
      <c r="AD723" s="55"/>
      <c r="AE723" s="55"/>
      <c r="AF723" s="55"/>
      <c r="AG723" s="55"/>
      <c r="AH723" s="55"/>
      <c r="AI723" s="55"/>
      <c r="AJ723" s="55"/>
      <c r="AK723" s="55"/>
      <c r="AL723" s="55"/>
      <c r="AM723" s="55"/>
      <c r="AN723" s="55"/>
      <c r="AO723" s="55"/>
      <c r="AP723" s="55"/>
      <c r="AQ723" s="55"/>
      <c r="AR723" s="55"/>
      <c r="AS723" s="55"/>
      <c r="AT723" s="55"/>
      <c r="AU723" s="55"/>
      <c r="AV723" s="55"/>
      <c r="AW723" s="55"/>
      <c r="AX723" s="55"/>
      <c r="AY723" s="55"/>
    </row>
    <row r="724" spans="21:51">
      <c r="U724" s="55"/>
      <c r="V724" s="55"/>
      <c r="W724" s="55"/>
      <c r="X724" s="55"/>
      <c r="Y724" s="55"/>
      <c r="Z724" s="55"/>
      <c r="AA724" s="55"/>
      <c r="AB724" s="55"/>
      <c r="AC724" s="55"/>
      <c r="AD724" s="55"/>
      <c r="AE724" s="55"/>
      <c r="AF724" s="55"/>
      <c r="AG724" s="55"/>
      <c r="AH724" s="55"/>
      <c r="AI724" s="55"/>
      <c r="AJ724" s="55"/>
      <c r="AK724" s="55"/>
      <c r="AL724" s="55"/>
      <c r="AM724" s="55"/>
      <c r="AN724" s="55"/>
      <c r="AO724" s="55"/>
      <c r="AP724" s="55"/>
      <c r="AQ724" s="55"/>
      <c r="AR724" s="55"/>
      <c r="AS724" s="55"/>
      <c r="AT724" s="55"/>
      <c r="AU724" s="55"/>
      <c r="AV724" s="55"/>
      <c r="AW724" s="55"/>
      <c r="AX724" s="55"/>
      <c r="AY724" s="55"/>
    </row>
    <row r="725" spans="21:51">
      <c r="U725" s="55"/>
      <c r="V725" s="55"/>
      <c r="W725" s="55"/>
      <c r="X725" s="55"/>
      <c r="Y725" s="55"/>
      <c r="Z725" s="55"/>
      <c r="AA725" s="55"/>
      <c r="AB725" s="55"/>
      <c r="AC725" s="55"/>
      <c r="AD725" s="55"/>
      <c r="AE725" s="55"/>
      <c r="AF725" s="55"/>
      <c r="AG725" s="55"/>
      <c r="AH725" s="55"/>
      <c r="AI725" s="55"/>
      <c r="AJ725" s="55"/>
      <c r="AK725" s="55"/>
      <c r="AL725" s="55"/>
      <c r="AM725" s="55"/>
      <c r="AN725" s="55"/>
      <c r="AO725" s="55"/>
      <c r="AP725" s="55"/>
      <c r="AQ725" s="55"/>
      <c r="AR725" s="55"/>
      <c r="AS725" s="55"/>
      <c r="AT725" s="55"/>
      <c r="AU725" s="55"/>
      <c r="AV725" s="55"/>
      <c r="AW725" s="55"/>
      <c r="AX725" s="55"/>
      <c r="AY725" s="55"/>
    </row>
    <row r="726" spans="21:51">
      <c r="U726" s="55"/>
      <c r="V726" s="55"/>
      <c r="W726" s="55"/>
      <c r="X726" s="55"/>
      <c r="Y726" s="55"/>
      <c r="Z726" s="55"/>
      <c r="AA726" s="55"/>
      <c r="AB726" s="55"/>
      <c r="AC726" s="55"/>
      <c r="AD726" s="55"/>
      <c r="AE726" s="55"/>
      <c r="AF726" s="55"/>
      <c r="AG726" s="55"/>
      <c r="AH726" s="55"/>
      <c r="AI726" s="55"/>
      <c r="AJ726" s="55"/>
      <c r="AK726" s="55"/>
      <c r="AL726" s="55"/>
      <c r="AM726" s="55"/>
      <c r="AN726" s="55"/>
      <c r="AO726" s="55"/>
      <c r="AP726" s="55"/>
      <c r="AQ726" s="55"/>
      <c r="AR726" s="55"/>
      <c r="AS726" s="55"/>
      <c r="AT726" s="55"/>
      <c r="AU726" s="55"/>
      <c r="AV726" s="55"/>
      <c r="AW726" s="55"/>
      <c r="AX726" s="55"/>
      <c r="AY726" s="55"/>
    </row>
    <row r="727" spans="21:51">
      <c r="U727" s="55"/>
      <c r="V727" s="55"/>
      <c r="W727" s="55"/>
      <c r="X727" s="55"/>
      <c r="Y727" s="55"/>
      <c r="Z727" s="55"/>
      <c r="AA727" s="55"/>
      <c r="AB727" s="55"/>
      <c r="AC727" s="55"/>
      <c r="AD727" s="55"/>
      <c r="AE727" s="55"/>
      <c r="AF727" s="55"/>
      <c r="AG727" s="55"/>
      <c r="AH727" s="55"/>
      <c r="AI727" s="55"/>
      <c r="AJ727" s="55"/>
      <c r="AK727" s="55"/>
      <c r="AL727" s="55"/>
      <c r="AM727" s="55"/>
      <c r="AN727" s="55"/>
      <c r="AO727" s="55"/>
      <c r="AP727" s="55"/>
      <c r="AQ727" s="55"/>
      <c r="AR727" s="55"/>
      <c r="AS727" s="55"/>
      <c r="AT727" s="55"/>
      <c r="AU727" s="55"/>
      <c r="AV727" s="55"/>
      <c r="AW727" s="55"/>
      <c r="AX727" s="55"/>
      <c r="AY727" s="55"/>
    </row>
    <row r="728" spans="21:51">
      <c r="U728" s="55"/>
      <c r="V728" s="55"/>
      <c r="W728" s="55"/>
      <c r="X728" s="55"/>
      <c r="Y728" s="55"/>
      <c r="Z728" s="55"/>
      <c r="AA728" s="55"/>
      <c r="AB728" s="55"/>
      <c r="AC728" s="55"/>
      <c r="AD728" s="55"/>
      <c r="AE728" s="55"/>
      <c r="AF728" s="55"/>
      <c r="AG728" s="55"/>
      <c r="AH728" s="55"/>
      <c r="AI728" s="55"/>
      <c r="AJ728" s="55"/>
      <c r="AK728" s="55"/>
      <c r="AL728" s="55"/>
      <c r="AM728" s="55"/>
      <c r="AN728" s="55"/>
      <c r="AO728" s="55"/>
      <c r="AP728" s="55"/>
      <c r="AQ728" s="55"/>
      <c r="AR728" s="55"/>
      <c r="AS728" s="55"/>
      <c r="AT728" s="55"/>
      <c r="AU728" s="55"/>
      <c r="AV728" s="55"/>
      <c r="AW728" s="55"/>
      <c r="AX728" s="55"/>
      <c r="AY728" s="55"/>
    </row>
    <row r="729" spans="21:51">
      <c r="U729" s="55"/>
      <c r="V729" s="55"/>
      <c r="W729" s="55"/>
      <c r="X729" s="55"/>
      <c r="Y729" s="55"/>
      <c r="Z729" s="55"/>
      <c r="AA729" s="55"/>
      <c r="AB729" s="55"/>
      <c r="AC729" s="55"/>
      <c r="AD729" s="55"/>
      <c r="AE729" s="55"/>
      <c r="AF729" s="55"/>
      <c r="AG729" s="55"/>
      <c r="AH729" s="55"/>
      <c r="AI729" s="55"/>
      <c r="AJ729" s="55"/>
      <c r="AK729" s="55"/>
      <c r="AL729" s="55"/>
      <c r="AM729" s="55"/>
      <c r="AN729" s="55"/>
      <c r="AO729" s="55"/>
      <c r="AP729" s="55"/>
      <c r="AQ729" s="55"/>
      <c r="AR729" s="55"/>
      <c r="AS729" s="55"/>
      <c r="AT729" s="55"/>
      <c r="AU729" s="55"/>
      <c r="AV729" s="55"/>
      <c r="AW729" s="55"/>
      <c r="AX729" s="55"/>
      <c r="AY729" s="55"/>
    </row>
    <row r="730" spans="21:51">
      <c r="U730" s="55"/>
      <c r="V730" s="55"/>
      <c r="W730" s="55"/>
      <c r="X730" s="55"/>
      <c r="Y730" s="55"/>
      <c r="Z730" s="55"/>
      <c r="AA730" s="55"/>
      <c r="AB730" s="55"/>
      <c r="AC730" s="55"/>
      <c r="AD730" s="55"/>
      <c r="AE730" s="55"/>
      <c r="AF730" s="55"/>
      <c r="AG730" s="55"/>
      <c r="AH730" s="55"/>
      <c r="AI730" s="55"/>
      <c r="AJ730" s="55"/>
      <c r="AK730" s="55"/>
      <c r="AL730" s="55"/>
      <c r="AM730" s="55"/>
      <c r="AN730" s="55"/>
      <c r="AO730" s="55"/>
      <c r="AP730" s="55"/>
      <c r="AQ730" s="55"/>
      <c r="AR730" s="55"/>
      <c r="AS730" s="55"/>
      <c r="AT730" s="55"/>
      <c r="AU730" s="55"/>
      <c r="AV730" s="55"/>
      <c r="AW730" s="55"/>
      <c r="AX730" s="55"/>
      <c r="AY730" s="55"/>
    </row>
    <row r="731" spans="21:51">
      <c r="U731" s="55"/>
      <c r="V731" s="55"/>
      <c r="W731" s="55"/>
      <c r="X731" s="55"/>
      <c r="Y731" s="55"/>
      <c r="Z731" s="55"/>
      <c r="AA731" s="55"/>
      <c r="AB731" s="55"/>
      <c r="AC731" s="55"/>
      <c r="AD731" s="55"/>
      <c r="AE731" s="55"/>
      <c r="AF731" s="55"/>
      <c r="AG731" s="55"/>
      <c r="AH731" s="55"/>
      <c r="AI731" s="55"/>
      <c r="AJ731" s="55"/>
      <c r="AK731" s="55"/>
      <c r="AL731" s="55"/>
      <c r="AM731" s="55"/>
      <c r="AN731" s="55"/>
      <c r="AO731" s="55"/>
      <c r="AP731" s="55"/>
      <c r="AQ731" s="55"/>
      <c r="AR731" s="55"/>
      <c r="AS731" s="55"/>
      <c r="AT731" s="55"/>
      <c r="AU731" s="55"/>
      <c r="AV731" s="55"/>
      <c r="AW731" s="55"/>
      <c r="AX731" s="55"/>
      <c r="AY731" s="55"/>
    </row>
    <row r="732" spans="21:51">
      <c r="U732" s="55"/>
      <c r="V732" s="55"/>
      <c r="W732" s="55"/>
      <c r="X732" s="55"/>
      <c r="Y732" s="55"/>
      <c r="Z732" s="55"/>
      <c r="AA732" s="55"/>
      <c r="AB732" s="55"/>
      <c r="AC732" s="55"/>
      <c r="AD732" s="55"/>
      <c r="AE732" s="55"/>
      <c r="AF732" s="55"/>
      <c r="AG732" s="55"/>
      <c r="AH732" s="55"/>
      <c r="AI732" s="55"/>
      <c r="AJ732" s="55"/>
      <c r="AK732" s="55"/>
      <c r="AL732" s="55"/>
      <c r="AM732" s="55"/>
      <c r="AN732" s="55"/>
      <c r="AO732" s="55"/>
      <c r="AP732" s="55"/>
      <c r="AQ732" s="55"/>
      <c r="AR732" s="55"/>
      <c r="AS732" s="55"/>
      <c r="AT732" s="55"/>
      <c r="AU732" s="55"/>
      <c r="AV732" s="55"/>
      <c r="AW732" s="55"/>
      <c r="AX732" s="55"/>
      <c r="AY732" s="55"/>
    </row>
    <row r="733" spans="21:51">
      <c r="U733" s="55"/>
      <c r="V733" s="55"/>
      <c r="W733" s="55"/>
      <c r="X733" s="55"/>
      <c r="Y733" s="55"/>
      <c r="Z733" s="55"/>
      <c r="AA733" s="55"/>
      <c r="AB733" s="55"/>
      <c r="AC733" s="55"/>
      <c r="AD733" s="55"/>
      <c r="AE733" s="55"/>
      <c r="AF733" s="55"/>
      <c r="AG733" s="55"/>
      <c r="AH733" s="55"/>
      <c r="AI733" s="55"/>
      <c r="AJ733" s="55"/>
      <c r="AK733" s="55"/>
      <c r="AL733" s="55"/>
      <c r="AM733" s="55"/>
      <c r="AN733" s="55"/>
      <c r="AO733" s="55"/>
      <c r="AP733" s="55"/>
      <c r="AQ733" s="55"/>
      <c r="AR733" s="55"/>
      <c r="AS733" s="55"/>
      <c r="AT733" s="55"/>
      <c r="AU733" s="55"/>
      <c r="AV733" s="55"/>
      <c r="AW733" s="55"/>
      <c r="AX733" s="55"/>
      <c r="AY733" s="55"/>
    </row>
    <row r="734" spans="21:51">
      <c r="U734" s="55"/>
      <c r="V734" s="55"/>
      <c r="W734" s="55"/>
      <c r="X734" s="55"/>
      <c r="Y734" s="55"/>
      <c r="Z734" s="55"/>
      <c r="AA734" s="55"/>
      <c r="AB734" s="55"/>
      <c r="AC734" s="55"/>
      <c r="AD734" s="55"/>
      <c r="AE734" s="55"/>
      <c r="AF734" s="55"/>
      <c r="AG734" s="55"/>
      <c r="AH734" s="55"/>
      <c r="AI734" s="55"/>
      <c r="AJ734" s="55"/>
      <c r="AK734" s="55"/>
      <c r="AL734" s="55"/>
      <c r="AM734" s="55"/>
      <c r="AN734" s="55"/>
      <c r="AO734" s="55"/>
      <c r="AP734" s="55"/>
      <c r="AQ734" s="55"/>
      <c r="AR734" s="55"/>
      <c r="AS734" s="55"/>
      <c r="AT734" s="55"/>
      <c r="AU734" s="55"/>
      <c r="AV734" s="55"/>
      <c r="AW734" s="55"/>
      <c r="AX734" s="55"/>
      <c r="AY734" s="55"/>
    </row>
    <row r="735" spans="21:51">
      <c r="U735" s="55"/>
      <c r="V735" s="55"/>
      <c r="W735" s="55"/>
      <c r="X735" s="55"/>
      <c r="Y735" s="55"/>
      <c r="Z735" s="55"/>
      <c r="AA735" s="55"/>
      <c r="AB735" s="55"/>
      <c r="AC735" s="55"/>
      <c r="AD735" s="55"/>
      <c r="AE735" s="55"/>
      <c r="AF735" s="55"/>
      <c r="AG735" s="55"/>
      <c r="AH735" s="55"/>
      <c r="AI735" s="55"/>
      <c r="AJ735" s="55"/>
      <c r="AK735" s="55"/>
      <c r="AL735" s="55"/>
      <c r="AM735" s="55"/>
      <c r="AN735" s="55"/>
      <c r="AO735" s="55"/>
      <c r="AP735" s="55"/>
      <c r="AQ735" s="55"/>
      <c r="AR735" s="55"/>
      <c r="AS735" s="55"/>
      <c r="AT735" s="55"/>
      <c r="AU735" s="55"/>
      <c r="AV735" s="55"/>
      <c r="AW735" s="55"/>
      <c r="AX735" s="55"/>
      <c r="AY735" s="55"/>
    </row>
    <row r="736" spans="21:51">
      <c r="U736" s="55"/>
      <c r="V736" s="55"/>
      <c r="W736" s="55"/>
      <c r="X736" s="55"/>
      <c r="Y736" s="55"/>
      <c r="Z736" s="55"/>
      <c r="AA736" s="55"/>
      <c r="AB736" s="55"/>
      <c r="AC736" s="55"/>
      <c r="AD736" s="55"/>
      <c r="AE736" s="55"/>
      <c r="AF736" s="55"/>
      <c r="AG736" s="55"/>
      <c r="AH736" s="55"/>
      <c r="AI736" s="55"/>
      <c r="AJ736" s="55"/>
      <c r="AK736" s="55"/>
      <c r="AL736" s="55"/>
      <c r="AM736" s="55"/>
      <c r="AN736" s="55"/>
      <c r="AO736" s="55"/>
      <c r="AP736" s="55"/>
      <c r="AQ736" s="55"/>
      <c r="AR736" s="55"/>
      <c r="AS736" s="55"/>
      <c r="AT736" s="55"/>
      <c r="AU736" s="55"/>
      <c r="AV736" s="55"/>
      <c r="AW736" s="55"/>
      <c r="AX736" s="55"/>
      <c r="AY736" s="55"/>
    </row>
    <row r="737" spans="21:51">
      <c r="U737" s="55"/>
      <c r="V737" s="55"/>
      <c r="W737" s="55"/>
      <c r="X737" s="55"/>
      <c r="Y737" s="55"/>
      <c r="Z737" s="55"/>
      <c r="AA737" s="55"/>
      <c r="AB737" s="55"/>
      <c r="AC737" s="55"/>
      <c r="AD737" s="55"/>
      <c r="AE737" s="55"/>
      <c r="AF737" s="55"/>
      <c r="AG737" s="55"/>
      <c r="AH737" s="55"/>
      <c r="AI737" s="55"/>
      <c r="AJ737" s="55"/>
      <c r="AK737" s="55"/>
      <c r="AL737" s="55"/>
      <c r="AM737" s="55"/>
      <c r="AN737" s="55"/>
      <c r="AO737" s="55"/>
      <c r="AP737" s="55"/>
      <c r="AQ737" s="55"/>
      <c r="AR737" s="55"/>
      <c r="AS737" s="55"/>
      <c r="AT737" s="55"/>
      <c r="AU737" s="55"/>
      <c r="AV737" s="55"/>
      <c r="AW737" s="55"/>
      <c r="AX737" s="55"/>
      <c r="AY737" s="55"/>
    </row>
    <row r="738" spans="21:51">
      <c r="U738" s="55"/>
      <c r="V738" s="55"/>
      <c r="W738" s="55"/>
      <c r="X738" s="55"/>
      <c r="Y738" s="55"/>
      <c r="Z738" s="55"/>
      <c r="AA738" s="55"/>
      <c r="AB738" s="55"/>
      <c r="AC738" s="55"/>
      <c r="AD738" s="55"/>
      <c r="AE738" s="55"/>
      <c r="AF738" s="55"/>
      <c r="AG738" s="55"/>
      <c r="AH738" s="55"/>
      <c r="AI738" s="55"/>
      <c r="AJ738" s="55"/>
      <c r="AK738" s="55"/>
      <c r="AL738" s="55"/>
      <c r="AM738" s="55"/>
      <c r="AN738" s="55"/>
      <c r="AO738" s="55"/>
      <c r="AP738" s="55"/>
      <c r="AQ738" s="55"/>
      <c r="AR738" s="55"/>
      <c r="AS738" s="55"/>
      <c r="AT738" s="55"/>
      <c r="AU738" s="55"/>
      <c r="AV738" s="55"/>
      <c r="AW738" s="55"/>
      <c r="AX738" s="55"/>
      <c r="AY738" s="55"/>
    </row>
    <row r="739" spans="21:51">
      <c r="U739" s="55"/>
      <c r="V739" s="55"/>
      <c r="W739" s="55"/>
      <c r="X739" s="55"/>
      <c r="Y739" s="55"/>
      <c r="Z739" s="55"/>
      <c r="AA739" s="55"/>
      <c r="AB739" s="55"/>
      <c r="AC739" s="55"/>
      <c r="AD739" s="55"/>
      <c r="AE739" s="55"/>
      <c r="AF739" s="55"/>
      <c r="AG739" s="55"/>
      <c r="AH739" s="55"/>
      <c r="AI739" s="55"/>
      <c r="AJ739" s="55"/>
      <c r="AK739" s="55"/>
      <c r="AL739" s="55"/>
      <c r="AM739" s="55"/>
      <c r="AN739" s="55"/>
      <c r="AO739" s="55"/>
      <c r="AP739" s="55"/>
      <c r="AQ739" s="55"/>
      <c r="AR739" s="55"/>
      <c r="AS739" s="55"/>
      <c r="AT739" s="55"/>
      <c r="AU739" s="55"/>
      <c r="AV739" s="55"/>
      <c r="AW739" s="55"/>
      <c r="AX739" s="55"/>
      <c r="AY739" s="55"/>
    </row>
    <row r="740" spans="21:51">
      <c r="U740" s="55"/>
      <c r="V740" s="55"/>
      <c r="W740" s="55"/>
      <c r="X740" s="55"/>
      <c r="Y740" s="55"/>
      <c r="Z740" s="55"/>
      <c r="AA740" s="55"/>
      <c r="AB740" s="55"/>
      <c r="AC740" s="55"/>
      <c r="AD740" s="55"/>
      <c r="AE740" s="55"/>
      <c r="AF740" s="55"/>
      <c r="AG740" s="55"/>
      <c r="AH740" s="55"/>
      <c r="AI740" s="55"/>
      <c r="AJ740" s="55"/>
      <c r="AK740" s="55"/>
      <c r="AL740" s="55"/>
      <c r="AM740" s="55"/>
      <c r="AN740" s="55"/>
      <c r="AO740" s="55"/>
      <c r="AP740" s="55"/>
      <c r="AQ740" s="55"/>
      <c r="AR740" s="55"/>
      <c r="AS740" s="55"/>
      <c r="AT740" s="55"/>
      <c r="AU740" s="55"/>
      <c r="AV740" s="55"/>
      <c r="AW740" s="55"/>
      <c r="AX740" s="55"/>
      <c r="AY740" s="55"/>
    </row>
    <row r="741" spans="21:51">
      <c r="U741" s="55"/>
      <c r="V741" s="55"/>
      <c r="W741" s="55"/>
      <c r="X741" s="55"/>
      <c r="Y741" s="55"/>
      <c r="Z741" s="55"/>
      <c r="AA741" s="55"/>
      <c r="AB741" s="55"/>
      <c r="AC741" s="55"/>
      <c r="AD741" s="55"/>
      <c r="AE741" s="55"/>
      <c r="AF741" s="55"/>
      <c r="AG741" s="55"/>
      <c r="AH741" s="55"/>
      <c r="AI741" s="55"/>
      <c r="AJ741" s="55"/>
      <c r="AK741" s="55"/>
      <c r="AL741" s="55"/>
      <c r="AM741" s="55"/>
      <c r="AN741" s="55"/>
      <c r="AO741" s="55"/>
      <c r="AP741" s="55"/>
      <c r="AQ741" s="55"/>
      <c r="AR741" s="55"/>
      <c r="AS741" s="55"/>
      <c r="AT741" s="55"/>
      <c r="AU741" s="55"/>
      <c r="AV741" s="55"/>
      <c r="AW741" s="55"/>
      <c r="AX741" s="55"/>
      <c r="AY741" s="55"/>
    </row>
    <row r="742" spans="21:51">
      <c r="U742" s="55"/>
      <c r="V742" s="55"/>
      <c r="W742" s="55"/>
      <c r="X742" s="55"/>
      <c r="Y742" s="55"/>
      <c r="Z742" s="55"/>
      <c r="AA742" s="55"/>
      <c r="AB742" s="55"/>
      <c r="AC742" s="55"/>
      <c r="AD742" s="55"/>
      <c r="AE742" s="55"/>
      <c r="AF742" s="55"/>
      <c r="AG742" s="55"/>
      <c r="AH742" s="55"/>
      <c r="AI742" s="55"/>
      <c r="AJ742" s="55"/>
      <c r="AK742" s="55"/>
      <c r="AL742" s="55"/>
      <c r="AM742" s="55"/>
      <c r="AN742" s="55"/>
      <c r="AO742" s="55"/>
      <c r="AP742" s="55"/>
      <c r="AQ742" s="55"/>
      <c r="AR742" s="55"/>
      <c r="AS742" s="55"/>
      <c r="AT742" s="55"/>
      <c r="AU742" s="55"/>
      <c r="AV742" s="55"/>
      <c r="AW742" s="55"/>
      <c r="AX742" s="55"/>
      <c r="AY742" s="55"/>
    </row>
    <row r="743" spans="21:51">
      <c r="U743" s="55"/>
      <c r="V743" s="55"/>
      <c r="W743" s="55"/>
      <c r="X743" s="55"/>
      <c r="Y743" s="55"/>
      <c r="Z743" s="55"/>
      <c r="AA743" s="55"/>
      <c r="AB743" s="55"/>
      <c r="AC743" s="55"/>
      <c r="AD743" s="55"/>
      <c r="AE743" s="55"/>
      <c r="AF743" s="55"/>
      <c r="AG743" s="55"/>
      <c r="AH743" s="55"/>
      <c r="AI743" s="55"/>
      <c r="AJ743" s="55"/>
      <c r="AK743" s="55"/>
      <c r="AL743" s="55"/>
      <c r="AM743" s="55"/>
      <c r="AN743" s="55"/>
      <c r="AO743" s="55"/>
      <c r="AP743" s="55"/>
      <c r="AQ743" s="55"/>
      <c r="AR743" s="55"/>
      <c r="AS743" s="55"/>
      <c r="AT743" s="55"/>
      <c r="AU743" s="55"/>
      <c r="AV743" s="55"/>
      <c r="AW743" s="55"/>
      <c r="AX743" s="55"/>
      <c r="AY743" s="55"/>
    </row>
    <row r="744" spans="21:51">
      <c r="U744" s="55"/>
      <c r="V744" s="55"/>
      <c r="W744" s="55"/>
      <c r="X744" s="55"/>
      <c r="Y744" s="55"/>
      <c r="Z744" s="55"/>
      <c r="AA744" s="55"/>
      <c r="AB744" s="55"/>
      <c r="AC744" s="55"/>
      <c r="AD744" s="55"/>
      <c r="AE744" s="55"/>
      <c r="AF744" s="55"/>
      <c r="AG744" s="55"/>
      <c r="AH744" s="55"/>
      <c r="AI744" s="55"/>
      <c r="AJ744" s="55"/>
      <c r="AK744" s="55"/>
      <c r="AL744" s="55"/>
      <c r="AM744" s="55"/>
      <c r="AN744" s="55"/>
      <c r="AO744" s="55"/>
      <c r="AP744" s="55"/>
      <c r="AQ744" s="55"/>
      <c r="AR744" s="55"/>
      <c r="AS744" s="55"/>
      <c r="AT744" s="55"/>
      <c r="AU744" s="55"/>
      <c r="AV744" s="55"/>
      <c r="AW744" s="55"/>
      <c r="AX744" s="55"/>
      <c r="AY744" s="55"/>
    </row>
    <row r="745" spans="21:51">
      <c r="U745" s="55"/>
      <c r="V745" s="55"/>
      <c r="W745" s="55"/>
      <c r="X745" s="55"/>
      <c r="Y745" s="55"/>
      <c r="Z745" s="55"/>
      <c r="AA745" s="55"/>
      <c r="AB745" s="55"/>
      <c r="AC745" s="55"/>
      <c r="AD745" s="55"/>
      <c r="AE745" s="55"/>
      <c r="AF745" s="55"/>
      <c r="AG745" s="55"/>
      <c r="AH745" s="55"/>
      <c r="AI745" s="55"/>
      <c r="AJ745" s="55"/>
      <c r="AK745" s="55"/>
      <c r="AL745" s="55"/>
      <c r="AM745" s="55"/>
      <c r="AN745" s="55"/>
      <c r="AO745" s="55"/>
      <c r="AP745" s="55"/>
      <c r="AQ745" s="55"/>
      <c r="AR745" s="55"/>
      <c r="AS745" s="55"/>
      <c r="AT745" s="55"/>
      <c r="AU745" s="55"/>
      <c r="AV745" s="55"/>
      <c r="AW745" s="55"/>
      <c r="AX745" s="55"/>
      <c r="AY745" s="55"/>
    </row>
    <row r="746" spans="21:51">
      <c r="U746" s="55"/>
      <c r="V746" s="55"/>
      <c r="W746" s="55"/>
      <c r="X746" s="55"/>
      <c r="Y746" s="55"/>
      <c r="Z746" s="55"/>
      <c r="AA746" s="55"/>
      <c r="AB746" s="55"/>
      <c r="AC746" s="55"/>
      <c r="AD746" s="55"/>
      <c r="AE746" s="55"/>
      <c r="AF746" s="55"/>
      <c r="AG746" s="55"/>
      <c r="AH746" s="55"/>
      <c r="AI746" s="55"/>
      <c r="AJ746" s="55"/>
      <c r="AK746" s="55"/>
      <c r="AL746" s="55"/>
      <c r="AM746" s="55"/>
      <c r="AN746" s="55"/>
      <c r="AO746" s="55"/>
      <c r="AP746" s="55"/>
      <c r="AQ746" s="55"/>
      <c r="AR746" s="55"/>
      <c r="AS746" s="55"/>
      <c r="AT746" s="55"/>
      <c r="AU746" s="55"/>
      <c r="AV746" s="55"/>
      <c r="AW746" s="55"/>
      <c r="AX746" s="55"/>
      <c r="AY746" s="55"/>
    </row>
    <row r="747" spans="21:51">
      <c r="U747" s="55"/>
      <c r="V747" s="55"/>
      <c r="W747" s="55"/>
      <c r="X747" s="55"/>
      <c r="Y747" s="55"/>
      <c r="Z747" s="55"/>
      <c r="AA747" s="55"/>
      <c r="AB747" s="55"/>
      <c r="AC747" s="55"/>
      <c r="AD747" s="55"/>
      <c r="AE747" s="55"/>
      <c r="AF747" s="55"/>
      <c r="AG747" s="55"/>
      <c r="AH747" s="55"/>
      <c r="AI747" s="55"/>
      <c r="AJ747" s="55"/>
      <c r="AK747" s="55"/>
      <c r="AL747" s="55"/>
      <c r="AM747" s="55"/>
      <c r="AN747" s="55"/>
      <c r="AO747" s="55"/>
      <c r="AP747" s="55"/>
      <c r="AQ747" s="55"/>
      <c r="AR747" s="55"/>
      <c r="AS747" s="55"/>
      <c r="AT747" s="55"/>
      <c r="AU747" s="55"/>
      <c r="AV747" s="55"/>
      <c r="AW747" s="55"/>
      <c r="AX747" s="55"/>
      <c r="AY747" s="55"/>
    </row>
    <row r="748" spans="21:51">
      <c r="U748" s="55"/>
      <c r="V748" s="55"/>
      <c r="W748" s="55"/>
      <c r="X748" s="55"/>
      <c r="Y748" s="55"/>
      <c r="Z748" s="55"/>
      <c r="AA748" s="55"/>
      <c r="AB748" s="55"/>
      <c r="AC748" s="55"/>
      <c r="AD748" s="55"/>
      <c r="AE748" s="55"/>
      <c r="AF748" s="55"/>
      <c r="AG748" s="55"/>
      <c r="AH748" s="55"/>
      <c r="AI748" s="55"/>
      <c r="AJ748" s="55"/>
      <c r="AK748" s="55"/>
      <c r="AL748" s="55"/>
      <c r="AM748" s="55"/>
      <c r="AN748" s="55"/>
      <c r="AO748" s="55"/>
      <c r="AP748" s="55"/>
      <c r="AQ748" s="55"/>
      <c r="AR748" s="55"/>
      <c r="AS748" s="55"/>
      <c r="AT748" s="55"/>
      <c r="AU748" s="55"/>
      <c r="AV748" s="55"/>
      <c r="AW748" s="55"/>
      <c r="AX748" s="55"/>
      <c r="AY748" s="55"/>
    </row>
    <row r="749" spans="21:51">
      <c r="U749" s="55"/>
      <c r="V749" s="55"/>
      <c r="W749" s="55"/>
      <c r="X749" s="55"/>
      <c r="Y749" s="55"/>
      <c r="Z749" s="55"/>
      <c r="AA749" s="55"/>
      <c r="AB749" s="55"/>
      <c r="AC749" s="55"/>
      <c r="AD749" s="55"/>
      <c r="AE749" s="55"/>
      <c r="AF749" s="55"/>
      <c r="AG749" s="55"/>
      <c r="AH749" s="55"/>
      <c r="AI749" s="55"/>
      <c r="AJ749" s="55"/>
      <c r="AK749" s="55"/>
      <c r="AL749" s="55"/>
      <c r="AM749" s="55"/>
      <c r="AN749" s="55"/>
      <c r="AO749" s="55"/>
      <c r="AP749" s="55"/>
      <c r="AQ749" s="55"/>
      <c r="AR749" s="55"/>
      <c r="AS749" s="55"/>
      <c r="AT749" s="55"/>
      <c r="AU749" s="55"/>
      <c r="AV749" s="55"/>
      <c r="AW749" s="55"/>
      <c r="AX749" s="55"/>
      <c r="AY749" s="55"/>
    </row>
    <row r="750" spans="21:51">
      <c r="U750" s="55"/>
      <c r="V750" s="55"/>
      <c r="W750" s="55"/>
      <c r="X750" s="55"/>
      <c r="Y750" s="55"/>
      <c r="Z750" s="55"/>
      <c r="AA750" s="55"/>
      <c r="AB750" s="55"/>
      <c r="AC750" s="55"/>
      <c r="AD750" s="55"/>
      <c r="AE750" s="55"/>
      <c r="AF750" s="55"/>
      <c r="AG750" s="55"/>
      <c r="AH750" s="55"/>
      <c r="AI750" s="55"/>
      <c r="AJ750" s="55"/>
      <c r="AK750" s="55"/>
      <c r="AL750" s="55"/>
      <c r="AM750" s="55"/>
      <c r="AN750" s="55"/>
      <c r="AO750" s="55"/>
      <c r="AP750" s="55"/>
      <c r="AQ750" s="55"/>
      <c r="AR750" s="55"/>
      <c r="AS750" s="55"/>
      <c r="AT750" s="55"/>
      <c r="AU750" s="55"/>
      <c r="AV750" s="55"/>
      <c r="AW750" s="55"/>
      <c r="AX750" s="55"/>
      <c r="AY750" s="55"/>
    </row>
    <row r="751" spans="21:51">
      <c r="U751" s="55"/>
      <c r="V751" s="55"/>
      <c r="W751" s="55"/>
      <c r="X751" s="55"/>
      <c r="Y751" s="55"/>
      <c r="Z751" s="55"/>
      <c r="AA751" s="55"/>
      <c r="AB751" s="55"/>
      <c r="AC751" s="55"/>
      <c r="AD751" s="55"/>
      <c r="AE751" s="55"/>
      <c r="AF751" s="55"/>
      <c r="AG751" s="55"/>
      <c r="AH751" s="55"/>
      <c r="AI751" s="55"/>
      <c r="AJ751" s="55"/>
      <c r="AK751" s="55"/>
      <c r="AL751" s="55"/>
      <c r="AM751" s="55"/>
      <c r="AN751" s="55"/>
      <c r="AO751" s="55"/>
      <c r="AP751" s="55"/>
      <c r="AQ751" s="55"/>
      <c r="AR751" s="55"/>
      <c r="AS751" s="55"/>
      <c r="AT751" s="55"/>
      <c r="AU751" s="55"/>
      <c r="AV751" s="55"/>
      <c r="AW751" s="55"/>
      <c r="AX751" s="55"/>
      <c r="AY751" s="55"/>
    </row>
    <row r="752" spans="21:51">
      <c r="U752" s="55"/>
      <c r="V752" s="55"/>
      <c r="W752" s="55"/>
      <c r="X752" s="55"/>
      <c r="Y752" s="55"/>
      <c r="Z752" s="55"/>
      <c r="AA752" s="55"/>
      <c r="AB752" s="55"/>
      <c r="AC752" s="55"/>
      <c r="AD752" s="55"/>
      <c r="AE752" s="55"/>
      <c r="AF752" s="55"/>
      <c r="AG752" s="55"/>
      <c r="AH752" s="55"/>
      <c r="AI752" s="55"/>
      <c r="AJ752" s="55"/>
      <c r="AK752" s="55"/>
      <c r="AL752" s="55"/>
      <c r="AM752" s="55"/>
      <c r="AN752" s="55"/>
      <c r="AO752" s="55"/>
      <c r="AP752" s="55"/>
      <c r="AQ752" s="55"/>
      <c r="AR752" s="55"/>
      <c r="AS752" s="55"/>
      <c r="AT752" s="55"/>
      <c r="AU752" s="55"/>
      <c r="AV752" s="55"/>
      <c r="AW752" s="55"/>
      <c r="AX752" s="55"/>
      <c r="AY752" s="55"/>
    </row>
    <row r="753" spans="21:51">
      <c r="U753" s="55"/>
      <c r="V753" s="55"/>
      <c r="W753" s="55"/>
      <c r="X753" s="55"/>
      <c r="Y753" s="55"/>
      <c r="Z753" s="55"/>
      <c r="AA753" s="55"/>
      <c r="AB753" s="55"/>
      <c r="AC753" s="55"/>
      <c r="AD753" s="55"/>
      <c r="AE753" s="55"/>
      <c r="AF753" s="55"/>
      <c r="AG753" s="55"/>
      <c r="AH753" s="55"/>
      <c r="AI753" s="55"/>
      <c r="AJ753" s="55"/>
      <c r="AK753" s="55"/>
      <c r="AL753" s="55"/>
      <c r="AM753" s="55"/>
      <c r="AN753" s="55"/>
      <c r="AO753" s="55"/>
      <c r="AP753" s="55"/>
      <c r="AQ753" s="55"/>
      <c r="AR753" s="55"/>
      <c r="AS753" s="55"/>
      <c r="AT753" s="55"/>
      <c r="AU753" s="55"/>
      <c r="AV753" s="55"/>
      <c r="AW753" s="55"/>
      <c r="AX753" s="55"/>
      <c r="AY753" s="55"/>
    </row>
    <row r="754" spans="21:51">
      <c r="U754" s="55"/>
      <c r="V754" s="55"/>
      <c r="W754" s="55"/>
      <c r="X754" s="55"/>
      <c r="Y754" s="55"/>
      <c r="Z754" s="55"/>
      <c r="AA754" s="55"/>
      <c r="AB754" s="55"/>
      <c r="AC754" s="55"/>
      <c r="AD754" s="55"/>
      <c r="AE754" s="55"/>
      <c r="AF754" s="55"/>
      <c r="AG754" s="55"/>
      <c r="AH754" s="55"/>
      <c r="AI754" s="55"/>
      <c r="AJ754" s="55"/>
      <c r="AK754" s="55"/>
      <c r="AL754" s="55"/>
      <c r="AM754" s="55"/>
      <c r="AN754" s="55"/>
      <c r="AO754" s="55"/>
      <c r="AP754" s="55"/>
      <c r="AQ754" s="55"/>
      <c r="AR754" s="55"/>
      <c r="AS754" s="55"/>
      <c r="AT754" s="55"/>
      <c r="AU754" s="55"/>
      <c r="AV754" s="55"/>
      <c r="AW754" s="55"/>
      <c r="AX754" s="55"/>
      <c r="AY754" s="55"/>
    </row>
    <row r="755" spans="21:51">
      <c r="U755" s="55"/>
      <c r="V755" s="55"/>
      <c r="W755" s="55"/>
      <c r="X755" s="55"/>
      <c r="Y755" s="55"/>
      <c r="Z755" s="55"/>
      <c r="AA755" s="55"/>
      <c r="AB755" s="55"/>
      <c r="AC755" s="55"/>
      <c r="AD755" s="55"/>
      <c r="AE755" s="55"/>
      <c r="AF755" s="55"/>
      <c r="AG755" s="55"/>
      <c r="AH755" s="55"/>
      <c r="AI755" s="55"/>
      <c r="AJ755" s="55"/>
      <c r="AK755" s="55"/>
      <c r="AL755" s="55"/>
      <c r="AM755" s="55"/>
      <c r="AN755" s="55"/>
      <c r="AO755" s="55"/>
      <c r="AP755" s="55"/>
      <c r="AQ755" s="55"/>
      <c r="AR755" s="55"/>
      <c r="AS755" s="55"/>
      <c r="AT755" s="55"/>
      <c r="AU755" s="55"/>
      <c r="AV755" s="55"/>
      <c r="AW755" s="55"/>
      <c r="AX755" s="55"/>
      <c r="AY755" s="55"/>
    </row>
    <row r="756" spans="21:51">
      <c r="U756" s="55"/>
      <c r="V756" s="55"/>
      <c r="W756" s="55"/>
      <c r="X756" s="55"/>
      <c r="Y756" s="55"/>
      <c r="Z756" s="55"/>
      <c r="AA756" s="55"/>
      <c r="AB756" s="55"/>
      <c r="AC756" s="55"/>
      <c r="AD756" s="55"/>
      <c r="AE756" s="55"/>
      <c r="AF756" s="55"/>
      <c r="AG756" s="55"/>
      <c r="AH756" s="55"/>
      <c r="AI756" s="55"/>
      <c r="AJ756" s="55"/>
      <c r="AK756" s="55"/>
      <c r="AL756" s="55"/>
      <c r="AM756" s="55"/>
      <c r="AN756" s="55"/>
      <c r="AO756" s="55"/>
      <c r="AP756" s="55"/>
      <c r="AQ756" s="55"/>
      <c r="AR756" s="55"/>
      <c r="AS756" s="55"/>
      <c r="AT756" s="55"/>
      <c r="AU756" s="55"/>
      <c r="AV756" s="55"/>
      <c r="AW756" s="55"/>
      <c r="AX756" s="55"/>
      <c r="AY756" s="55"/>
    </row>
    <row r="757" spans="21:51">
      <c r="U757" s="55"/>
      <c r="V757" s="55"/>
      <c r="W757" s="55"/>
      <c r="X757" s="55"/>
      <c r="Y757" s="55"/>
      <c r="Z757" s="55"/>
      <c r="AA757" s="55"/>
      <c r="AB757" s="55"/>
      <c r="AC757" s="55"/>
      <c r="AD757" s="55"/>
      <c r="AE757" s="55"/>
      <c r="AF757" s="55"/>
      <c r="AG757" s="55"/>
      <c r="AH757" s="55"/>
      <c r="AI757" s="55"/>
      <c r="AJ757" s="55"/>
      <c r="AK757" s="55"/>
      <c r="AL757" s="55"/>
      <c r="AM757" s="55"/>
      <c r="AN757" s="55"/>
      <c r="AO757" s="55"/>
      <c r="AP757" s="55"/>
      <c r="AQ757" s="55"/>
      <c r="AR757" s="55"/>
      <c r="AS757" s="55"/>
      <c r="AT757" s="55"/>
      <c r="AU757" s="55"/>
      <c r="AV757" s="55"/>
      <c r="AW757" s="55"/>
      <c r="AX757" s="55"/>
      <c r="AY757" s="55"/>
    </row>
    <row r="758" spans="21:51">
      <c r="U758" s="55"/>
      <c r="V758" s="55"/>
      <c r="W758" s="55"/>
      <c r="X758" s="55"/>
      <c r="Y758" s="55"/>
      <c r="Z758" s="55"/>
      <c r="AA758" s="55"/>
      <c r="AB758" s="55"/>
      <c r="AC758" s="55"/>
      <c r="AD758" s="55"/>
      <c r="AE758" s="55"/>
      <c r="AF758" s="55"/>
      <c r="AG758" s="55"/>
      <c r="AH758" s="55"/>
      <c r="AI758" s="55"/>
      <c r="AJ758" s="55"/>
      <c r="AK758" s="55"/>
      <c r="AL758" s="55"/>
      <c r="AM758" s="55"/>
      <c r="AN758" s="55"/>
      <c r="AO758" s="55"/>
      <c r="AP758" s="55"/>
      <c r="AQ758" s="55"/>
      <c r="AR758" s="55"/>
      <c r="AS758" s="55"/>
      <c r="AT758" s="55"/>
      <c r="AU758" s="55"/>
      <c r="AV758" s="55"/>
      <c r="AW758" s="55"/>
      <c r="AX758" s="55"/>
      <c r="AY758" s="55"/>
    </row>
    <row r="759" spans="21:51">
      <c r="U759" s="55"/>
      <c r="V759" s="55"/>
      <c r="W759" s="55"/>
      <c r="X759" s="55"/>
      <c r="Y759" s="55"/>
      <c r="Z759" s="55"/>
      <c r="AA759" s="55"/>
      <c r="AB759" s="55"/>
      <c r="AC759" s="55"/>
      <c r="AD759" s="55"/>
      <c r="AE759" s="55"/>
      <c r="AF759" s="55"/>
      <c r="AG759" s="55"/>
      <c r="AH759" s="55"/>
      <c r="AI759" s="55"/>
      <c r="AJ759" s="55"/>
      <c r="AK759" s="55"/>
      <c r="AL759" s="55"/>
      <c r="AM759" s="55"/>
      <c r="AN759" s="55"/>
      <c r="AO759" s="55"/>
      <c r="AP759" s="55"/>
      <c r="AQ759" s="55"/>
      <c r="AR759" s="55"/>
      <c r="AS759" s="55"/>
      <c r="AT759" s="55"/>
      <c r="AU759" s="55"/>
      <c r="AV759" s="55"/>
      <c r="AW759" s="55"/>
      <c r="AX759" s="55"/>
      <c r="AY759" s="55"/>
    </row>
    <row r="760" spans="21:51">
      <c r="U760" s="55"/>
      <c r="V760" s="55"/>
      <c r="W760" s="55"/>
      <c r="X760" s="55"/>
      <c r="Y760" s="55"/>
      <c r="Z760" s="55"/>
      <c r="AA760" s="55"/>
      <c r="AB760" s="55"/>
      <c r="AC760" s="55"/>
      <c r="AD760" s="55"/>
      <c r="AE760" s="55"/>
      <c r="AF760" s="55"/>
      <c r="AG760" s="55"/>
      <c r="AH760" s="55"/>
      <c r="AI760" s="55"/>
      <c r="AJ760" s="55"/>
      <c r="AK760" s="55"/>
      <c r="AL760" s="55"/>
      <c r="AM760" s="55"/>
      <c r="AN760" s="55"/>
      <c r="AO760" s="55"/>
      <c r="AP760" s="55"/>
      <c r="AQ760" s="55"/>
      <c r="AR760" s="55"/>
      <c r="AS760" s="55"/>
      <c r="AT760" s="55"/>
      <c r="AU760" s="55"/>
      <c r="AV760" s="55"/>
      <c r="AW760" s="55"/>
      <c r="AX760" s="55"/>
      <c r="AY760" s="55"/>
    </row>
    <row r="761" spans="21:51">
      <c r="U761" s="55"/>
      <c r="V761" s="55"/>
      <c r="W761" s="55"/>
      <c r="X761" s="55"/>
      <c r="Y761" s="55"/>
      <c r="Z761" s="55"/>
      <c r="AA761" s="55"/>
      <c r="AB761" s="55"/>
      <c r="AC761" s="55"/>
      <c r="AD761" s="55"/>
      <c r="AE761" s="55"/>
      <c r="AF761" s="55"/>
      <c r="AG761" s="55"/>
      <c r="AH761" s="55"/>
      <c r="AI761" s="55"/>
      <c r="AJ761" s="55"/>
      <c r="AK761" s="55"/>
      <c r="AL761" s="55"/>
      <c r="AM761" s="55"/>
      <c r="AN761" s="55"/>
      <c r="AO761" s="55"/>
      <c r="AP761" s="55"/>
      <c r="AQ761" s="55"/>
      <c r="AR761" s="55"/>
      <c r="AS761" s="55"/>
      <c r="AT761" s="55"/>
      <c r="AU761" s="55"/>
      <c r="AV761" s="55"/>
      <c r="AW761" s="55"/>
      <c r="AX761" s="55"/>
      <c r="AY761" s="55"/>
    </row>
    <row r="762" spans="21:51">
      <c r="U762" s="55"/>
      <c r="V762" s="55"/>
      <c r="W762" s="55"/>
      <c r="X762" s="55"/>
      <c r="Y762" s="55"/>
      <c r="Z762" s="55"/>
      <c r="AA762" s="55"/>
      <c r="AB762" s="55"/>
      <c r="AC762" s="55"/>
      <c r="AD762" s="55"/>
      <c r="AE762" s="55"/>
      <c r="AF762" s="55"/>
      <c r="AG762" s="55"/>
      <c r="AH762" s="55"/>
      <c r="AI762" s="55"/>
      <c r="AJ762" s="55"/>
      <c r="AK762" s="55"/>
      <c r="AL762" s="55"/>
      <c r="AM762" s="55"/>
      <c r="AN762" s="55"/>
      <c r="AO762" s="55"/>
      <c r="AP762" s="55"/>
      <c r="AQ762" s="55"/>
      <c r="AR762" s="55"/>
      <c r="AS762" s="55"/>
      <c r="AT762" s="55"/>
      <c r="AU762" s="55"/>
      <c r="AV762" s="55"/>
      <c r="AW762" s="55"/>
      <c r="AX762" s="55"/>
      <c r="AY762" s="55"/>
    </row>
    <row r="763" spans="21:51">
      <c r="U763" s="55"/>
      <c r="V763" s="55"/>
      <c r="W763" s="55"/>
      <c r="X763" s="55"/>
      <c r="Y763" s="55"/>
      <c r="Z763" s="55"/>
      <c r="AA763" s="55"/>
      <c r="AB763" s="55"/>
      <c r="AC763" s="55"/>
      <c r="AD763" s="55"/>
      <c r="AE763" s="55"/>
      <c r="AF763" s="55"/>
      <c r="AG763" s="55"/>
      <c r="AH763" s="55"/>
      <c r="AI763" s="55"/>
      <c r="AJ763" s="55"/>
      <c r="AK763" s="55"/>
      <c r="AL763" s="55"/>
      <c r="AM763" s="55"/>
      <c r="AN763" s="55"/>
      <c r="AO763" s="55"/>
      <c r="AP763" s="55"/>
      <c r="AQ763" s="55"/>
      <c r="AR763" s="55"/>
      <c r="AS763" s="55"/>
      <c r="AT763" s="55"/>
      <c r="AU763" s="55"/>
      <c r="AV763" s="55"/>
      <c r="AW763" s="55"/>
      <c r="AX763" s="55"/>
      <c r="AY763" s="55"/>
    </row>
    <row r="764" spans="21:51">
      <c r="U764" s="55"/>
      <c r="V764" s="55"/>
      <c r="W764" s="55"/>
      <c r="X764" s="55"/>
      <c r="Y764" s="55"/>
      <c r="Z764" s="55"/>
      <c r="AA764" s="55"/>
      <c r="AB764" s="55"/>
      <c r="AC764" s="55"/>
      <c r="AD764" s="55"/>
      <c r="AE764" s="55"/>
      <c r="AF764" s="55"/>
      <c r="AG764" s="55"/>
      <c r="AH764" s="55"/>
      <c r="AI764" s="55"/>
      <c r="AJ764" s="55"/>
      <c r="AK764" s="55"/>
      <c r="AL764" s="55"/>
      <c r="AM764" s="55"/>
      <c r="AN764" s="55"/>
      <c r="AO764" s="55"/>
      <c r="AP764" s="55"/>
      <c r="AQ764" s="55"/>
      <c r="AR764" s="55"/>
      <c r="AS764" s="55"/>
      <c r="AT764" s="55"/>
      <c r="AU764" s="55"/>
      <c r="AV764" s="55"/>
      <c r="AW764" s="55"/>
      <c r="AX764" s="55"/>
      <c r="AY764" s="55"/>
    </row>
    <row r="765" spans="21:51">
      <c r="U765" s="55"/>
      <c r="V765" s="55"/>
      <c r="W765" s="55"/>
      <c r="X765" s="55"/>
      <c r="Y765" s="55"/>
      <c r="Z765" s="55"/>
      <c r="AA765" s="55"/>
      <c r="AB765" s="55"/>
      <c r="AC765" s="55"/>
      <c r="AD765" s="55"/>
      <c r="AE765" s="55"/>
      <c r="AF765" s="55"/>
      <c r="AG765" s="55"/>
      <c r="AH765" s="55"/>
      <c r="AI765" s="55"/>
      <c r="AJ765" s="55"/>
      <c r="AK765" s="55"/>
      <c r="AL765" s="55"/>
      <c r="AM765" s="55"/>
      <c r="AN765" s="55"/>
      <c r="AO765" s="55"/>
      <c r="AP765" s="55"/>
      <c r="AQ765" s="55"/>
      <c r="AR765" s="55"/>
      <c r="AS765" s="55"/>
      <c r="AT765" s="55"/>
      <c r="AU765" s="55"/>
      <c r="AV765" s="55"/>
      <c r="AW765" s="55"/>
      <c r="AX765" s="55"/>
      <c r="AY765" s="55"/>
    </row>
    <row r="766" spans="21:51">
      <c r="U766" s="55"/>
      <c r="V766" s="55"/>
      <c r="W766" s="55"/>
      <c r="X766" s="55"/>
      <c r="Y766" s="55"/>
      <c r="Z766" s="55"/>
      <c r="AA766" s="55"/>
      <c r="AB766" s="55"/>
      <c r="AC766" s="55"/>
      <c r="AD766" s="55"/>
      <c r="AE766" s="55"/>
      <c r="AF766" s="55"/>
      <c r="AG766" s="55"/>
      <c r="AH766" s="55"/>
      <c r="AI766" s="55"/>
      <c r="AJ766" s="55"/>
      <c r="AK766" s="55"/>
      <c r="AL766" s="55"/>
      <c r="AM766" s="55"/>
      <c r="AN766" s="55"/>
      <c r="AO766" s="55"/>
      <c r="AP766" s="55"/>
      <c r="AQ766" s="55"/>
      <c r="AR766" s="55"/>
      <c r="AS766" s="55"/>
      <c r="AT766" s="55"/>
      <c r="AU766" s="55"/>
      <c r="AV766" s="55"/>
      <c r="AW766" s="55"/>
      <c r="AX766" s="55"/>
      <c r="AY766" s="55"/>
    </row>
    <row r="767" spans="21:51">
      <c r="U767" s="55"/>
      <c r="V767" s="55"/>
      <c r="W767" s="55"/>
      <c r="X767" s="55"/>
      <c r="Y767" s="55"/>
      <c r="Z767" s="55"/>
      <c r="AA767" s="55"/>
      <c r="AB767" s="55"/>
      <c r="AC767" s="55"/>
      <c r="AD767" s="55"/>
      <c r="AE767" s="55"/>
      <c r="AF767" s="55"/>
      <c r="AG767" s="55"/>
      <c r="AH767" s="55"/>
      <c r="AI767" s="55"/>
      <c r="AJ767" s="55"/>
      <c r="AK767" s="55"/>
      <c r="AL767" s="55"/>
      <c r="AM767" s="55"/>
      <c r="AN767" s="55"/>
      <c r="AO767" s="55"/>
      <c r="AP767" s="55"/>
      <c r="AQ767" s="55"/>
      <c r="AR767" s="55"/>
      <c r="AS767" s="55"/>
      <c r="AT767" s="55"/>
      <c r="AU767" s="55"/>
      <c r="AV767" s="55"/>
      <c r="AW767" s="55"/>
      <c r="AX767" s="55"/>
      <c r="AY767" s="55"/>
    </row>
    <row r="768" spans="21:51">
      <c r="U768" s="55"/>
      <c r="V768" s="55"/>
      <c r="W768" s="55"/>
      <c r="X768" s="55"/>
      <c r="Y768" s="55"/>
      <c r="Z768" s="55"/>
      <c r="AA768" s="55"/>
      <c r="AB768" s="55"/>
      <c r="AC768" s="55"/>
      <c r="AD768" s="55"/>
      <c r="AE768" s="55"/>
      <c r="AF768" s="55"/>
      <c r="AG768" s="55"/>
      <c r="AH768" s="55"/>
      <c r="AI768" s="55"/>
      <c r="AJ768" s="55"/>
      <c r="AK768" s="55"/>
      <c r="AL768" s="55"/>
      <c r="AM768" s="55"/>
      <c r="AN768" s="55"/>
      <c r="AO768" s="55"/>
      <c r="AP768" s="55"/>
      <c r="AQ768" s="55"/>
      <c r="AR768" s="55"/>
      <c r="AS768" s="55"/>
      <c r="AT768" s="55"/>
      <c r="AU768" s="55"/>
      <c r="AV768" s="55"/>
      <c r="AW768" s="55"/>
      <c r="AX768" s="55"/>
      <c r="AY768" s="55"/>
    </row>
    <row r="769" spans="21:51">
      <c r="U769" s="55"/>
      <c r="V769" s="55"/>
      <c r="W769" s="55"/>
      <c r="X769" s="55"/>
      <c r="Y769" s="55"/>
      <c r="Z769" s="55"/>
      <c r="AA769" s="55"/>
      <c r="AB769" s="55"/>
      <c r="AC769" s="55"/>
      <c r="AD769" s="55"/>
      <c r="AE769" s="55"/>
      <c r="AF769" s="55"/>
      <c r="AG769" s="55"/>
      <c r="AH769" s="55"/>
      <c r="AI769" s="55"/>
      <c r="AJ769" s="55"/>
      <c r="AK769" s="55"/>
      <c r="AL769" s="55"/>
      <c r="AM769" s="55"/>
      <c r="AN769" s="55"/>
      <c r="AO769" s="55"/>
      <c r="AP769" s="55"/>
      <c r="AQ769" s="55"/>
      <c r="AR769" s="55"/>
      <c r="AS769" s="55"/>
      <c r="AT769" s="55"/>
      <c r="AU769" s="55"/>
      <c r="AV769" s="55"/>
      <c r="AW769" s="55"/>
      <c r="AX769" s="55"/>
      <c r="AY769" s="55"/>
    </row>
    <row r="770" spans="21:51">
      <c r="U770" s="55"/>
      <c r="V770" s="55"/>
      <c r="W770" s="55"/>
      <c r="X770" s="55"/>
      <c r="Y770" s="55"/>
      <c r="Z770" s="55"/>
      <c r="AA770" s="55"/>
      <c r="AB770" s="55"/>
      <c r="AC770" s="55"/>
      <c r="AD770" s="55"/>
      <c r="AE770" s="55"/>
      <c r="AF770" s="55"/>
      <c r="AG770" s="55"/>
      <c r="AH770" s="55"/>
      <c r="AI770" s="55"/>
      <c r="AJ770" s="55"/>
      <c r="AK770" s="55"/>
      <c r="AL770" s="55"/>
      <c r="AM770" s="55"/>
      <c r="AN770" s="55"/>
      <c r="AO770" s="55"/>
      <c r="AP770" s="55"/>
      <c r="AQ770" s="55"/>
      <c r="AR770" s="55"/>
      <c r="AS770" s="55"/>
      <c r="AT770" s="55"/>
      <c r="AU770" s="55"/>
      <c r="AV770" s="55"/>
      <c r="AW770" s="55"/>
      <c r="AX770" s="55"/>
      <c r="AY770" s="55"/>
    </row>
    <row r="771" spans="21:51">
      <c r="U771" s="55"/>
      <c r="V771" s="55"/>
      <c r="W771" s="55"/>
      <c r="X771" s="55"/>
      <c r="Y771" s="55"/>
      <c r="Z771" s="55"/>
      <c r="AA771" s="55"/>
      <c r="AB771" s="55"/>
      <c r="AC771" s="55"/>
      <c r="AD771" s="55"/>
      <c r="AE771" s="55"/>
      <c r="AF771" s="55"/>
      <c r="AG771" s="55"/>
      <c r="AH771" s="55"/>
      <c r="AI771" s="55"/>
      <c r="AJ771" s="55"/>
      <c r="AK771" s="55"/>
      <c r="AL771" s="55"/>
      <c r="AM771" s="55"/>
      <c r="AN771" s="55"/>
      <c r="AO771" s="55"/>
      <c r="AP771" s="55"/>
      <c r="AQ771" s="55"/>
      <c r="AR771" s="55"/>
      <c r="AS771" s="55"/>
      <c r="AT771" s="55"/>
      <c r="AU771" s="55"/>
      <c r="AV771" s="55"/>
      <c r="AW771" s="55"/>
      <c r="AX771" s="55"/>
      <c r="AY771" s="55"/>
    </row>
    <row r="772" spans="21:51">
      <c r="U772" s="55"/>
      <c r="V772" s="55"/>
      <c r="W772" s="55"/>
      <c r="X772" s="55"/>
      <c r="Y772" s="55"/>
      <c r="Z772" s="55"/>
      <c r="AA772" s="55"/>
      <c r="AB772" s="55"/>
      <c r="AC772" s="55"/>
      <c r="AD772" s="55"/>
      <c r="AE772" s="55"/>
      <c r="AF772" s="55"/>
      <c r="AG772" s="55"/>
      <c r="AH772" s="55"/>
      <c r="AI772" s="55"/>
      <c r="AJ772" s="55"/>
      <c r="AK772" s="55"/>
      <c r="AL772" s="55"/>
      <c r="AM772" s="55"/>
      <c r="AN772" s="55"/>
      <c r="AO772" s="55"/>
      <c r="AP772" s="55"/>
      <c r="AQ772" s="55"/>
      <c r="AR772" s="55"/>
      <c r="AS772" s="55"/>
      <c r="AT772" s="55"/>
      <c r="AU772" s="55"/>
      <c r="AV772" s="55"/>
      <c r="AW772" s="55"/>
      <c r="AX772" s="55"/>
      <c r="AY772" s="55"/>
    </row>
    <row r="773" spans="21:51">
      <c r="U773" s="55"/>
      <c r="V773" s="55"/>
      <c r="W773" s="55"/>
      <c r="X773" s="55"/>
      <c r="Y773" s="55"/>
      <c r="Z773" s="55"/>
      <c r="AA773" s="55"/>
      <c r="AB773" s="55"/>
      <c r="AC773" s="55"/>
      <c r="AD773" s="55"/>
      <c r="AE773" s="55"/>
      <c r="AF773" s="55"/>
      <c r="AG773" s="55"/>
      <c r="AH773" s="55"/>
      <c r="AI773" s="55"/>
      <c r="AJ773" s="55"/>
      <c r="AK773" s="55"/>
      <c r="AL773" s="55"/>
      <c r="AM773" s="55"/>
      <c r="AN773" s="55"/>
      <c r="AO773" s="55"/>
      <c r="AP773" s="55"/>
      <c r="AQ773" s="55"/>
      <c r="AR773" s="55"/>
      <c r="AS773" s="55"/>
      <c r="AT773" s="55"/>
      <c r="AU773" s="55"/>
      <c r="AV773" s="55"/>
      <c r="AW773" s="55"/>
      <c r="AX773" s="55"/>
      <c r="AY773" s="55"/>
    </row>
    <row r="774" spans="21:51">
      <c r="U774" s="55"/>
      <c r="V774" s="55"/>
      <c r="W774" s="55"/>
      <c r="X774" s="55"/>
      <c r="Y774" s="55"/>
      <c r="Z774" s="55"/>
      <c r="AA774" s="55"/>
      <c r="AB774" s="55"/>
      <c r="AC774" s="55"/>
      <c r="AD774" s="55"/>
      <c r="AE774" s="55"/>
      <c r="AF774" s="55"/>
      <c r="AG774" s="55"/>
      <c r="AH774" s="55"/>
      <c r="AI774" s="55"/>
      <c r="AJ774" s="55"/>
      <c r="AK774" s="55"/>
      <c r="AL774" s="55"/>
      <c r="AM774" s="55"/>
      <c r="AN774" s="55"/>
      <c r="AO774" s="55"/>
      <c r="AP774" s="55"/>
      <c r="AQ774" s="55"/>
      <c r="AR774" s="55"/>
      <c r="AS774" s="55"/>
      <c r="AT774" s="55"/>
      <c r="AU774" s="55"/>
      <c r="AV774" s="55"/>
      <c r="AW774" s="55"/>
      <c r="AX774" s="55"/>
      <c r="AY774" s="55"/>
    </row>
    <row r="775" spans="21:51">
      <c r="U775" s="55"/>
      <c r="V775" s="55"/>
      <c r="W775" s="55"/>
      <c r="X775" s="55"/>
      <c r="Y775" s="55"/>
      <c r="Z775" s="55"/>
      <c r="AA775" s="55"/>
      <c r="AB775" s="55"/>
      <c r="AC775" s="55"/>
      <c r="AD775" s="55"/>
      <c r="AE775" s="55"/>
      <c r="AF775" s="55"/>
      <c r="AG775" s="55"/>
      <c r="AH775" s="55"/>
      <c r="AI775" s="55"/>
      <c r="AJ775" s="55"/>
      <c r="AK775" s="55"/>
      <c r="AL775" s="55"/>
      <c r="AM775" s="55"/>
      <c r="AN775" s="55"/>
      <c r="AO775" s="55"/>
      <c r="AP775" s="55"/>
      <c r="AQ775" s="55"/>
      <c r="AR775" s="55"/>
      <c r="AS775" s="55"/>
      <c r="AT775" s="55"/>
      <c r="AU775" s="55"/>
      <c r="AV775" s="55"/>
      <c r="AW775" s="55"/>
      <c r="AX775" s="55"/>
      <c r="AY775" s="55"/>
    </row>
    <row r="776" spans="21:51">
      <c r="U776" s="55"/>
      <c r="V776" s="55"/>
      <c r="W776" s="55"/>
      <c r="X776" s="55"/>
      <c r="Y776" s="55"/>
      <c r="Z776" s="55"/>
      <c r="AA776" s="55"/>
      <c r="AB776" s="55"/>
      <c r="AC776" s="55"/>
      <c r="AD776" s="55"/>
      <c r="AE776" s="55"/>
      <c r="AF776" s="55"/>
      <c r="AG776" s="55"/>
      <c r="AH776" s="55"/>
      <c r="AI776" s="55"/>
      <c r="AJ776" s="55"/>
      <c r="AK776" s="55"/>
      <c r="AL776" s="55"/>
      <c r="AM776" s="55"/>
      <c r="AN776" s="55"/>
      <c r="AO776" s="55"/>
      <c r="AP776" s="55"/>
      <c r="AQ776" s="55"/>
      <c r="AR776" s="55"/>
      <c r="AS776" s="55"/>
      <c r="AT776" s="55"/>
      <c r="AU776" s="55"/>
      <c r="AV776" s="55"/>
      <c r="AW776" s="55"/>
      <c r="AX776" s="55"/>
      <c r="AY776" s="55"/>
    </row>
    <row r="777" spans="21:51">
      <c r="U777" s="55"/>
      <c r="V777" s="55"/>
      <c r="W777" s="55"/>
      <c r="X777" s="55"/>
      <c r="Y777" s="55"/>
      <c r="Z777" s="55"/>
      <c r="AA777" s="55"/>
      <c r="AB777" s="55"/>
      <c r="AC777" s="55"/>
      <c r="AD777" s="55"/>
      <c r="AE777" s="55"/>
      <c r="AF777" s="55"/>
      <c r="AG777" s="55"/>
      <c r="AH777" s="55"/>
      <c r="AI777" s="55"/>
      <c r="AJ777" s="55"/>
      <c r="AK777" s="55"/>
      <c r="AL777" s="55"/>
      <c r="AM777" s="55"/>
      <c r="AN777" s="55"/>
      <c r="AO777" s="55"/>
      <c r="AP777" s="55"/>
      <c r="AQ777" s="55"/>
      <c r="AR777" s="55"/>
      <c r="AS777" s="55"/>
      <c r="AT777" s="55"/>
      <c r="AU777" s="55"/>
      <c r="AV777" s="55"/>
      <c r="AW777" s="55"/>
      <c r="AX777" s="55"/>
      <c r="AY777" s="55"/>
    </row>
    <row r="778" spans="21:51">
      <c r="U778" s="55"/>
      <c r="V778" s="55"/>
      <c r="W778" s="55"/>
      <c r="X778" s="55"/>
      <c r="Y778" s="55"/>
      <c r="Z778" s="55"/>
      <c r="AA778" s="55"/>
      <c r="AB778" s="55"/>
      <c r="AC778" s="55"/>
      <c r="AD778" s="55"/>
      <c r="AE778" s="55"/>
      <c r="AF778" s="55"/>
      <c r="AG778" s="55"/>
      <c r="AH778" s="55"/>
      <c r="AI778" s="55"/>
      <c r="AJ778" s="55"/>
      <c r="AK778" s="55"/>
      <c r="AL778" s="55"/>
      <c r="AM778" s="55"/>
      <c r="AN778" s="55"/>
      <c r="AO778" s="55"/>
      <c r="AP778" s="55"/>
      <c r="AQ778" s="55"/>
      <c r="AR778" s="55"/>
      <c r="AS778" s="55"/>
      <c r="AT778" s="55"/>
      <c r="AU778" s="55"/>
      <c r="AV778" s="55"/>
      <c r="AW778" s="55"/>
      <c r="AX778" s="55"/>
      <c r="AY778" s="55"/>
    </row>
    <row r="779" spans="21:51">
      <c r="U779" s="55"/>
      <c r="V779" s="55"/>
      <c r="W779" s="55"/>
      <c r="X779" s="55"/>
      <c r="Y779" s="55"/>
      <c r="Z779" s="55"/>
      <c r="AA779" s="55"/>
      <c r="AB779" s="55"/>
      <c r="AC779" s="55"/>
      <c r="AD779" s="55"/>
      <c r="AE779" s="55"/>
      <c r="AF779" s="55"/>
      <c r="AG779" s="55"/>
      <c r="AH779" s="55"/>
      <c r="AI779" s="55"/>
      <c r="AJ779" s="55"/>
      <c r="AK779" s="55"/>
      <c r="AL779" s="55"/>
      <c r="AM779" s="55"/>
      <c r="AN779" s="55"/>
      <c r="AO779" s="55"/>
      <c r="AP779" s="55"/>
      <c r="AQ779" s="55"/>
      <c r="AR779" s="55"/>
      <c r="AS779" s="55"/>
      <c r="AT779" s="55"/>
      <c r="AU779" s="55"/>
      <c r="AV779" s="55"/>
      <c r="AW779" s="55"/>
      <c r="AX779" s="55"/>
      <c r="AY779" s="55"/>
    </row>
    <row r="780" spans="21:51">
      <c r="U780" s="55"/>
      <c r="V780" s="55"/>
      <c r="W780" s="55"/>
      <c r="X780" s="55"/>
      <c r="Y780" s="55"/>
      <c r="Z780" s="55"/>
      <c r="AA780" s="55"/>
      <c r="AB780" s="55"/>
      <c r="AC780" s="55"/>
      <c r="AD780" s="55"/>
      <c r="AE780" s="55"/>
      <c r="AF780" s="55"/>
      <c r="AG780" s="55"/>
      <c r="AH780" s="55"/>
      <c r="AI780" s="55"/>
      <c r="AJ780" s="55"/>
      <c r="AK780" s="55"/>
      <c r="AL780" s="55"/>
      <c r="AM780" s="55"/>
      <c r="AN780" s="55"/>
      <c r="AO780" s="55"/>
      <c r="AP780" s="55"/>
      <c r="AQ780" s="55"/>
      <c r="AR780" s="55"/>
      <c r="AS780" s="55"/>
      <c r="AT780" s="55"/>
      <c r="AU780" s="55"/>
      <c r="AV780" s="55"/>
      <c r="AW780" s="55"/>
      <c r="AX780" s="55"/>
      <c r="AY780" s="55"/>
    </row>
    <row r="781" spans="21:51">
      <c r="U781" s="55"/>
      <c r="V781" s="55"/>
      <c r="W781" s="55"/>
      <c r="X781" s="55"/>
      <c r="Y781" s="55"/>
      <c r="Z781" s="55"/>
      <c r="AA781" s="55"/>
      <c r="AB781" s="55"/>
      <c r="AC781" s="55"/>
      <c r="AD781" s="55"/>
      <c r="AE781" s="55"/>
      <c r="AF781" s="55"/>
      <c r="AG781" s="55"/>
      <c r="AH781" s="55"/>
      <c r="AI781" s="55"/>
      <c r="AJ781" s="55"/>
      <c r="AK781" s="55"/>
      <c r="AL781" s="55"/>
      <c r="AM781" s="55"/>
      <c r="AN781" s="55"/>
      <c r="AO781" s="55"/>
      <c r="AP781" s="55"/>
      <c r="AQ781" s="55"/>
      <c r="AR781" s="55"/>
      <c r="AS781" s="55"/>
      <c r="AT781" s="55"/>
      <c r="AU781" s="55"/>
      <c r="AV781" s="55"/>
      <c r="AW781" s="55"/>
      <c r="AX781" s="55"/>
      <c r="AY781" s="55"/>
    </row>
    <row r="782" spans="21:51">
      <c r="U782" s="55"/>
      <c r="V782" s="55"/>
      <c r="W782" s="55"/>
      <c r="X782" s="55"/>
      <c r="Y782" s="55"/>
      <c r="Z782" s="55"/>
      <c r="AA782" s="55"/>
      <c r="AB782" s="55"/>
      <c r="AC782" s="55"/>
      <c r="AD782" s="55"/>
      <c r="AE782" s="55"/>
      <c r="AF782" s="55"/>
      <c r="AG782" s="55"/>
      <c r="AH782" s="55"/>
      <c r="AI782" s="55"/>
      <c r="AJ782" s="55"/>
      <c r="AK782" s="55"/>
      <c r="AL782" s="55"/>
      <c r="AM782" s="55"/>
      <c r="AN782" s="55"/>
      <c r="AO782" s="55"/>
      <c r="AP782" s="55"/>
      <c r="AQ782" s="55"/>
      <c r="AR782" s="55"/>
      <c r="AS782" s="55"/>
      <c r="AT782" s="55"/>
      <c r="AU782" s="55"/>
      <c r="AV782" s="55"/>
      <c r="AW782" s="55"/>
      <c r="AX782" s="55"/>
      <c r="AY782" s="55"/>
    </row>
    <row r="783" spans="21:51">
      <c r="U783" s="55"/>
      <c r="V783" s="55"/>
      <c r="W783" s="55"/>
      <c r="X783" s="55"/>
      <c r="Y783" s="55"/>
      <c r="Z783" s="55"/>
      <c r="AA783" s="55"/>
      <c r="AB783" s="55"/>
      <c r="AC783" s="55"/>
      <c r="AD783" s="55"/>
      <c r="AE783" s="55"/>
      <c r="AF783" s="55"/>
      <c r="AG783" s="55"/>
      <c r="AH783" s="55"/>
      <c r="AI783" s="55"/>
      <c r="AJ783" s="55"/>
      <c r="AK783" s="55"/>
      <c r="AL783" s="55"/>
      <c r="AM783" s="55"/>
      <c r="AN783" s="55"/>
      <c r="AO783" s="55"/>
      <c r="AP783" s="55"/>
      <c r="AQ783" s="55"/>
      <c r="AR783" s="55"/>
      <c r="AS783" s="55"/>
      <c r="AT783" s="55"/>
      <c r="AU783" s="55"/>
      <c r="AV783" s="55"/>
      <c r="AW783" s="55"/>
      <c r="AX783" s="55"/>
      <c r="AY783" s="55"/>
    </row>
    <row r="784" spans="21:51">
      <c r="U784" s="55"/>
      <c r="V784" s="55"/>
      <c r="W784" s="55"/>
      <c r="X784" s="55"/>
      <c r="Y784" s="55"/>
      <c r="Z784" s="55"/>
      <c r="AA784" s="55"/>
      <c r="AB784" s="55"/>
      <c r="AC784" s="55"/>
      <c r="AD784" s="55"/>
      <c r="AE784" s="55"/>
      <c r="AF784" s="55"/>
      <c r="AG784" s="55"/>
      <c r="AH784" s="55"/>
      <c r="AI784" s="55"/>
      <c r="AJ784" s="55"/>
      <c r="AK784" s="55"/>
      <c r="AL784" s="55"/>
      <c r="AM784" s="55"/>
      <c r="AN784" s="55"/>
      <c r="AO784" s="55"/>
      <c r="AP784" s="55"/>
      <c r="AQ784" s="55"/>
      <c r="AR784" s="55"/>
      <c r="AS784" s="55"/>
      <c r="AT784" s="55"/>
      <c r="AU784" s="55"/>
      <c r="AV784" s="55"/>
      <c r="AW784" s="55"/>
      <c r="AX784" s="55"/>
      <c r="AY784" s="55"/>
    </row>
    <row r="785" spans="21:51">
      <c r="U785" s="55"/>
      <c r="V785" s="55"/>
      <c r="W785" s="55"/>
      <c r="X785" s="55"/>
      <c r="Y785" s="55"/>
      <c r="Z785" s="55"/>
      <c r="AA785" s="55"/>
      <c r="AB785" s="55"/>
      <c r="AC785" s="55"/>
      <c r="AD785" s="55"/>
      <c r="AE785" s="55"/>
      <c r="AF785" s="55"/>
      <c r="AG785" s="55"/>
      <c r="AH785" s="55"/>
      <c r="AI785" s="55"/>
      <c r="AJ785" s="55"/>
      <c r="AK785" s="55"/>
      <c r="AL785" s="55"/>
      <c r="AM785" s="55"/>
      <c r="AN785" s="55"/>
      <c r="AO785" s="55"/>
      <c r="AP785" s="55"/>
      <c r="AQ785" s="55"/>
      <c r="AR785" s="55"/>
      <c r="AS785" s="55"/>
      <c r="AT785" s="55"/>
      <c r="AU785" s="55"/>
      <c r="AV785" s="55"/>
      <c r="AW785" s="55"/>
      <c r="AX785" s="55"/>
      <c r="AY785" s="55"/>
    </row>
    <row r="786" spans="21:51">
      <c r="U786" s="55"/>
      <c r="V786" s="55"/>
      <c r="W786" s="55"/>
      <c r="X786" s="55"/>
      <c r="Y786" s="55"/>
      <c r="Z786" s="55"/>
      <c r="AA786" s="55"/>
      <c r="AB786" s="55"/>
      <c r="AC786" s="55"/>
      <c r="AD786" s="55"/>
      <c r="AE786" s="55"/>
      <c r="AF786" s="55"/>
      <c r="AG786" s="55"/>
      <c r="AH786" s="55"/>
      <c r="AI786" s="55"/>
      <c r="AJ786" s="55"/>
      <c r="AK786" s="55"/>
      <c r="AL786" s="55"/>
      <c r="AM786" s="55"/>
      <c r="AN786" s="55"/>
      <c r="AO786" s="55"/>
      <c r="AP786" s="55"/>
      <c r="AQ786" s="55"/>
      <c r="AR786" s="55"/>
      <c r="AS786" s="55"/>
      <c r="AT786" s="55"/>
      <c r="AU786" s="55"/>
      <c r="AV786" s="55"/>
      <c r="AW786" s="55"/>
      <c r="AX786" s="55"/>
      <c r="AY786" s="55"/>
    </row>
    <row r="787" spans="21:51">
      <c r="U787" s="55"/>
      <c r="V787" s="55"/>
      <c r="W787" s="55"/>
      <c r="X787" s="55"/>
      <c r="Y787" s="55"/>
      <c r="Z787" s="55"/>
      <c r="AA787" s="55"/>
      <c r="AB787" s="55"/>
      <c r="AC787" s="55"/>
      <c r="AD787" s="55"/>
      <c r="AE787" s="55"/>
      <c r="AF787" s="55"/>
      <c r="AG787" s="55"/>
      <c r="AH787" s="55"/>
      <c r="AI787" s="55"/>
      <c r="AJ787" s="55"/>
      <c r="AK787" s="55"/>
      <c r="AL787" s="55"/>
      <c r="AM787" s="55"/>
      <c r="AN787" s="55"/>
      <c r="AO787" s="55"/>
      <c r="AP787" s="55"/>
      <c r="AQ787" s="55"/>
      <c r="AR787" s="55"/>
      <c r="AS787" s="55"/>
      <c r="AT787" s="55"/>
      <c r="AU787" s="55"/>
      <c r="AV787" s="55"/>
      <c r="AW787" s="55"/>
      <c r="AX787" s="55"/>
      <c r="AY787" s="55"/>
    </row>
    <row r="788" spans="21:51">
      <c r="U788" s="55"/>
      <c r="V788" s="55"/>
      <c r="W788" s="55"/>
      <c r="X788" s="55"/>
      <c r="Y788" s="55"/>
      <c r="Z788" s="55"/>
      <c r="AA788" s="55"/>
      <c r="AB788" s="55"/>
      <c r="AC788" s="55"/>
      <c r="AD788" s="55"/>
      <c r="AE788" s="55"/>
      <c r="AF788" s="55"/>
      <c r="AG788" s="55"/>
      <c r="AH788" s="55"/>
      <c r="AI788" s="55"/>
      <c r="AJ788" s="55"/>
      <c r="AK788" s="55"/>
      <c r="AL788" s="55"/>
      <c r="AM788" s="55"/>
      <c r="AN788" s="55"/>
      <c r="AO788" s="55"/>
      <c r="AP788" s="55"/>
      <c r="AQ788" s="55"/>
      <c r="AR788" s="55"/>
      <c r="AS788" s="55"/>
      <c r="AT788" s="55"/>
      <c r="AU788" s="55"/>
      <c r="AV788" s="55"/>
      <c r="AW788" s="55"/>
      <c r="AX788" s="55"/>
      <c r="AY788" s="55"/>
    </row>
    <row r="789" spans="21:51">
      <c r="U789" s="55"/>
      <c r="V789" s="55"/>
      <c r="W789" s="55"/>
      <c r="X789" s="55"/>
      <c r="Y789" s="55"/>
      <c r="Z789" s="55"/>
      <c r="AA789" s="55"/>
      <c r="AB789" s="55"/>
      <c r="AC789" s="55"/>
      <c r="AD789" s="55"/>
      <c r="AE789" s="55"/>
      <c r="AF789" s="55"/>
      <c r="AG789" s="55"/>
      <c r="AH789" s="55"/>
      <c r="AI789" s="55"/>
      <c r="AJ789" s="55"/>
      <c r="AK789" s="55"/>
      <c r="AL789" s="55"/>
      <c r="AM789" s="55"/>
      <c r="AN789" s="55"/>
      <c r="AO789" s="55"/>
      <c r="AP789" s="55"/>
      <c r="AQ789" s="55"/>
      <c r="AR789" s="55"/>
      <c r="AS789" s="55"/>
      <c r="AT789" s="55"/>
      <c r="AU789" s="55"/>
      <c r="AV789" s="55"/>
      <c r="AW789" s="55"/>
      <c r="AX789" s="55"/>
      <c r="AY789" s="55"/>
    </row>
    <row r="790" spans="21:51">
      <c r="U790" s="55"/>
      <c r="V790" s="55"/>
      <c r="W790" s="55"/>
      <c r="X790" s="55"/>
      <c r="Y790" s="55"/>
      <c r="Z790" s="55"/>
      <c r="AA790" s="55"/>
      <c r="AB790" s="55"/>
      <c r="AC790" s="55"/>
      <c r="AD790" s="55"/>
      <c r="AE790" s="55"/>
      <c r="AF790" s="55"/>
      <c r="AG790" s="55"/>
      <c r="AH790" s="55"/>
      <c r="AI790" s="55"/>
      <c r="AJ790" s="55"/>
      <c r="AK790" s="55"/>
      <c r="AL790" s="55"/>
      <c r="AM790" s="55"/>
      <c r="AN790" s="55"/>
      <c r="AO790" s="55"/>
      <c r="AP790" s="55"/>
      <c r="AQ790" s="55"/>
      <c r="AR790" s="55"/>
      <c r="AS790" s="55"/>
      <c r="AT790" s="55"/>
      <c r="AU790" s="55"/>
      <c r="AV790" s="55"/>
      <c r="AW790" s="55"/>
      <c r="AX790" s="55"/>
      <c r="AY790" s="55"/>
    </row>
    <row r="791" spans="21:51">
      <c r="U791" s="55"/>
      <c r="V791" s="55"/>
      <c r="W791" s="55"/>
      <c r="X791" s="55"/>
      <c r="Y791" s="55"/>
      <c r="Z791" s="55"/>
      <c r="AA791" s="55"/>
      <c r="AB791" s="55"/>
      <c r="AC791" s="55"/>
      <c r="AD791" s="55"/>
      <c r="AE791" s="55"/>
      <c r="AF791" s="55"/>
      <c r="AG791" s="55"/>
      <c r="AH791" s="55"/>
      <c r="AI791" s="55"/>
      <c r="AJ791" s="55"/>
      <c r="AK791" s="55"/>
      <c r="AL791" s="55"/>
      <c r="AM791" s="55"/>
      <c r="AN791" s="55"/>
      <c r="AO791" s="55"/>
      <c r="AP791" s="55"/>
      <c r="AQ791" s="55"/>
      <c r="AR791" s="55"/>
      <c r="AS791" s="55"/>
      <c r="AT791" s="55"/>
      <c r="AU791" s="55"/>
      <c r="AV791" s="55"/>
      <c r="AW791" s="55"/>
      <c r="AX791" s="55"/>
      <c r="AY791" s="55"/>
    </row>
    <row r="792" spans="21:51">
      <c r="U792" s="55"/>
      <c r="V792" s="55"/>
      <c r="W792" s="55"/>
      <c r="X792" s="55"/>
      <c r="Y792" s="55"/>
      <c r="Z792" s="55"/>
      <c r="AA792" s="55"/>
      <c r="AB792" s="55"/>
      <c r="AC792" s="55"/>
      <c r="AD792" s="55"/>
      <c r="AE792" s="55"/>
      <c r="AF792" s="55"/>
      <c r="AG792" s="55"/>
      <c r="AH792" s="55"/>
      <c r="AI792" s="55"/>
      <c r="AJ792" s="55"/>
      <c r="AK792" s="55"/>
      <c r="AL792" s="55"/>
      <c r="AM792" s="55"/>
      <c r="AN792" s="55"/>
      <c r="AO792" s="55"/>
      <c r="AP792" s="55"/>
      <c r="AQ792" s="55"/>
      <c r="AR792" s="55"/>
      <c r="AS792" s="55"/>
      <c r="AT792" s="55"/>
      <c r="AU792" s="55"/>
      <c r="AV792" s="55"/>
      <c r="AW792" s="55"/>
      <c r="AX792" s="55"/>
      <c r="AY792" s="55"/>
    </row>
    <row r="793" spans="21:51">
      <c r="U793" s="55"/>
      <c r="V793" s="55"/>
      <c r="W793" s="55"/>
      <c r="X793" s="55"/>
      <c r="Y793" s="55"/>
      <c r="Z793" s="55"/>
      <c r="AA793" s="55"/>
      <c r="AB793" s="55"/>
      <c r="AC793" s="55"/>
      <c r="AD793" s="55"/>
      <c r="AE793" s="55"/>
      <c r="AF793" s="55"/>
      <c r="AG793" s="55"/>
      <c r="AH793" s="55"/>
      <c r="AI793" s="55"/>
      <c r="AJ793" s="55"/>
      <c r="AK793" s="55"/>
      <c r="AL793" s="55"/>
      <c r="AM793" s="55"/>
      <c r="AN793" s="55"/>
      <c r="AO793" s="55"/>
      <c r="AP793" s="55"/>
      <c r="AQ793" s="55"/>
      <c r="AR793" s="55"/>
      <c r="AS793" s="55"/>
      <c r="AT793" s="55"/>
      <c r="AU793" s="55"/>
      <c r="AV793" s="55"/>
      <c r="AW793" s="55"/>
      <c r="AX793" s="55"/>
      <c r="AY793" s="55"/>
    </row>
    <row r="794" spans="21:51">
      <c r="U794" s="55"/>
      <c r="V794" s="55"/>
      <c r="W794" s="55"/>
      <c r="X794" s="55"/>
      <c r="Y794" s="55"/>
      <c r="Z794" s="55"/>
      <c r="AA794" s="55"/>
      <c r="AB794" s="55"/>
      <c r="AC794" s="55"/>
      <c r="AD794" s="55"/>
      <c r="AE794" s="55"/>
      <c r="AF794" s="55"/>
      <c r="AG794" s="55"/>
      <c r="AH794" s="55"/>
      <c r="AI794" s="55"/>
      <c r="AJ794" s="55"/>
      <c r="AK794" s="55"/>
      <c r="AL794" s="55"/>
      <c r="AM794" s="55"/>
      <c r="AN794" s="55"/>
      <c r="AO794" s="55"/>
      <c r="AP794" s="55"/>
      <c r="AQ794" s="55"/>
      <c r="AR794" s="55"/>
      <c r="AS794" s="55"/>
      <c r="AT794" s="55"/>
      <c r="AU794" s="55"/>
      <c r="AV794" s="55"/>
      <c r="AW794" s="55"/>
      <c r="AX794" s="55"/>
      <c r="AY794" s="55"/>
    </row>
    <row r="795" spans="21:51">
      <c r="U795" s="55"/>
      <c r="V795" s="55"/>
      <c r="W795" s="55"/>
      <c r="X795" s="55"/>
      <c r="Y795" s="55"/>
      <c r="Z795" s="55"/>
      <c r="AA795" s="55"/>
      <c r="AB795" s="55"/>
      <c r="AC795" s="55"/>
      <c r="AD795" s="55"/>
      <c r="AE795" s="55"/>
      <c r="AF795" s="55"/>
      <c r="AG795" s="55"/>
      <c r="AH795" s="55"/>
      <c r="AI795" s="55"/>
      <c r="AJ795" s="55"/>
      <c r="AK795" s="55"/>
      <c r="AL795" s="55"/>
      <c r="AM795" s="55"/>
      <c r="AN795" s="55"/>
      <c r="AO795" s="55"/>
      <c r="AP795" s="55"/>
      <c r="AQ795" s="55"/>
      <c r="AR795" s="55"/>
      <c r="AS795" s="55"/>
      <c r="AT795" s="55"/>
      <c r="AU795" s="55"/>
      <c r="AV795" s="55"/>
      <c r="AW795" s="55"/>
      <c r="AX795" s="55"/>
      <c r="AY795" s="55"/>
    </row>
    <row r="796" spans="21:51">
      <c r="U796" s="55"/>
      <c r="V796" s="55"/>
      <c r="W796" s="55"/>
      <c r="X796" s="55"/>
      <c r="Y796" s="55"/>
      <c r="Z796" s="55"/>
      <c r="AA796" s="55"/>
      <c r="AB796" s="55"/>
      <c r="AC796" s="55"/>
      <c r="AD796" s="55"/>
      <c r="AE796" s="55"/>
      <c r="AF796" s="55"/>
      <c r="AG796" s="55"/>
      <c r="AH796" s="55"/>
      <c r="AI796" s="55"/>
      <c r="AJ796" s="55"/>
      <c r="AK796" s="55"/>
      <c r="AL796" s="55"/>
      <c r="AM796" s="55"/>
      <c r="AN796" s="55"/>
      <c r="AO796" s="55"/>
      <c r="AP796" s="55"/>
      <c r="AQ796" s="55"/>
      <c r="AR796" s="55"/>
      <c r="AS796" s="55"/>
      <c r="AT796" s="55"/>
      <c r="AU796" s="55"/>
      <c r="AV796" s="55"/>
      <c r="AW796" s="55"/>
      <c r="AX796" s="55"/>
      <c r="AY796" s="55"/>
    </row>
    <row r="797" spans="21:51">
      <c r="U797" s="55"/>
      <c r="V797" s="55"/>
      <c r="W797" s="55"/>
      <c r="X797" s="55"/>
      <c r="Y797" s="55"/>
      <c r="Z797" s="55"/>
      <c r="AA797" s="55"/>
      <c r="AB797" s="55"/>
      <c r="AC797" s="55"/>
      <c r="AD797" s="55"/>
      <c r="AE797" s="55"/>
      <c r="AF797" s="55"/>
      <c r="AG797" s="55"/>
      <c r="AH797" s="55"/>
      <c r="AI797" s="55"/>
      <c r="AJ797" s="55"/>
      <c r="AK797" s="55"/>
      <c r="AL797" s="55"/>
      <c r="AM797" s="55"/>
      <c r="AN797" s="55"/>
      <c r="AO797" s="55"/>
      <c r="AP797" s="55"/>
      <c r="AQ797" s="55"/>
      <c r="AR797" s="55"/>
      <c r="AS797" s="55"/>
      <c r="AT797" s="55"/>
      <c r="AU797" s="55"/>
      <c r="AV797" s="55"/>
      <c r="AW797" s="55"/>
      <c r="AX797" s="55"/>
      <c r="AY797" s="55"/>
    </row>
    <row r="798" spans="21:51">
      <c r="U798" s="55"/>
      <c r="V798" s="55"/>
      <c r="W798" s="55"/>
      <c r="X798" s="55"/>
      <c r="Y798" s="55"/>
      <c r="Z798" s="55"/>
      <c r="AA798" s="55"/>
      <c r="AB798" s="55"/>
      <c r="AC798" s="55"/>
      <c r="AD798" s="55"/>
      <c r="AE798" s="55"/>
      <c r="AF798" s="55"/>
      <c r="AG798" s="55"/>
      <c r="AH798" s="55"/>
      <c r="AI798" s="55"/>
      <c r="AJ798" s="55"/>
      <c r="AK798" s="55"/>
      <c r="AL798" s="55"/>
      <c r="AM798" s="55"/>
      <c r="AN798" s="55"/>
      <c r="AO798" s="55"/>
      <c r="AP798" s="55"/>
      <c r="AQ798" s="55"/>
      <c r="AR798" s="55"/>
      <c r="AS798" s="55"/>
      <c r="AT798" s="55"/>
      <c r="AU798" s="55"/>
      <c r="AV798" s="55"/>
      <c r="AW798" s="55"/>
      <c r="AX798" s="55"/>
      <c r="AY798" s="55"/>
    </row>
    <row r="799" spans="21:51">
      <c r="U799" s="55"/>
      <c r="V799" s="55"/>
      <c r="W799" s="55"/>
      <c r="X799" s="55"/>
      <c r="Y799" s="55"/>
      <c r="Z799" s="55"/>
      <c r="AA799" s="55"/>
      <c r="AB799" s="55"/>
      <c r="AC799" s="55"/>
      <c r="AD799" s="55"/>
      <c r="AE799" s="55"/>
      <c r="AF799" s="55"/>
      <c r="AG799" s="55"/>
      <c r="AH799" s="55"/>
      <c r="AI799" s="55"/>
      <c r="AJ799" s="55"/>
      <c r="AK799" s="55"/>
      <c r="AL799" s="55"/>
      <c r="AM799" s="55"/>
      <c r="AN799" s="55"/>
      <c r="AO799" s="55"/>
      <c r="AP799" s="55"/>
      <c r="AQ799" s="55"/>
      <c r="AR799" s="55"/>
      <c r="AS799" s="55"/>
      <c r="AT799" s="55"/>
      <c r="AU799" s="55"/>
      <c r="AV799" s="55"/>
      <c r="AW799" s="55"/>
      <c r="AX799" s="55"/>
      <c r="AY799" s="55"/>
    </row>
    <row r="800" spans="21:51">
      <c r="U800" s="55"/>
      <c r="V800" s="55"/>
      <c r="W800" s="55"/>
      <c r="X800" s="55"/>
      <c r="Y800" s="55"/>
      <c r="Z800" s="55"/>
      <c r="AA800" s="55"/>
      <c r="AB800" s="55"/>
      <c r="AC800" s="55"/>
      <c r="AD800" s="55"/>
      <c r="AE800" s="55"/>
      <c r="AF800" s="55"/>
      <c r="AG800" s="55"/>
      <c r="AH800" s="55"/>
      <c r="AI800" s="55"/>
      <c r="AJ800" s="55"/>
      <c r="AK800" s="55"/>
      <c r="AL800" s="55"/>
      <c r="AM800" s="55"/>
      <c r="AN800" s="55"/>
      <c r="AO800" s="55"/>
      <c r="AP800" s="55"/>
      <c r="AQ800" s="55"/>
      <c r="AR800" s="55"/>
      <c r="AS800" s="55"/>
      <c r="AT800" s="55"/>
      <c r="AU800" s="55"/>
      <c r="AV800" s="55"/>
      <c r="AW800" s="55"/>
      <c r="AX800" s="55"/>
      <c r="AY800" s="55"/>
    </row>
    <row r="801" spans="21:51">
      <c r="U801" s="55"/>
      <c r="V801" s="55"/>
      <c r="W801" s="55"/>
      <c r="X801" s="55"/>
      <c r="Y801" s="55"/>
      <c r="Z801" s="55"/>
      <c r="AA801" s="55"/>
      <c r="AB801" s="55"/>
      <c r="AC801" s="55"/>
      <c r="AD801" s="55"/>
      <c r="AE801" s="55"/>
      <c r="AF801" s="55"/>
      <c r="AG801" s="55"/>
      <c r="AH801" s="55"/>
      <c r="AI801" s="55"/>
      <c r="AJ801" s="55"/>
      <c r="AK801" s="55"/>
      <c r="AL801" s="55"/>
      <c r="AM801" s="55"/>
      <c r="AN801" s="55"/>
      <c r="AO801" s="55"/>
      <c r="AP801" s="55"/>
      <c r="AQ801" s="55"/>
      <c r="AR801" s="55"/>
      <c r="AS801" s="55"/>
      <c r="AT801" s="55"/>
      <c r="AU801" s="55"/>
      <c r="AV801" s="55"/>
      <c r="AW801" s="55"/>
      <c r="AX801" s="55"/>
      <c r="AY801" s="55"/>
    </row>
    <row r="802" spans="21:51">
      <c r="U802" s="55"/>
      <c r="V802" s="55"/>
      <c r="W802" s="55"/>
      <c r="X802" s="55"/>
      <c r="Y802" s="55"/>
      <c r="Z802" s="55"/>
      <c r="AA802" s="55"/>
      <c r="AB802" s="55"/>
      <c r="AC802" s="55"/>
      <c r="AD802" s="55"/>
      <c r="AE802" s="55"/>
      <c r="AF802" s="55"/>
      <c r="AG802" s="55"/>
      <c r="AH802" s="55"/>
      <c r="AI802" s="55"/>
      <c r="AJ802" s="55"/>
      <c r="AK802" s="55"/>
      <c r="AL802" s="55"/>
      <c r="AM802" s="55"/>
      <c r="AN802" s="55"/>
      <c r="AO802" s="55"/>
      <c r="AP802" s="55"/>
      <c r="AQ802" s="55"/>
      <c r="AR802" s="55"/>
      <c r="AS802" s="55"/>
      <c r="AT802" s="55"/>
      <c r="AU802" s="55"/>
      <c r="AV802" s="55"/>
      <c r="AW802" s="55"/>
      <c r="AX802" s="55"/>
      <c r="AY802" s="55"/>
    </row>
    <row r="803" spans="21:51">
      <c r="U803" s="55"/>
      <c r="V803" s="55"/>
      <c r="W803" s="55"/>
      <c r="X803" s="55"/>
      <c r="Y803" s="55"/>
      <c r="Z803" s="55"/>
      <c r="AA803" s="55"/>
      <c r="AB803" s="55"/>
      <c r="AC803" s="55"/>
      <c r="AD803" s="55"/>
      <c r="AE803" s="55"/>
      <c r="AF803" s="55"/>
      <c r="AG803" s="55"/>
      <c r="AH803" s="55"/>
      <c r="AI803" s="55"/>
      <c r="AJ803" s="55"/>
      <c r="AK803" s="55"/>
      <c r="AL803" s="55"/>
      <c r="AM803" s="55"/>
      <c r="AN803" s="55"/>
      <c r="AO803" s="55"/>
      <c r="AP803" s="55"/>
      <c r="AQ803" s="55"/>
      <c r="AR803" s="55"/>
      <c r="AS803" s="55"/>
      <c r="AT803" s="55"/>
      <c r="AU803" s="55"/>
      <c r="AV803" s="55"/>
      <c r="AW803" s="55"/>
      <c r="AX803" s="55"/>
      <c r="AY803" s="55"/>
    </row>
    <row r="804" spans="21:51">
      <c r="U804" s="55"/>
      <c r="V804" s="55"/>
      <c r="W804" s="55"/>
      <c r="X804" s="55"/>
      <c r="Y804" s="55"/>
      <c r="Z804" s="55"/>
      <c r="AA804" s="55"/>
      <c r="AB804" s="55"/>
      <c r="AC804" s="55"/>
      <c r="AD804" s="55"/>
      <c r="AE804" s="55"/>
      <c r="AF804" s="55"/>
      <c r="AG804" s="55"/>
      <c r="AH804" s="55"/>
      <c r="AI804" s="55"/>
      <c r="AJ804" s="55"/>
      <c r="AK804" s="55"/>
      <c r="AL804" s="55"/>
      <c r="AM804" s="55"/>
      <c r="AN804" s="55"/>
      <c r="AO804" s="55"/>
      <c r="AP804" s="55"/>
      <c r="AQ804" s="55"/>
      <c r="AR804" s="55"/>
      <c r="AS804" s="55"/>
      <c r="AT804" s="55"/>
      <c r="AU804" s="55"/>
      <c r="AV804" s="55"/>
      <c r="AW804" s="55"/>
      <c r="AX804" s="55"/>
      <c r="AY804" s="55"/>
    </row>
    <row r="805" spans="21:51">
      <c r="U805" s="55"/>
      <c r="V805" s="55"/>
      <c r="W805" s="55"/>
      <c r="X805" s="55"/>
      <c r="Y805" s="55"/>
      <c r="Z805" s="55"/>
      <c r="AA805" s="55"/>
      <c r="AB805" s="55"/>
      <c r="AC805" s="55"/>
      <c r="AD805" s="55"/>
      <c r="AE805" s="55"/>
      <c r="AF805" s="55"/>
      <c r="AG805" s="55"/>
      <c r="AH805" s="55"/>
      <c r="AI805" s="55"/>
      <c r="AJ805" s="55"/>
      <c r="AK805" s="55"/>
      <c r="AL805" s="55"/>
      <c r="AM805" s="55"/>
      <c r="AN805" s="55"/>
      <c r="AO805" s="55"/>
      <c r="AP805" s="55"/>
      <c r="AQ805" s="55"/>
      <c r="AR805" s="55"/>
      <c r="AS805" s="55"/>
      <c r="AT805" s="55"/>
      <c r="AU805" s="55"/>
      <c r="AV805" s="55"/>
      <c r="AW805" s="55"/>
      <c r="AX805" s="55"/>
      <c r="AY805" s="55"/>
    </row>
    <row r="806" spans="21:51">
      <c r="U806" s="55"/>
      <c r="V806" s="55"/>
      <c r="W806" s="55"/>
      <c r="X806" s="55"/>
      <c r="Y806" s="55"/>
      <c r="Z806" s="55"/>
      <c r="AA806" s="55"/>
      <c r="AB806" s="55"/>
      <c r="AC806" s="55"/>
      <c r="AD806" s="55"/>
      <c r="AE806" s="55"/>
      <c r="AF806" s="55"/>
      <c r="AG806" s="55"/>
      <c r="AH806" s="55"/>
      <c r="AI806" s="55"/>
      <c r="AJ806" s="55"/>
      <c r="AK806" s="55"/>
      <c r="AL806" s="55"/>
      <c r="AM806" s="55"/>
      <c r="AN806" s="55"/>
      <c r="AO806" s="55"/>
      <c r="AP806" s="55"/>
      <c r="AQ806" s="55"/>
      <c r="AR806" s="55"/>
      <c r="AS806" s="55"/>
      <c r="AT806" s="55"/>
      <c r="AU806" s="55"/>
      <c r="AV806" s="55"/>
      <c r="AW806" s="55"/>
      <c r="AX806" s="55"/>
      <c r="AY806" s="55"/>
    </row>
    <row r="807" spans="21:51">
      <c r="U807" s="55"/>
      <c r="V807" s="55"/>
      <c r="W807" s="55"/>
      <c r="X807" s="55"/>
      <c r="Y807" s="55"/>
      <c r="Z807" s="55"/>
      <c r="AA807" s="55"/>
      <c r="AB807" s="55"/>
      <c r="AC807" s="55"/>
      <c r="AD807" s="55"/>
      <c r="AE807" s="55"/>
      <c r="AF807" s="55"/>
      <c r="AG807" s="55"/>
      <c r="AH807" s="55"/>
      <c r="AI807" s="55"/>
      <c r="AJ807" s="55"/>
      <c r="AK807" s="55"/>
      <c r="AL807" s="55"/>
      <c r="AM807" s="55"/>
      <c r="AN807" s="55"/>
      <c r="AO807" s="55"/>
      <c r="AP807" s="55"/>
      <c r="AQ807" s="55"/>
      <c r="AR807" s="55"/>
      <c r="AS807" s="55"/>
      <c r="AT807" s="55"/>
      <c r="AU807" s="55"/>
      <c r="AV807" s="55"/>
      <c r="AW807" s="55"/>
      <c r="AX807" s="55"/>
      <c r="AY807" s="55"/>
    </row>
    <row r="808" spans="21:51">
      <c r="U808" s="55"/>
      <c r="V808" s="55"/>
      <c r="W808" s="55"/>
      <c r="X808" s="55"/>
      <c r="Y808" s="55"/>
      <c r="Z808" s="55"/>
      <c r="AA808" s="55"/>
      <c r="AB808" s="55"/>
      <c r="AC808" s="55"/>
      <c r="AD808" s="55"/>
      <c r="AE808" s="55"/>
      <c r="AF808" s="55"/>
      <c r="AG808" s="55"/>
      <c r="AH808" s="55"/>
      <c r="AI808" s="55"/>
      <c r="AJ808" s="55"/>
      <c r="AK808" s="55"/>
      <c r="AL808" s="55"/>
      <c r="AM808" s="55"/>
      <c r="AN808" s="55"/>
      <c r="AO808" s="55"/>
      <c r="AP808" s="55"/>
      <c r="AQ808" s="55"/>
      <c r="AR808" s="55"/>
      <c r="AS808" s="55"/>
      <c r="AT808" s="55"/>
      <c r="AU808" s="55"/>
      <c r="AV808" s="55"/>
      <c r="AW808" s="55"/>
      <c r="AX808" s="55"/>
      <c r="AY808" s="55"/>
    </row>
    <row r="809" spans="21:51">
      <c r="U809" s="55"/>
      <c r="V809" s="55"/>
      <c r="W809" s="55"/>
      <c r="X809" s="55"/>
      <c r="Y809" s="55"/>
      <c r="Z809" s="55"/>
      <c r="AA809" s="55"/>
      <c r="AB809" s="55"/>
      <c r="AC809" s="55"/>
      <c r="AD809" s="55"/>
      <c r="AE809" s="55"/>
      <c r="AF809" s="55"/>
      <c r="AG809" s="55"/>
      <c r="AH809" s="55"/>
      <c r="AI809" s="55"/>
      <c r="AJ809" s="55"/>
      <c r="AK809" s="55"/>
      <c r="AL809" s="55"/>
      <c r="AM809" s="55"/>
      <c r="AN809" s="55"/>
      <c r="AO809" s="55"/>
      <c r="AP809" s="55"/>
      <c r="AQ809" s="55"/>
      <c r="AR809" s="55"/>
      <c r="AS809" s="55"/>
      <c r="AT809" s="55"/>
      <c r="AU809" s="55"/>
      <c r="AV809" s="55"/>
      <c r="AW809" s="55"/>
      <c r="AX809" s="55"/>
      <c r="AY809" s="55"/>
    </row>
    <row r="810" spans="21:51">
      <c r="U810" s="55"/>
      <c r="V810" s="55"/>
      <c r="W810" s="55"/>
      <c r="X810" s="55"/>
      <c r="Y810" s="55"/>
      <c r="Z810" s="55"/>
      <c r="AA810" s="55"/>
      <c r="AB810" s="55"/>
      <c r="AC810" s="55"/>
      <c r="AD810" s="55"/>
      <c r="AE810" s="55"/>
      <c r="AF810" s="55"/>
      <c r="AG810" s="55"/>
      <c r="AH810" s="55"/>
      <c r="AI810" s="55"/>
      <c r="AJ810" s="55"/>
      <c r="AK810" s="55"/>
      <c r="AL810" s="55"/>
      <c r="AM810" s="55"/>
      <c r="AN810" s="55"/>
      <c r="AO810" s="55"/>
      <c r="AP810" s="55"/>
      <c r="AQ810" s="55"/>
      <c r="AR810" s="55"/>
      <c r="AS810" s="55"/>
      <c r="AT810" s="55"/>
      <c r="AU810" s="55"/>
      <c r="AV810" s="55"/>
      <c r="AW810" s="55"/>
      <c r="AX810" s="55"/>
      <c r="AY810" s="55"/>
    </row>
    <row r="811" spans="21:51">
      <c r="U811" s="55"/>
      <c r="V811" s="55"/>
      <c r="W811" s="55"/>
      <c r="X811" s="55"/>
      <c r="Y811" s="55"/>
      <c r="Z811" s="55"/>
      <c r="AA811" s="55"/>
      <c r="AB811" s="55"/>
      <c r="AC811" s="55"/>
      <c r="AD811" s="55"/>
      <c r="AE811" s="55"/>
      <c r="AF811" s="55"/>
      <c r="AG811" s="55"/>
      <c r="AH811" s="55"/>
      <c r="AI811" s="55"/>
      <c r="AJ811" s="55"/>
      <c r="AK811" s="55"/>
      <c r="AL811" s="55"/>
      <c r="AM811" s="55"/>
      <c r="AN811" s="55"/>
      <c r="AO811" s="55"/>
      <c r="AP811" s="55"/>
      <c r="AQ811" s="55"/>
      <c r="AR811" s="55"/>
      <c r="AS811" s="55"/>
      <c r="AT811" s="55"/>
      <c r="AU811" s="55"/>
      <c r="AV811" s="55"/>
      <c r="AW811" s="55"/>
      <c r="AX811" s="55"/>
      <c r="AY811" s="55"/>
    </row>
    <row r="812" spans="21:51">
      <c r="U812" s="55"/>
      <c r="V812" s="55"/>
      <c r="W812" s="55"/>
      <c r="X812" s="55"/>
      <c r="Y812" s="55"/>
      <c r="Z812" s="55"/>
      <c r="AA812" s="55"/>
      <c r="AB812" s="55"/>
      <c r="AC812" s="55"/>
      <c r="AD812" s="55"/>
      <c r="AE812" s="55"/>
      <c r="AF812" s="55"/>
      <c r="AG812" s="55"/>
      <c r="AH812" s="55"/>
      <c r="AI812" s="55"/>
      <c r="AJ812" s="55"/>
      <c r="AK812" s="55"/>
      <c r="AL812" s="55"/>
      <c r="AM812" s="55"/>
      <c r="AN812" s="55"/>
      <c r="AO812" s="55"/>
      <c r="AP812" s="55"/>
      <c r="AQ812" s="55"/>
      <c r="AR812" s="55"/>
      <c r="AS812" s="55"/>
      <c r="AT812" s="55"/>
      <c r="AU812" s="55"/>
      <c r="AV812" s="55"/>
      <c r="AW812" s="55"/>
      <c r="AX812" s="55"/>
      <c r="AY812" s="55"/>
    </row>
    <row r="813" spans="21:51">
      <c r="U813" s="55"/>
      <c r="V813" s="55"/>
      <c r="W813" s="55"/>
      <c r="X813" s="55"/>
      <c r="Y813" s="55"/>
      <c r="Z813" s="55"/>
      <c r="AA813" s="55"/>
      <c r="AB813" s="55"/>
      <c r="AC813" s="55"/>
      <c r="AD813" s="55"/>
      <c r="AE813" s="55"/>
      <c r="AF813" s="55"/>
      <c r="AG813" s="55"/>
      <c r="AH813" s="55"/>
      <c r="AI813" s="55"/>
      <c r="AJ813" s="55"/>
      <c r="AK813" s="55"/>
      <c r="AL813" s="55"/>
      <c r="AM813" s="55"/>
      <c r="AN813" s="55"/>
      <c r="AO813" s="55"/>
      <c r="AP813" s="55"/>
      <c r="AQ813" s="55"/>
      <c r="AR813" s="55"/>
      <c r="AS813" s="55"/>
      <c r="AT813" s="55"/>
      <c r="AU813" s="55"/>
      <c r="AV813" s="55"/>
      <c r="AW813" s="55"/>
      <c r="AX813" s="55"/>
      <c r="AY813" s="55"/>
    </row>
    <row r="814" spans="21:51">
      <c r="U814" s="55"/>
      <c r="V814" s="55"/>
      <c r="W814" s="55"/>
      <c r="X814" s="55"/>
      <c r="Y814" s="55"/>
      <c r="Z814" s="55"/>
      <c r="AA814" s="55"/>
      <c r="AB814" s="55"/>
      <c r="AC814" s="55"/>
      <c r="AD814" s="55"/>
      <c r="AE814" s="55"/>
      <c r="AF814" s="55"/>
      <c r="AG814" s="55"/>
      <c r="AH814" s="55"/>
      <c r="AI814" s="55"/>
      <c r="AJ814" s="55"/>
      <c r="AK814" s="55"/>
      <c r="AL814" s="55"/>
      <c r="AM814" s="55"/>
      <c r="AN814" s="55"/>
      <c r="AO814" s="55"/>
      <c r="AP814" s="55"/>
      <c r="AQ814" s="55"/>
      <c r="AR814" s="55"/>
      <c r="AS814" s="55"/>
      <c r="AT814" s="55"/>
      <c r="AU814" s="55"/>
      <c r="AV814" s="55"/>
      <c r="AW814" s="55"/>
      <c r="AX814" s="55"/>
      <c r="AY814" s="55"/>
    </row>
    <row r="815" spans="21:51">
      <c r="U815" s="55"/>
      <c r="V815" s="55"/>
      <c r="W815" s="55"/>
      <c r="X815" s="55"/>
      <c r="Y815" s="55"/>
      <c r="Z815" s="55"/>
      <c r="AA815" s="55"/>
      <c r="AB815" s="55"/>
      <c r="AC815" s="55"/>
      <c r="AD815" s="55"/>
      <c r="AE815" s="55"/>
      <c r="AF815" s="55"/>
      <c r="AG815" s="55"/>
      <c r="AH815" s="55"/>
      <c r="AI815" s="55"/>
      <c r="AJ815" s="55"/>
      <c r="AK815" s="55"/>
      <c r="AL815" s="55"/>
      <c r="AM815" s="55"/>
      <c r="AN815" s="55"/>
      <c r="AO815" s="55"/>
      <c r="AP815" s="55"/>
      <c r="AQ815" s="55"/>
      <c r="AR815" s="55"/>
      <c r="AS815" s="55"/>
      <c r="AT815" s="55"/>
      <c r="AU815" s="55"/>
      <c r="AV815" s="55"/>
      <c r="AW815" s="55"/>
      <c r="AX815" s="55"/>
      <c r="AY815" s="55"/>
    </row>
    <row r="816" spans="21:51">
      <c r="U816" s="55"/>
      <c r="V816" s="55"/>
      <c r="W816" s="55"/>
      <c r="X816" s="55"/>
      <c r="Y816" s="55"/>
      <c r="Z816" s="55"/>
      <c r="AA816" s="55"/>
      <c r="AB816" s="55"/>
      <c r="AC816" s="55"/>
      <c r="AD816" s="55"/>
      <c r="AE816" s="55"/>
      <c r="AF816" s="55"/>
      <c r="AG816" s="55"/>
      <c r="AH816" s="55"/>
      <c r="AI816" s="55"/>
      <c r="AJ816" s="55"/>
      <c r="AK816" s="55"/>
      <c r="AL816" s="55"/>
      <c r="AM816" s="55"/>
      <c r="AN816" s="55"/>
      <c r="AO816" s="55"/>
      <c r="AP816" s="55"/>
      <c r="AQ816" s="55"/>
      <c r="AR816" s="55"/>
      <c r="AS816" s="55"/>
      <c r="AT816" s="55"/>
      <c r="AU816" s="55"/>
      <c r="AV816" s="55"/>
      <c r="AW816" s="55"/>
      <c r="AX816" s="55"/>
      <c r="AY816" s="55"/>
    </row>
    <row r="817" spans="21:51">
      <c r="U817" s="55"/>
      <c r="V817" s="55"/>
      <c r="W817" s="55"/>
      <c r="X817" s="55"/>
      <c r="Y817" s="55"/>
      <c r="Z817" s="55"/>
      <c r="AA817" s="55"/>
      <c r="AB817" s="55"/>
      <c r="AC817" s="55"/>
      <c r="AD817" s="55"/>
      <c r="AE817" s="55"/>
      <c r="AF817" s="55"/>
      <c r="AG817" s="55"/>
      <c r="AH817" s="55"/>
      <c r="AI817" s="55"/>
      <c r="AJ817" s="55"/>
      <c r="AK817" s="55"/>
      <c r="AL817" s="55"/>
      <c r="AM817" s="55"/>
      <c r="AN817" s="55"/>
      <c r="AO817" s="55"/>
      <c r="AP817" s="55"/>
      <c r="AQ817" s="55"/>
      <c r="AR817" s="55"/>
      <c r="AS817" s="55"/>
      <c r="AT817" s="55"/>
      <c r="AU817" s="55"/>
      <c r="AV817" s="55"/>
      <c r="AW817" s="55"/>
      <c r="AX817" s="55"/>
      <c r="AY817" s="55"/>
    </row>
    <row r="818" spans="21:51">
      <c r="U818" s="55"/>
      <c r="V818" s="55"/>
      <c r="W818" s="55"/>
      <c r="X818" s="55"/>
      <c r="Y818" s="55"/>
      <c r="Z818" s="55"/>
      <c r="AA818" s="55"/>
      <c r="AB818" s="55"/>
      <c r="AC818" s="55"/>
      <c r="AD818" s="55"/>
      <c r="AE818" s="55"/>
      <c r="AF818" s="55"/>
      <c r="AG818" s="55"/>
      <c r="AH818" s="55"/>
      <c r="AI818" s="55"/>
      <c r="AJ818" s="55"/>
      <c r="AK818" s="55"/>
      <c r="AL818" s="55"/>
      <c r="AM818" s="55"/>
      <c r="AN818" s="55"/>
      <c r="AO818" s="55"/>
      <c r="AP818" s="55"/>
      <c r="AQ818" s="55"/>
      <c r="AR818" s="55"/>
      <c r="AS818" s="55"/>
      <c r="AT818" s="55"/>
      <c r="AU818" s="55"/>
      <c r="AV818" s="55"/>
      <c r="AW818" s="55"/>
      <c r="AX818" s="55"/>
      <c r="AY818" s="55"/>
    </row>
    <row r="819" spans="21:51">
      <c r="U819" s="55"/>
      <c r="V819" s="55"/>
      <c r="W819" s="55"/>
      <c r="X819" s="55"/>
      <c r="Y819" s="55"/>
      <c r="Z819" s="55"/>
      <c r="AA819" s="55"/>
      <c r="AB819" s="55"/>
      <c r="AC819" s="55"/>
      <c r="AD819" s="55"/>
      <c r="AE819" s="55"/>
      <c r="AF819" s="55"/>
      <c r="AG819" s="55"/>
      <c r="AH819" s="55"/>
      <c r="AI819" s="55"/>
      <c r="AJ819" s="55"/>
      <c r="AK819" s="55"/>
      <c r="AL819" s="55"/>
      <c r="AM819" s="55"/>
      <c r="AN819" s="55"/>
      <c r="AO819" s="55"/>
      <c r="AP819" s="55"/>
      <c r="AQ819" s="55"/>
      <c r="AR819" s="55"/>
      <c r="AS819" s="55"/>
      <c r="AT819" s="55"/>
      <c r="AU819" s="55"/>
      <c r="AV819" s="55"/>
      <c r="AW819" s="55"/>
      <c r="AX819" s="55"/>
      <c r="AY819" s="55"/>
    </row>
    <row r="820" spans="21:51">
      <c r="U820" s="55"/>
      <c r="V820" s="55"/>
      <c r="W820" s="55"/>
      <c r="X820" s="55"/>
      <c r="Y820" s="55"/>
      <c r="Z820" s="55"/>
      <c r="AA820" s="55"/>
      <c r="AB820" s="55"/>
      <c r="AC820" s="55"/>
      <c r="AD820" s="55"/>
      <c r="AE820" s="55"/>
      <c r="AF820" s="55"/>
      <c r="AG820" s="55"/>
      <c r="AH820" s="55"/>
      <c r="AI820" s="55"/>
      <c r="AJ820" s="55"/>
      <c r="AK820" s="55"/>
      <c r="AL820" s="55"/>
      <c r="AM820" s="55"/>
      <c r="AN820" s="55"/>
      <c r="AO820" s="55"/>
      <c r="AP820" s="55"/>
      <c r="AQ820" s="55"/>
      <c r="AR820" s="55"/>
      <c r="AS820" s="55"/>
      <c r="AT820" s="55"/>
      <c r="AU820" s="55"/>
      <c r="AV820" s="55"/>
      <c r="AW820" s="55"/>
      <c r="AX820" s="55"/>
      <c r="AY820" s="55"/>
    </row>
    <row r="821" spans="21:51">
      <c r="U821" s="55"/>
      <c r="V821" s="55"/>
      <c r="W821" s="55"/>
      <c r="X821" s="55"/>
      <c r="Y821" s="55"/>
      <c r="Z821" s="55"/>
      <c r="AA821" s="55"/>
      <c r="AB821" s="55"/>
      <c r="AC821" s="55"/>
      <c r="AD821" s="55"/>
      <c r="AE821" s="55"/>
      <c r="AF821" s="55"/>
      <c r="AG821" s="55"/>
      <c r="AH821" s="55"/>
      <c r="AI821" s="55"/>
      <c r="AJ821" s="55"/>
      <c r="AK821" s="55"/>
      <c r="AL821" s="55"/>
      <c r="AM821" s="55"/>
      <c r="AN821" s="55"/>
      <c r="AO821" s="55"/>
      <c r="AP821" s="55"/>
      <c r="AQ821" s="55"/>
      <c r="AR821" s="55"/>
      <c r="AS821" s="55"/>
      <c r="AT821" s="55"/>
      <c r="AU821" s="55"/>
      <c r="AV821" s="55"/>
      <c r="AW821" s="55"/>
      <c r="AX821" s="55"/>
      <c r="AY821" s="55"/>
    </row>
    <row r="822" spans="21:51">
      <c r="U822" s="55"/>
      <c r="V822" s="55"/>
      <c r="W822" s="55"/>
      <c r="X822" s="55"/>
      <c r="Y822" s="55"/>
      <c r="Z822" s="55"/>
      <c r="AA822" s="55"/>
      <c r="AB822" s="55"/>
      <c r="AC822" s="55"/>
      <c r="AD822" s="55"/>
      <c r="AE822" s="55"/>
      <c r="AF822" s="55"/>
      <c r="AG822" s="55"/>
      <c r="AH822" s="55"/>
      <c r="AI822" s="55"/>
      <c r="AJ822" s="55"/>
      <c r="AK822" s="55"/>
      <c r="AL822" s="55"/>
      <c r="AM822" s="55"/>
      <c r="AN822" s="55"/>
      <c r="AO822" s="55"/>
      <c r="AP822" s="55"/>
      <c r="AQ822" s="55"/>
      <c r="AR822" s="55"/>
      <c r="AS822" s="55"/>
      <c r="AT822" s="55"/>
      <c r="AU822" s="55"/>
      <c r="AV822" s="55"/>
      <c r="AW822" s="55"/>
      <c r="AX822" s="55"/>
      <c r="AY822" s="55"/>
    </row>
    <row r="823" spans="21:51">
      <c r="U823" s="55"/>
      <c r="V823" s="55"/>
      <c r="W823" s="55"/>
      <c r="X823" s="55"/>
      <c r="Y823" s="55"/>
      <c r="Z823" s="55"/>
      <c r="AA823" s="55"/>
      <c r="AB823" s="55"/>
      <c r="AC823" s="55"/>
      <c r="AD823" s="55"/>
      <c r="AE823" s="55"/>
      <c r="AF823" s="55"/>
      <c r="AG823" s="55"/>
      <c r="AH823" s="55"/>
      <c r="AI823" s="55"/>
      <c r="AJ823" s="55"/>
      <c r="AK823" s="55"/>
      <c r="AL823" s="55"/>
      <c r="AM823" s="55"/>
      <c r="AN823" s="55"/>
      <c r="AO823" s="55"/>
      <c r="AP823" s="55"/>
      <c r="AQ823" s="55"/>
      <c r="AR823" s="55"/>
      <c r="AS823" s="55"/>
      <c r="AT823" s="55"/>
      <c r="AU823" s="55"/>
      <c r="AV823" s="55"/>
      <c r="AW823" s="55"/>
      <c r="AX823" s="55"/>
      <c r="AY823" s="55"/>
    </row>
    <row r="824" spans="21:51">
      <c r="U824" s="55"/>
      <c r="V824" s="55"/>
      <c r="W824" s="55"/>
      <c r="X824" s="55"/>
      <c r="Y824" s="55"/>
      <c r="Z824" s="55"/>
      <c r="AA824" s="55"/>
      <c r="AB824" s="55"/>
      <c r="AC824" s="55"/>
      <c r="AD824" s="55"/>
      <c r="AE824" s="55"/>
      <c r="AF824" s="55"/>
      <c r="AG824" s="55"/>
      <c r="AH824" s="55"/>
      <c r="AI824" s="55"/>
      <c r="AJ824" s="55"/>
      <c r="AK824" s="55"/>
      <c r="AL824" s="55"/>
      <c r="AM824" s="55"/>
      <c r="AN824" s="55"/>
      <c r="AO824" s="55"/>
      <c r="AP824" s="55"/>
      <c r="AQ824" s="55"/>
      <c r="AR824" s="55"/>
      <c r="AS824" s="55"/>
      <c r="AT824" s="55"/>
      <c r="AU824" s="55"/>
      <c r="AV824" s="55"/>
      <c r="AW824" s="55"/>
      <c r="AX824" s="55"/>
      <c r="AY824" s="55"/>
    </row>
    <row r="825" spans="21:51">
      <c r="U825" s="55"/>
      <c r="V825" s="55"/>
      <c r="W825" s="55"/>
      <c r="X825" s="55"/>
      <c r="Y825" s="55"/>
      <c r="Z825" s="55"/>
      <c r="AA825" s="55"/>
      <c r="AB825" s="55"/>
      <c r="AC825" s="55"/>
      <c r="AD825" s="55"/>
      <c r="AE825" s="55"/>
      <c r="AF825" s="55"/>
      <c r="AG825" s="55"/>
      <c r="AH825" s="55"/>
      <c r="AI825" s="55"/>
      <c r="AJ825" s="55"/>
      <c r="AK825" s="55"/>
      <c r="AL825" s="55"/>
      <c r="AM825" s="55"/>
      <c r="AN825" s="55"/>
      <c r="AO825" s="55"/>
      <c r="AP825" s="55"/>
      <c r="AQ825" s="55"/>
      <c r="AR825" s="55"/>
      <c r="AS825" s="55"/>
      <c r="AT825" s="55"/>
      <c r="AU825" s="55"/>
      <c r="AV825" s="55"/>
      <c r="AW825" s="55"/>
      <c r="AX825" s="55"/>
      <c r="AY825" s="55"/>
    </row>
    <row r="826" spans="21:51">
      <c r="U826" s="55"/>
      <c r="V826" s="55"/>
      <c r="W826" s="55"/>
      <c r="X826" s="55"/>
      <c r="Y826" s="55"/>
      <c r="Z826" s="55"/>
      <c r="AA826" s="55"/>
      <c r="AB826" s="55"/>
      <c r="AC826" s="55"/>
      <c r="AD826" s="55"/>
      <c r="AE826" s="55"/>
      <c r="AF826" s="55"/>
      <c r="AG826" s="55"/>
      <c r="AH826" s="55"/>
      <c r="AI826" s="55"/>
      <c r="AJ826" s="55"/>
      <c r="AK826" s="55"/>
      <c r="AL826" s="55"/>
      <c r="AM826" s="55"/>
      <c r="AN826" s="55"/>
      <c r="AO826" s="55"/>
      <c r="AP826" s="55"/>
      <c r="AQ826" s="55"/>
      <c r="AR826" s="55"/>
      <c r="AS826" s="55"/>
      <c r="AT826" s="55"/>
      <c r="AU826" s="55"/>
      <c r="AV826" s="55"/>
      <c r="AW826" s="55"/>
      <c r="AX826" s="55"/>
      <c r="AY826" s="55"/>
    </row>
    <row r="827" spans="21:51">
      <c r="U827" s="55"/>
      <c r="V827" s="55"/>
      <c r="W827" s="55"/>
      <c r="X827" s="55"/>
      <c r="Y827" s="55"/>
      <c r="Z827" s="55"/>
      <c r="AA827" s="55"/>
      <c r="AB827" s="55"/>
      <c r="AC827" s="55"/>
      <c r="AD827" s="55"/>
      <c r="AE827" s="55"/>
      <c r="AF827" s="55"/>
      <c r="AG827" s="55"/>
      <c r="AH827" s="55"/>
      <c r="AI827" s="55"/>
      <c r="AJ827" s="55"/>
      <c r="AK827" s="55"/>
      <c r="AL827" s="55"/>
      <c r="AM827" s="55"/>
      <c r="AN827" s="55"/>
      <c r="AO827" s="55"/>
      <c r="AP827" s="55"/>
      <c r="AQ827" s="55"/>
      <c r="AR827" s="55"/>
      <c r="AS827" s="55"/>
      <c r="AT827" s="55"/>
      <c r="AU827" s="55"/>
      <c r="AV827" s="55"/>
      <c r="AW827" s="55"/>
      <c r="AX827" s="55"/>
      <c r="AY827" s="55"/>
    </row>
    <row r="828" spans="21:51">
      <c r="U828" s="55"/>
      <c r="V828" s="55"/>
      <c r="W828" s="55"/>
      <c r="X828" s="55"/>
      <c r="Y828" s="55"/>
      <c r="Z828" s="55"/>
      <c r="AA828" s="55"/>
      <c r="AB828" s="55"/>
      <c r="AC828" s="55"/>
      <c r="AD828" s="55"/>
      <c r="AE828" s="55"/>
      <c r="AF828" s="55"/>
      <c r="AG828" s="55"/>
      <c r="AH828" s="55"/>
      <c r="AI828" s="55"/>
      <c r="AJ828" s="55"/>
      <c r="AK828" s="55"/>
      <c r="AL828" s="55"/>
      <c r="AM828" s="55"/>
      <c r="AN828" s="55"/>
      <c r="AO828" s="55"/>
      <c r="AP828" s="55"/>
      <c r="AQ828" s="55"/>
      <c r="AR828" s="55"/>
      <c r="AS828" s="55"/>
      <c r="AT828" s="55"/>
      <c r="AU828" s="55"/>
      <c r="AV828" s="55"/>
      <c r="AW828" s="55"/>
      <c r="AX828" s="55"/>
      <c r="AY828" s="55"/>
    </row>
    <row r="829" spans="21:51">
      <c r="U829" s="55"/>
      <c r="V829" s="55"/>
      <c r="W829" s="55"/>
      <c r="X829" s="55"/>
      <c r="Y829" s="55"/>
      <c r="Z829" s="55"/>
      <c r="AA829" s="55"/>
      <c r="AB829" s="55"/>
      <c r="AC829" s="55"/>
      <c r="AD829" s="55"/>
      <c r="AE829" s="55"/>
      <c r="AF829" s="55"/>
      <c r="AG829" s="55"/>
      <c r="AH829" s="55"/>
      <c r="AI829" s="55"/>
      <c r="AJ829" s="55"/>
      <c r="AK829" s="55"/>
      <c r="AL829" s="55"/>
      <c r="AM829" s="55"/>
      <c r="AN829" s="55"/>
      <c r="AO829" s="55"/>
      <c r="AP829" s="55"/>
      <c r="AQ829" s="55"/>
      <c r="AR829" s="55"/>
      <c r="AS829" s="55"/>
      <c r="AT829" s="55"/>
      <c r="AU829" s="55"/>
      <c r="AV829" s="55"/>
      <c r="AW829" s="55"/>
      <c r="AX829" s="55"/>
      <c r="AY829" s="55"/>
    </row>
    <row r="830" spans="21:51">
      <c r="U830" s="55"/>
      <c r="V830" s="55"/>
      <c r="W830" s="55"/>
      <c r="X830" s="55"/>
      <c r="Y830" s="55"/>
      <c r="Z830" s="55"/>
      <c r="AA830" s="55"/>
      <c r="AB830" s="55"/>
      <c r="AC830" s="55"/>
      <c r="AD830" s="55"/>
      <c r="AE830" s="55"/>
      <c r="AF830" s="55"/>
      <c r="AG830" s="55"/>
      <c r="AH830" s="55"/>
      <c r="AI830" s="55"/>
      <c r="AJ830" s="55"/>
      <c r="AK830" s="55"/>
      <c r="AL830" s="55"/>
      <c r="AM830" s="55"/>
      <c r="AN830" s="55"/>
      <c r="AO830" s="55"/>
      <c r="AP830" s="55"/>
      <c r="AQ830" s="55"/>
      <c r="AR830" s="55"/>
      <c r="AS830" s="55"/>
      <c r="AT830" s="55"/>
      <c r="AU830" s="55"/>
      <c r="AV830" s="55"/>
      <c r="AW830" s="55"/>
      <c r="AX830" s="55"/>
      <c r="AY830" s="55"/>
    </row>
    <row r="831" spans="21:51">
      <c r="U831" s="55"/>
      <c r="V831" s="55"/>
      <c r="W831" s="55"/>
      <c r="X831" s="55"/>
      <c r="Y831" s="55"/>
      <c r="Z831" s="55"/>
      <c r="AA831" s="55"/>
      <c r="AB831" s="55"/>
      <c r="AC831" s="55"/>
      <c r="AD831" s="55"/>
      <c r="AE831" s="55"/>
      <c r="AF831" s="55"/>
      <c r="AG831" s="55"/>
      <c r="AH831" s="55"/>
      <c r="AI831" s="55"/>
      <c r="AJ831" s="55"/>
      <c r="AK831" s="55"/>
      <c r="AL831" s="55"/>
      <c r="AM831" s="55"/>
      <c r="AN831" s="55"/>
      <c r="AO831" s="55"/>
      <c r="AP831" s="55"/>
      <c r="AQ831" s="55"/>
      <c r="AR831" s="55"/>
      <c r="AS831" s="55"/>
      <c r="AT831" s="55"/>
      <c r="AU831" s="55"/>
      <c r="AV831" s="55"/>
      <c r="AW831" s="55"/>
      <c r="AX831" s="55"/>
      <c r="AY831" s="55"/>
    </row>
    <row r="832" spans="21:51">
      <c r="U832" s="55"/>
      <c r="V832" s="55"/>
      <c r="W832" s="55"/>
      <c r="X832" s="55"/>
      <c r="Y832" s="55"/>
      <c r="Z832" s="55"/>
      <c r="AA832" s="55"/>
      <c r="AB832" s="55"/>
      <c r="AC832" s="55"/>
      <c r="AD832" s="55"/>
      <c r="AE832" s="55"/>
      <c r="AF832" s="55"/>
      <c r="AG832" s="55"/>
      <c r="AH832" s="55"/>
      <c r="AI832" s="55"/>
      <c r="AJ832" s="55"/>
      <c r="AK832" s="55"/>
      <c r="AL832" s="55"/>
      <c r="AM832" s="55"/>
      <c r="AN832" s="55"/>
      <c r="AO832" s="55"/>
      <c r="AP832" s="55"/>
      <c r="AQ832" s="55"/>
      <c r="AR832" s="55"/>
      <c r="AS832" s="55"/>
      <c r="AT832" s="55"/>
      <c r="AU832" s="55"/>
      <c r="AV832" s="55"/>
      <c r="AW832" s="55"/>
      <c r="AX832" s="55"/>
      <c r="AY832" s="55"/>
    </row>
    <row r="833" spans="21:51">
      <c r="U833" s="55"/>
      <c r="V833" s="55"/>
      <c r="W833" s="55"/>
      <c r="X833" s="55"/>
      <c r="Y833" s="55"/>
      <c r="Z833" s="55"/>
      <c r="AA833" s="55"/>
      <c r="AB833" s="55"/>
      <c r="AC833" s="55"/>
      <c r="AD833" s="55"/>
      <c r="AE833" s="55"/>
      <c r="AF833" s="55"/>
      <c r="AG833" s="55"/>
      <c r="AH833" s="55"/>
      <c r="AI833" s="55"/>
      <c r="AJ833" s="55"/>
      <c r="AK833" s="55"/>
      <c r="AL833" s="55"/>
      <c r="AM833" s="55"/>
      <c r="AN833" s="55"/>
      <c r="AO833" s="55"/>
      <c r="AP833" s="55"/>
      <c r="AQ833" s="55"/>
      <c r="AR833" s="55"/>
      <c r="AS833" s="55"/>
      <c r="AT833" s="55"/>
      <c r="AU833" s="55"/>
      <c r="AV833" s="55"/>
      <c r="AW833" s="55"/>
      <c r="AX833" s="55"/>
      <c r="AY833" s="55"/>
    </row>
    <row r="834" spans="21:51">
      <c r="U834" s="55"/>
      <c r="V834" s="55"/>
      <c r="W834" s="55"/>
      <c r="X834" s="55"/>
      <c r="Y834" s="55"/>
      <c r="Z834" s="55"/>
      <c r="AA834" s="55"/>
      <c r="AB834" s="55"/>
      <c r="AC834" s="55"/>
      <c r="AD834" s="55"/>
      <c r="AE834" s="55"/>
      <c r="AF834" s="55"/>
      <c r="AG834" s="55"/>
      <c r="AH834" s="55"/>
      <c r="AI834" s="55"/>
      <c r="AJ834" s="55"/>
      <c r="AK834" s="55"/>
      <c r="AL834" s="55"/>
      <c r="AM834" s="55"/>
      <c r="AN834" s="55"/>
      <c r="AO834" s="55"/>
      <c r="AP834" s="55"/>
      <c r="AQ834" s="55"/>
      <c r="AR834" s="55"/>
      <c r="AS834" s="55"/>
      <c r="AT834" s="55"/>
      <c r="AU834" s="55"/>
      <c r="AV834" s="55"/>
      <c r="AW834" s="55"/>
      <c r="AX834" s="55"/>
      <c r="AY834" s="55"/>
    </row>
    <row r="835" spans="21:51">
      <c r="U835" s="55"/>
      <c r="V835" s="55"/>
      <c r="W835" s="55"/>
      <c r="X835" s="55"/>
      <c r="Y835" s="55"/>
      <c r="Z835" s="55"/>
      <c r="AA835" s="55"/>
      <c r="AB835" s="55"/>
      <c r="AC835" s="55"/>
      <c r="AD835" s="55"/>
      <c r="AE835" s="55"/>
      <c r="AF835" s="55"/>
      <c r="AG835" s="55"/>
      <c r="AH835" s="55"/>
      <c r="AI835" s="55"/>
      <c r="AJ835" s="55"/>
      <c r="AK835" s="55"/>
      <c r="AL835" s="55"/>
      <c r="AM835" s="55"/>
      <c r="AN835" s="55"/>
      <c r="AO835" s="55"/>
      <c r="AP835" s="55"/>
      <c r="AQ835" s="55"/>
      <c r="AR835" s="55"/>
      <c r="AS835" s="55"/>
      <c r="AT835" s="55"/>
      <c r="AU835" s="55"/>
      <c r="AV835" s="55"/>
      <c r="AW835" s="55"/>
      <c r="AX835" s="55"/>
      <c r="AY835" s="55"/>
    </row>
    <row r="836" spans="21:51">
      <c r="U836" s="55"/>
      <c r="V836" s="55"/>
      <c r="W836" s="55"/>
      <c r="X836" s="55"/>
      <c r="Y836" s="55"/>
      <c r="Z836" s="55"/>
      <c r="AA836" s="55"/>
      <c r="AB836" s="55"/>
      <c r="AC836" s="55"/>
      <c r="AD836" s="55"/>
      <c r="AE836" s="55"/>
      <c r="AF836" s="55"/>
      <c r="AG836" s="55"/>
      <c r="AH836" s="55"/>
      <c r="AI836" s="55"/>
      <c r="AJ836" s="55"/>
      <c r="AK836" s="55"/>
      <c r="AL836" s="55"/>
      <c r="AM836" s="55"/>
      <c r="AN836" s="55"/>
      <c r="AO836" s="55"/>
      <c r="AP836" s="55"/>
      <c r="AQ836" s="55"/>
      <c r="AR836" s="55"/>
      <c r="AS836" s="55"/>
      <c r="AT836" s="55"/>
      <c r="AU836" s="55"/>
      <c r="AV836" s="55"/>
      <c r="AW836" s="55"/>
      <c r="AX836" s="55"/>
      <c r="AY836" s="55"/>
    </row>
    <row r="837" spans="21:51">
      <c r="U837" s="55"/>
      <c r="V837" s="55"/>
      <c r="W837" s="55"/>
      <c r="X837" s="55"/>
      <c r="Y837" s="55"/>
      <c r="Z837" s="55"/>
      <c r="AA837" s="55"/>
      <c r="AB837" s="55"/>
      <c r="AC837" s="55"/>
      <c r="AD837" s="55"/>
      <c r="AE837" s="55"/>
      <c r="AF837" s="55"/>
      <c r="AG837" s="55"/>
      <c r="AH837" s="55"/>
      <c r="AI837" s="55"/>
      <c r="AJ837" s="55"/>
      <c r="AK837" s="55"/>
      <c r="AL837" s="55"/>
      <c r="AM837" s="55"/>
      <c r="AN837" s="55"/>
      <c r="AO837" s="55"/>
      <c r="AP837" s="55"/>
      <c r="AQ837" s="55"/>
      <c r="AR837" s="55"/>
      <c r="AS837" s="55"/>
      <c r="AT837" s="55"/>
      <c r="AU837" s="55"/>
      <c r="AV837" s="55"/>
      <c r="AW837" s="55"/>
      <c r="AX837" s="55"/>
      <c r="AY837" s="55"/>
    </row>
    <row r="838" spans="21:51">
      <c r="U838" s="55"/>
      <c r="V838" s="55"/>
      <c r="W838" s="55"/>
      <c r="X838" s="55"/>
      <c r="Y838" s="55"/>
      <c r="Z838" s="55"/>
      <c r="AA838" s="55"/>
      <c r="AB838" s="55"/>
      <c r="AC838" s="55"/>
      <c r="AD838" s="55"/>
      <c r="AE838" s="55"/>
      <c r="AF838" s="55"/>
      <c r="AG838" s="55"/>
      <c r="AH838" s="55"/>
      <c r="AI838" s="55"/>
      <c r="AJ838" s="55"/>
      <c r="AK838" s="55"/>
      <c r="AL838" s="55"/>
      <c r="AM838" s="55"/>
      <c r="AN838" s="55"/>
      <c r="AO838" s="55"/>
      <c r="AP838" s="55"/>
      <c r="AQ838" s="55"/>
      <c r="AR838" s="55"/>
      <c r="AS838" s="55"/>
      <c r="AT838" s="55"/>
      <c r="AU838" s="55"/>
      <c r="AV838" s="55"/>
      <c r="AW838" s="55"/>
      <c r="AX838" s="55"/>
      <c r="AY838" s="55"/>
    </row>
    <row r="839" spans="21:51">
      <c r="U839" s="55"/>
      <c r="V839" s="55"/>
      <c r="W839" s="55"/>
      <c r="X839" s="55"/>
      <c r="Y839" s="55"/>
      <c r="Z839" s="55"/>
      <c r="AA839" s="55"/>
      <c r="AB839" s="55"/>
      <c r="AC839" s="55"/>
      <c r="AD839" s="55"/>
      <c r="AE839" s="55"/>
      <c r="AF839" s="55"/>
      <c r="AG839" s="55"/>
      <c r="AH839" s="55"/>
      <c r="AI839" s="55"/>
      <c r="AJ839" s="55"/>
      <c r="AK839" s="55"/>
      <c r="AL839" s="55"/>
      <c r="AM839" s="55"/>
      <c r="AN839" s="55"/>
      <c r="AO839" s="55"/>
      <c r="AP839" s="55"/>
      <c r="AQ839" s="55"/>
      <c r="AR839" s="55"/>
      <c r="AS839" s="55"/>
      <c r="AT839" s="55"/>
      <c r="AU839" s="55"/>
      <c r="AV839" s="55"/>
      <c r="AW839" s="55"/>
      <c r="AX839" s="55"/>
      <c r="AY839" s="55"/>
    </row>
    <row r="840" spans="21:51">
      <c r="U840" s="55"/>
      <c r="V840" s="55"/>
      <c r="W840" s="55"/>
      <c r="X840" s="55"/>
      <c r="Y840" s="55"/>
      <c r="Z840" s="55"/>
      <c r="AA840" s="55"/>
      <c r="AB840" s="55"/>
      <c r="AC840" s="55"/>
      <c r="AD840" s="55"/>
      <c r="AE840" s="55"/>
      <c r="AF840" s="55"/>
      <c r="AG840" s="55"/>
      <c r="AH840" s="55"/>
      <c r="AI840" s="55"/>
      <c r="AJ840" s="55"/>
      <c r="AK840" s="55"/>
      <c r="AL840" s="55"/>
      <c r="AM840" s="55"/>
      <c r="AN840" s="55"/>
      <c r="AO840" s="55"/>
      <c r="AP840" s="55"/>
      <c r="AQ840" s="55"/>
      <c r="AR840" s="55"/>
      <c r="AS840" s="55"/>
      <c r="AT840" s="55"/>
      <c r="AU840" s="55"/>
      <c r="AV840" s="55"/>
      <c r="AW840" s="55"/>
      <c r="AX840" s="55"/>
      <c r="AY840" s="55"/>
    </row>
    <row r="841" spans="21:51">
      <c r="U841" s="55"/>
      <c r="V841" s="55"/>
      <c r="W841" s="55"/>
      <c r="X841" s="55"/>
      <c r="Y841" s="55"/>
      <c r="Z841" s="55"/>
      <c r="AA841" s="55"/>
      <c r="AB841" s="55"/>
      <c r="AC841" s="55"/>
      <c r="AD841" s="55"/>
      <c r="AE841" s="55"/>
      <c r="AF841" s="55"/>
      <c r="AG841" s="55"/>
      <c r="AH841" s="55"/>
      <c r="AI841" s="55"/>
      <c r="AJ841" s="55"/>
      <c r="AK841" s="55"/>
      <c r="AL841" s="55"/>
      <c r="AM841" s="55"/>
      <c r="AN841" s="55"/>
      <c r="AO841" s="55"/>
      <c r="AP841" s="55"/>
      <c r="AQ841" s="55"/>
      <c r="AR841" s="55"/>
      <c r="AS841" s="55"/>
      <c r="AT841" s="55"/>
      <c r="AU841" s="55"/>
      <c r="AV841" s="55"/>
      <c r="AW841" s="55"/>
      <c r="AX841" s="55"/>
      <c r="AY841" s="55"/>
    </row>
    <row r="842" spans="21:51">
      <c r="U842" s="55"/>
      <c r="V842" s="55"/>
      <c r="W842" s="55"/>
      <c r="X842" s="55"/>
      <c r="Y842" s="55"/>
      <c r="Z842" s="55"/>
      <c r="AA842" s="55"/>
      <c r="AB842" s="55"/>
      <c r="AC842" s="55"/>
      <c r="AD842" s="55"/>
      <c r="AE842" s="55"/>
      <c r="AF842" s="55"/>
      <c r="AG842" s="55"/>
      <c r="AH842" s="55"/>
      <c r="AI842" s="55"/>
      <c r="AJ842" s="55"/>
      <c r="AK842" s="55"/>
      <c r="AL842" s="55"/>
      <c r="AM842" s="55"/>
      <c r="AN842" s="55"/>
      <c r="AO842" s="55"/>
      <c r="AP842" s="55"/>
      <c r="AQ842" s="55"/>
      <c r="AR842" s="55"/>
      <c r="AS842" s="55"/>
      <c r="AT842" s="55"/>
      <c r="AU842" s="55"/>
      <c r="AV842" s="55"/>
      <c r="AW842" s="55"/>
      <c r="AX842" s="55"/>
      <c r="AY842" s="55"/>
    </row>
    <row r="843" spans="21:51">
      <c r="U843" s="55"/>
      <c r="V843" s="55"/>
      <c r="W843" s="55"/>
      <c r="X843" s="55"/>
      <c r="Y843" s="55"/>
      <c r="Z843" s="55"/>
      <c r="AA843" s="55"/>
      <c r="AB843" s="55"/>
      <c r="AC843" s="55"/>
      <c r="AD843" s="55"/>
      <c r="AE843" s="55"/>
      <c r="AF843" s="55"/>
      <c r="AG843" s="55"/>
      <c r="AH843" s="55"/>
      <c r="AI843" s="55"/>
      <c r="AJ843" s="55"/>
      <c r="AK843" s="55"/>
      <c r="AL843" s="55"/>
      <c r="AM843" s="55"/>
      <c r="AN843" s="55"/>
      <c r="AO843" s="55"/>
      <c r="AP843" s="55"/>
      <c r="AQ843" s="55"/>
      <c r="AR843" s="55"/>
      <c r="AS843" s="55"/>
      <c r="AT843" s="55"/>
      <c r="AU843" s="55"/>
      <c r="AV843" s="55"/>
      <c r="AW843" s="55"/>
      <c r="AX843" s="55"/>
      <c r="AY843" s="55"/>
    </row>
    <row r="844" spans="21:51">
      <c r="U844" s="55"/>
      <c r="V844" s="55"/>
      <c r="W844" s="55"/>
      <c r="X844" s="55"/>
      <c r="Y844" s="55"/>
      <c r="Z844" s="55"/>
      <c r="AA844" s="55"/>
      <c r="AB844" s="55"/>
      <c r="AC844" s="55"/>
      <c r="AD844" s="55"/>
      <c r="AE844" s="55"/>
      <c r="AF844" s="55"/>
      <c r="AG844" s="55"/>
      <c r="AH844" s="55"/>
      <c r="AI844" s="55"/>
      <c r="AJ844" s="55"/>
      <c r="AK844" s="55"/>
      <c r="AL844" s="55"/>
      <c r="AM844" s="55"/>
      <c r="AN844" s="55"/>
      <c r="AO844" s="55"/>
      <c r="AP844" s="55"/>
      <c r="AQ844" s="55"/>
      <c r="AR844" s="55"/>
      <c r="AS844" s="55"/>
      <c r="AT844" s="55"/>
      <c r="AU844" s="55"/>
      <c r="AV844" s="55"/>
      <c r="AW844" s="55"/>
      <c r="AX844" s="55"/>
      <c r="AY844" s="55"/>
    </row>
    <row r="845" spans="21:51">
      <c r="U845" s="55"/>
      <c r="V845" s="55"/>
      <c r="W845" s="55"/>
      <c r="X845" s="55"/>
      <c r="Y845" s="55"/>
      <c r="Z845" s="55"/>
      <c r="AA845" s="55"/>
      <c r="AB845" s="55"/>
      <c r="AC845" s="55"/>
      <c r="AD845" s="55"/>
      <c r="AE845" s="55"/>
      <c r="AF845" s="55"/>
      <c r="AG845" s="55"/>
      <c r="AH845" s="55"/>
      <c r="AI845" s="55"/>
      <c r="AJ845" s="55"/>
      <c r="AK845" s="55"/>
      <c r="AL845" s="55"/>
      <c r="AM845" s="55"/>
      <c r="AN845" s="55"/>
      <c r="AO845" s="55"/>
      <c r="AP845" s="55"/>
      <c r="AQ845" s="55"/>
      <c r="AR845" s="55"/>
      <c r="AS845" s="55"/>
      <c r="AT845" s="55"/>
      <c r="AU845" s="55"/>
      <c r="AV845" s="55"/>
      <c r="AW845" s="55"/>
      <c r="AX845" s="55"/>
      <c r="AY845" s="55"/>
    </row>
    <row r="846" spans="21:51">
      <c r="U846" s="55"/>
      <c r="V846" s="55"/>
      <c r="W846" s="55"/>
      <c r="X846" s="55"/>
      <c r="Y846" s="55"/>
      <c r="Z846" s="55"/>
      <c r="AA846" s="55"/>
      <c r="AB846" s="55"/>
      <c r="AC846" s="55"/>
      <c r="AD846" s="55"/>
      <c r="AE846" s="55"/>
      <c r="AF846" s="55"/>
      <c r="AG846" s="55"/>
      <c r="AH846" s="55"/>
      <c r="AI846" s="55"/>
      <c r="AJ846" s="55"/>
      <c r="AK846" s="55"/>
      <c r="AL846" s="55"/>
      <c r="AM846" s="55"/>
      <c r="AN846" s="55"/>
      <c r="AO846" s="55"/>
      <c r="AP846" s="55"/>
      <c r="AQ846" s="55"/>
      <c r="AR846" s="55"/>
      <c r="AS846" s="55"/>
      <c r="AT846" s="55"/>
      <c r="AU846" s="55"/>
      <c r="AV846" s="55"/>
      <c r="AW846" s="55"/>
      <c r="AX846" s="55"/>
      <c r="AY846" s="55"/>
    </row>
    <row r="847" spans="21:51">
      <c r="U847" s="55"/>
      <c r="V847" s="55"/>
      <c r="W847" s="55"/>
      <c r="X847" s="55"/>
      <c r="Y847" s="55"/>
      <c r="Z847" s="55"/>
      <c r="AA847" s="55"/>
      <c r="AB847" s="55"/>
      <c r="AC847" s="55"/>
      <c r="AD847" s="55"/>
      <c r="AE847" s="55"/>
      <c r="AF847" s="55"/>
      <c r="AG847" s="55"/>
      <c r="AH847" s="55"/>
      <c r="AI847" s="55"/>
      <c r="AJ847" s="55"/>
      <c r="AK847" s="55"/>
      <c r="AL847" s="55"/>
      <c r="AM847" s="55"/>
      <c r="AN847" s="55"/>
      <c r="AO847" s="55"/>
      <c r="AP847" s="55"/>
      <c r="AQ847" s="55"/>
      <c r="AR847" s="55"/>
      <c r="AS847" s="55"/>
      <c r="AT847" s="55"/>
      <c r="AU847" s="55"/>
      <c r="AV847" s="55"/>
      <c r="AW847" s="55"/>
      <c r="AX847" s="55"/>
      <c r="AY847" s="55"/>
    </row>
    <row r="848" spans="21:51">
      <c r="U848" s="55"/>
      <c r="V848" s="55"/>
      <c r="W848" s="55"/>
      <c r="X848" s="55"/>
      <c r="Y848" s="55"/>
      <c r="Z848" s="55"/>
      <c r="AA848" s="55"/>
      <c r="AB848" s="55"/>
      <c r="AC848" s="55"/>
      <c r="AD848" s="55"/>
      <c r="AE848" s="55"/>
      <c r="AF848" s="55"/>
      <c r="AG848" s="55"/>
      <c r="AH848" s="55"/>
      <c r="AI848" s="55"/>
      <c r="AJ848" s="55"/>
      <c r="AK848" s="55"/>
      <c r="AL848" s="55"/>
      <c r="AM848" s="55"/>
      <c r="AN848" s="55"/>
      <c r="AO848" s="55"/>
      <c r="AP848" s="55"/>
      <c r="AQ848" s="55"/>
      <c r="AR848" s="55"/>
      <c r="AS848" s="55"/>
      <c r="AT848" s="55"/>
      <c r="AU848" s="55"/>
      <c r="AV848" s="55"/>
      <c r="AW848" s="55"/>
      <c r="AX848" s="55"/>
      <c r="AY848" s="55"/>
    </row>
    <row r="849" spans="21:51">
      <c r="U849" s="55"/>
      <c r="V849" s="55"/>
      <c r="W849" s="55"/>
      <c r="X849" s="55"/>
      <c r="Y849" s="55"/>
      <c r="Z849" s="55"/>
      <c r="AA849" s="55"/>
      <c r="AB849" s="55"/>
      <c r="AC849" s="55"/>
      <c r="AD849" s="55"/>
      <c r="AE849" s="55"/>
      <c r="AF849" s="55"/>
      <c r="AG849" s="55"/>
      <c r="AH849" s="55"/>
      <c r="AI849" s="55"/>
      <c r="AJ849" s="55"/>
      <c r="AK849" s="55"/>
      <c r="AL849" s="55"/>
      <c r="AM849" s="55"/>
      <c r="AN849" s="55"/>
      <c r="AO849" s="55"/>
      <c r="AP849" s="55"/>
      <c r="AQ849" s="55"/>
      <c r="AR849" s="55"/>
      <c r="AS849" s="55"/>
      <c r="AT849" s="55"/>
      <c r="AU849" s="55"/>
      <c r="AV849" s="55"/>
      <c r="AW849" s="55"/>
      <c r="AX849" s="55"/>
      <c r="AY849" s="55"/>
    </row>
    <row r="850" spans="21:51">
      <c r="U850" s="55"/>
      <c r="V850" s="55"/>
      <c r="W850" s="55"/>
      <c r="X850" s="55"/>
      <c r="Y850" s="55"/>
      <c r="Z850" s="55"/>
      <c r="AA850" s="55"/>
      <c r="AB850" s="55"/>
      <c r="AC850" s="55"/>
      <c r="AD850" s="55"/>
      <c r="AE850" s="55"/>
      <c r="AF850" s="55"/>
      <c r="AG850" s="55"/>
      <c r="AH850" s="55"/>
      <c r="AI850" s="55"/>
      <c r="AJ850" s="55"/>
      <c r="AK850" s="55"/>
      <c r="AL850" s="55"/>
      <c r="AM850" s="55"/>
      <c r="AN850" s="55"/>
      <c r="AO850" s="55"/>
      <c r="AP850" s="55"/>
      <c r="AQ850" s="55"/>
      <c r="AR850" s="55"/>
      <c r="AS850" s="55"/>
      <c r="AT850" s="55"/>
      <c r="AU850" s="55"/>
      <c r="AV850" s="55"/>
      <c r="AW850" s="55"/>
      <c r="AX850" s="55"/>
      <c r="AY850" s="55"/>
    </row>
    <row r="851" spans="21:51">
      <c r="U851" s="55"/>
      <c r="V851" s="55"/>
      <c r="W851" s="55"/>
      <c r="X851" s="55"/>
      <c r="Y851" s="55"/>
      <c r="Z851" s="55"/>
      <c r="AA851" s="55"/>
      <c r="AB851" s="55"/>
      <c r="AC851" s="55"/>
      <c r="AD851" s="55"/>
      <c r="AE851" s="55"/>
      <c r="AF851" s="55"/>
      <c r="AG851" s="55"/>
      <c r="AH851" s="55"/>
      <c r="AI851" s="55"/>
      <c r="AJ851" s="55"/>
      <c r="AK851" s="55"/>
      <c r="AL851" s="55"/>
      <c r="AM851" s="55"/>
      <c r="AN851" s="55"/>
      <c r="AO851" s="55"/>
      <c r="AP851" s="55"/>
      <c r="AQ851" s="55"/>
      <c r="AR851" s="55"/>
      <c r="AS851" s="55"/>
      <c r="AT851" s="55"/>
      <c r="AU851" s="55"/>
      <c r="AV851" s="55"/>
      <c r="AW851" s="55"/>
      <c r="AX851" s="55"/>
      <c r="AY851" s="55"/>
    </row>
    <row r="852" spans="21:51">
      <c r="U852" s="55"/>
      <c r="V852" s="55"/>
      <c r="W852" s="55"/>
      <c r="X852" s="55"/>
      <c r="Y852" s="55"/>
      <c r="Z852" s="55"/>
      <c r="AA852" s="55"/>
      <c r="AB852" s="55"/>
      <c r="AC852" s="55"/>
      <c r="AD852" s="55"/>
      <c r="AE852" s="55"/>
      <c r="AF852" s="55"/>
      <c r="AG852" s="55"/>
      <c r="AH852" s="55"/>
      <c r="AI852" s="55"/>
      <c r="AJ852" s="55"/>
      <c r="AK852" s="55"/>
      <c r="AL852" s="55"/>
      <c r="AM852" s="55"/>
      <c r="AN852" s="55"/>
      <c r="AO852" s="55"/>
      <c r="AP852" s="55"/>
      <c r="AQ852" s="55"/>
      <c r="AR852" s="55"/>
      <c r="AS852" s="55"/>
      <c r="AT852" s="55"/>
      <c r="AU852" s="55"/>
      <c r="AV852" s="55"/>
      <c r="AW852" s="55"/>
      <c r="AX852" s="55"/>
      <c r="AY852" s="55"/>
    </row>
    <row r="853" spans="21:51">
      <c r="U853" s="55"/>
      <c r="V853" s="55"/>
      <c r="W853" s="55"/>
      <c r="X853" s="55"/>
      <c r="Y853" s="55"/>
      <c r="Z853" s="55"/>
      <c r="AA853" s="55"/>
      <c r="AB853" s="55"/>
      <c r="AC853" s="55"/>
      <c r="AD853" s="55"/>
      <c r="AE853" s="55"/>
      <c r="AF853" s="55"/>
      <c r="AG853" s="55"/>
      <c r="AH853" s="55"/>
      <c r="AI853" s="55"/>
      <c r="AJ853" s="55"/>
      <c r="AK853" s="55"/>
      <c r="AL853" s="55"/>
      <c r="AM853" s="55"/>
      <c r="AN853" s="55"/>
      <c r="AO853" s="55"/>
      <c r="AP853" s="55"/>
      <c r="AQ853" s="55"/>
      <c r="AR853" s="55"/>
      <c r="AS853" s="55"/>
      <c r="AT853" s="55"/>
      <c r="AU853" s="55"/>
      <c r="AV853" s="55"/>
      <c r="AW853" s="55"/>
      <c r="AX853" s="55"/>
      <c r="AY853" s="55"/>
    </row>
    <row r="854" spans="21:51">
      <c r="U854" s="55"/>
      <c r="V854" s="55"/>
      <c r="W854" s="55"/>
      <c r="X854" s="55"/>
      <c r="Y854" s="55"/>
      <c r="Z854" s="55"/>
      <c r="AA854" s="55"/>
      <c r="AB854" s="55"/>
      <c r="AC854" s="55"/>
      <c r="AD854" s="55"/>
      <c r="AE854" s="55"/>
      <c r="AF854" s="55"/>
      <c r="AG854" s="55"/>
      <c r="AH854" s="55"/>
      <c r="AI854" s="55"/>
      <c r="AJ854" s="55"/>
      <c r="AK854" s="55"/>
      <c r="AL854" s="55"/>
      <c r="AM854" s="55"/>
      <c r="AN854" s="55"/>
      <c r="AO854" s="55"/>
      <c r="AP854" s="55"/>
      <c r="AQ854" s="55"/>
      <c r="AR854" s="55"/>
      <c r="AS854" s="55"/>
      <c r="AT854" s="55"/>
      <c r="AU854" s="55"/>
      <c r="AV854" s="55"/>
      <c r="AW854" s="55"/>
      <c r="AX854" s="55"/>
      <c r="AY854" s="55"/>
    </row>
    <row r="855" spans="21:51">
      <c r="U855" s="55"/>
      <c r="V855" s="55"/>
      <c r="W855" s="55"/>
      <c r="X855" s="55"/>
      <c r="Y855" s="55"/>
      <c r="Z855" s="55"/>
      <c r="AA855" s="55"/>
      <c r="AB855" s="55"/>
      <c r="AC855" s="55"/>
      <c r="AD855" s="55"/>
      <c r="AE855" s="55"/>
      <c r="AF855" s="55"/>
      <c r="AG855" s="55"/>
      <c r="AH855" s="55"/>
      <c r="AI855" s="55"/>
      <c r="AJ855" s="55"/>
      <c r="AK855" s="55"/>
      <c r="AL855" s="55"/>
      <c r="AM855" s="55"/>
      <c r="AN855" s="55"/>
      <c r="AO855" s="55"/>
      <c r="AP855" s="55"/>
      <c r="AQ855" s="55"/>
      <c r="AR855" s="55"/>
      <c r="AS855" s="55"/>
      <c r="AT855" s="55"/>
      <c r="AU855" s="55"/>
      <c r="AV855" s="55"/>
      <c r="AW855" s="55"/>
      <c r="AX855" s="55"/>
      <c r="AY855" s="55"/>
    </row>
    <row r="856" spans="21:51">
      <c r="U856" s="55"/>
      <c r="V856" s="55"/>
      <c r="W856" s="55"/>
      <c r="X856" s="55"/>
      <c r="Y856" s="55"/>
      <c r="Z856" s="55"/>
      <c r="AA856" s="55"/>
      <c r="AB856" s="55"/>
      <c r="AC856" s="55"/>
      <c r="AD856" s="55"/>
      <c r="AE856" s="55"/>
      <c r="AF856" s="55"/>
      <c r="AG856" s="55"/>
      <c r="AH856" s="55"/>
      <c r="AI856" s="55"/>
      <c r="AJ856" s="55"/>
      <c r="AK856" s="55"/>
      <c r="AL856" s="55"/>
      <c r="AM856" s="55"/>
      <c r="AN856" s="55"/>
      <c r="AO856" s="55"/>
      <c r="AP856" s="55"/>
      <c r="AQ856" s="55"/>
      <c r="AR856" s="55"/>
      <c r="AS856" s="55"/>
      <c r="AT856" s="55"/>
      <c r="AU856" s="55"/>
      <c r="AV856" s="55"/>
      <c r="AW856" s="55"/>
      <c r="AX856" s="55"/>
      <c r="AY856" s="55"/>
    </row>
    <row r="857" spans="21:51">
      <c r="U857" s="55"/>
      <c r="V857" s="55"/>
      <c r="W857" s="55"/>
      <c r="X857" s="55"/>
      <c r="Y857" s="55"/>
      <c r="Z857" s="55"/>
      <c r="AA857" s="55"/>
      <c r="AB857" s="55"/>
      <c r="AC857" s="55"/>
      <c r="AD857" s="55"/>
      <c r="AE857" s="55"/>
      <c r="AF857" s="55"/>
      <c r="AG857" s="55"/>
      <c r="AH857" s="55"/>
      <c r="AI857" s="55"/>
      <c r="AJ857" s="55"/>
      <c r="AK857" s="55"/>
      <c r="AL857" s="55"/>
      <c r="AM857" s="55"/>
      <c r="AN857" s="55"/>
      <c r="AO857" s="55"/>
      <c r="AP857" s="55"/>
      <c r="AQ857" s="55"/>
      <c r="AR857" s="55"/>
      <c r="AS857" s="55"/>
      <c r="AT857" s="55"/>
      <c r="AU857" s="55"/>
      <c r="AV857" s="55"/>
      <c r="AW857" s="55"/>
      <c r="AX857" s="55"/>
      <c r="AY857" s="55"/>
    </row>
    <row r="858" spans="21:51">
      <c r="U858" s="55"/>
      <c r="V858" s="55"/>
      <c r="W858" s="55"/>
      <c r="X858" s="55"/>
      <c r="Y858" s="55"/>
      <c r="Z858" s="55"/>
      <c r="AA858" s="55"/>
      <c r="AB858" s="55"/>
      <c r="AC858" s="55"/>
      <c r="AD858" s="55"/>
      <c r="AE858" s="55"/>
      <c r="AF858" s="55"/>
      <c r="AG858" s="55"/>
      <c r="AH858" s="55"/>
      <c r="AI858" s="55"/>
      <c r="AJ858" s="55"/>
      <c r="AK858" s="55"/>
      <c r="AL858" s="55"/>
      <c r="AM858" s="55"/>
      <c r="AN858" s="55"/>
      <c r="AO858" s="55"/>
      <c r="AP858" s="55"/>
      <c r="AQ858" s="55"/>
      <c r="AR858" s="55"/>
      <c r="AS858" s="55"/>
      <c r="AT858" s="55"/>
      <c r="AU858" s="55"/>
      <c r="AV858" s="55"/>
      <c r="AW858" s="55"/>
      <c r="AX858" s="55"/>
      <c r="AY858" s="55"/>
    </row>
    <row r="859" spans="21:51">
      <c r="U859" s="55"/>
      <c r="V859" s="55"/>
      <c r="W859" s="55"/>
      <c r="X859" s="55"/>
      <c r="Y859" s="55"/>
      <c r="Z859" s="55"/>
      <c r="AA859" s="55"/>
      <c r="AB859" s="55"/>
      <c r="AC859" s="55"/>
      <c r="AD859" s="55"/>
      <c r="AE859" s="55"/>
      <c r="AF859" s="55"/>
      <c r="AG859" s="55"/>
      <c r="AH859" s="55"/>
      <c r="AI859" s="55"/>
      <c r="AJ859" s="55"/>
      <c r="AK859" s="55"/>
      <c r="AL859" s="55"/>
      <c r="AM859" s="55"/>
      <c r="AN859" s="55"/>
      <c r="AO859" s="55"/>
      <c r="AP859" s="55"/>
      <c r="AQ859" s="55"/>
      <c r="AR859" s="55"/>
      <c r="AS859" s="55"/>
      <c r="AT859" s="55"/>
      <c r="AU859" s="55"/>
      <c r="AV859" s="55"/>
      <c r="AW859" s="55"/>
      <c r="AX859" s="55"/>
      <c r="AY859" s="55"/>
    </row>
    <row r="860" spans="21:51">
      <c r="U860" s="55"/>
      <c r="V860" s="55"/>
      <c r="W860" s="55"/>
      <c r="X860" s="55"/>
      <c r="Y860" s="55"/>
      <c r="Z860" s="55"/>
      <c r="AA860" s="55"/>
      <c r="AB860" s="55"/>
      <c r="AC860" s="55"/>
      <c r="AD860" s="55"/>
      <c r="AE860" s="55"/>
      <c r="AF860" s="55"/>
      <c r="AG860" s="55"/>
      <c r="AH860" s="55"/>
      <c r="AI860" s="55"/>
      <c r="AJ860" s="55"/>
      <c r="AK860" s="55"/>
      <c r="AL860" s="55"/>
      <c r="AM860" s="55"/>
      <c r="AN860" s="55"/>
      <c r="AO860" s="55"/>
      <c r="AP860" s="55"/>
      <c r="AQ860" s="55"/>
      <c r="AR860" s="55"/>
      <c r="AS860" s="55"/>
      <c r="AT860" s="55"/>
      <c r="AU860" s="55"/>
      <c r="AV860" s="55"/>
      <c r="AW860" s="55"/>
      <c r="AX860" s="55"/>
      <c r="AY860" s="55"/>
    </row>
    <row r="861" spans="21:51">
      <c r="U861" s="55"/>
      <c r="V861" s="55"/>
      <c r="W861" s="55"/>
      <c r="X861" s="55"/>
      <c r="Y861" s="55"/>
      <c r="Z861" s="55"/>
      <c r="AA861" s="55"/>
      <c r="AB861" s="55"/>
      <c r="AC861" s="55"/>
      <c r="AD861" s="55"/>
      <c r="AE861" s="55"/>
      <c r="AF861" s="55"/>
      <c r="AG861" s="55"/>
      <c r="AH861" s="55"/>
      <c r="AI861" s="55"/>
      <c r="AJ861" s="55"/>
      <c r="AK861" s="55"/>
      <c r="AL861" s="55"/>
      <c r="AM861" s="55"/>
      <c r="AN861" s="55"/>
      <c r="AO861" s="55"/>
      <c r="AP861" s="55"/>
      <c r="AQ861" s="55"/>
      <c r="AR861" s="55"/>
      <c r="AS861" s="55"/>
      <c r="AT861" s="55"/>
      <c r="AU861" s="55"/>
      <c r="AV861" s="55"/>
      <c r="AW861" s="55"/>
      <c r="AX861" s="55"/>
      <c r="AY861" s="55"/>
    </row>
    <row r="862" spans="21:51">
      <c r="U862" s="55"/>
      <c r="V862" s="55"/>
      <c r="W862" s="55"/>
      <c r="X862" s="55"/>
      <c r="Y862" s="55"/>
      <c r="Z862" s="55"/>
      <c r="AA862" s="55"/>
      <c r="AB862" s="55"/>
      <c r="AC862" s="55"/>
      <c r="AD862" s="55"/>
      <c r="AE862" s="55"/>
      <c r="AF862" s="55"/>
      <c r="AG862" s="55"/>
      <c r="AH862" s="55"/>
      <c r="AI862" s="55"/>
      <c r="AJ862" s="55"/>
      <c r="AK862" s="55"/>
      <c r="AL862" s="55"/>
      <c r="AM862" s="55"/>
      <c r="AN862" s="55"/>
      <c r="AO862" s="55"/>
      <c r="AP862" s="55"/>
      <c r="AQ862" s="55"/>
      <c r="AR862" s="55"/>
      <c r="AS862" s="55"/>
      <c r="AT862" s="55"/>
      <c r="AU862" s="55"/>
      <c r="AV862" s="55"/>
      <c r="AW862" s="55"/>
      <c r="AX862" s="55"/>
      <c r="AY862" s="55"/>
    </row>
    <row r="863" spans="21:51">
      <c r="U863" s="55"/>
      <c r="V863" s="55"/>
      <c r="W863" s="55"/>
      <c r="X863" s="55"/>
      <c r="Y863" s="55"/>
      <c r="Z863" s="55"/>
      <c r="AA863" s="55"/>
      <c r="AB863" s="55"/>
      <c r="AC863" s="55"/>
      <c r="AD863" s="55"/>
      <c r="AE863" s="55"/>
      <c r="AF863" s="55"/>
      <c r="AG863" s="55"/>
      <c r="AH863" s="55"/>
      <c r="AI863" s="55"/>
      <c r="AJ863" s="55"/>
      <c r="AK863" s="55"/>
      <c r="AL863" s="55"/>
      <c r="AM863" s="55"/>
      <c r="AN863" s="55"/>
      <c r="AO863" s="55"/>
      <c r="AP863" s="55"/>
      <c r="AQ863" s="55"/>
      <c r="AR863" s="55"/>
      <c r="AS863" s="55"/>
      <c r="AT863" s="55"/>
      <c r="AU863" s="55"/>
      <c r="AV863" s="55"/>
      <c r="AW863" s="55"/>
      <c r="AX863" s="55"/>
      <c r="AY863" s="55"/>
    </row>
    <row r="864" spans="21:51">
      <c r="U864" s="55"/>
      <c r="V864" s="55"/>
      <c r="W864" s="55"/>
      <c r="X864" s="55"/>
      <c r="Y864" s="55"/>
      <c r="Z864" s="55"/>
      <c r="AA864" s="55"/>
      <c r="AB864" s="55"/>
      <c r="AC864" s="55"/>
      <c r="AD864" s="55"/>
      <c r="AE864" s="55"/>
      <c r="AF864" s="55"/>
      <c r="AG864" s="55"/>
      <c r="AH864" s="55"/>
      <c r="AI864" s="55"/>
      <c r="AJ864" s="55"/>
      <c r="AK864" s="55"/>
      <c r="AL864" s="55"/>
      <c r="AM864" s="55"/>
      <c r="AN864" s="55"/>
      <c r="AO864" s="55"/>
      <c r="AP864" s="55"/>
      <c r="AQ864" s="55"/>
      <c r="AR864" s="55"/>
      <c r="AS864" s="55"/>
      <c r="AT864" s="55"/>
      <c r="AU864" s="55"/>
      <c r="AV864" s="55"/>
      <c r="AW864" s="55"/>
      <c r="AX864" s="55"/>
      <c r="AY864" s="55"/>
    </row>
    <row r="865" spans="21:51">
      <c r="U865" s="55"/>
      <c r="V865" s="55"/>
      <c r="W865" s="55"/>
      <c r="X865" s="55"/>
      <c r="Y865" s="55"/>
      <c r="Z865" s="55"/>
      <c r="AA865" s="55"/>
      <c r="AB865" s="55"/>
      <c r="AC865" s="55"/>
      <c r="AD865" s="55"/>
      <c r="AE865" s="55"/>
      <c r="AF865" s="55"/>
      <c r="AG865" s="55"/>
      <c r="AH865" s="55"/>
      <c r="AI865" s="55"/>
      <c r="AJ865" s="55"/>
      <c r="AK865" s="55"/>
      <c r="AL865" s="55"/>
      <c r="AM865" s="55"/>
      <c r="AN865" s="55"/>
      <c r="AO865" s="55"/>
      <c r="AP865" s="55"/>
      <c r="AQ865" s="55"/>
      <c r="AR865" s="55"/>
      <c r="AS865" s="55"/>
      <c r="AT865" s="55"/>
      <c r="AU865" s="55"/>
      <c r="AV865" s="55"/>
      <c r="AW865" s="55"/>
      <c r="AX865" s="55"/>
      <c r="AY865" s="55"/>
    </row>
    <row r="866" spans="21:51">
      <c r="U866" s="55"/>
      <c r="V866" s="55"/>
      <c r="W866" s="55"/>
      <c r="X866" s="55"/>
      <c r="Y866" s="55"/>
      <c r="Z866" s="55"/>
      <c r="AA866" s="55"/>
      <c r="AB866" s="55"/>
      <c r="AC866" s="55"/>
      <c r="AD866" s="55"/>
      <c r="AE866" s="55"/>
      <c r="AF866" s="55"/>
      <c r="AG866" s="55"/>
      <c r="AH866" s="55"/>
      <c r="AI866" s="55"/>
      <c r="AJ866" s="55"/>
      <c r="AK866" s="55"/>
      <c r="AL866" s="55"/>
      <c r="AM866" s="55"/>
      <c r="AN866" s="55"/>
      <c r="AO866" s="55"/>
      <c r="AP866" s="55"/>
      <c r="AQ866" s="55"/>
      <c r="AR866" s="55"/>
      <c r="AS866" s="55"/>
      <c r="AT866" s="55"/>
      <c r="AU866" s="55"/>
      <c r="AV866" s="55"/>
      <c r="AW866" s="55"/>
      <c r="AX866" s="55"/>
      <c r="AY866" s="55"/>
    </row>
    <row r="867" spans="21:51">
      <c r="U867" s="55"/>
      <c r="V867" s="55"/>
      <c r="W867" s="55"/>
      <c r="X867" s="55"/>
      <c r="Y867" s="55"/>
      <c r="Z867" s="55"/>
      <c r="AA867" s="55"/>
      <c r="AB867" s="55"/>
      <c r="AC867" s="55"/>
      <c r="AD867" s="55"/>
      <c r="AE867" s="55"/>
      <c r="AF867" s="55"/>
      <c r="AG867" s="55"/>
      <c r="AH867" s="55"/>
      <c r="AI867" s="55"/>
      <c r="AJ867" s="55"/>
      <c r="AK867" s="55"/>
      <c r="AL867" s="55"/>
      <c r="AM867" s="55"/>
      <c r="AN867" s="55"/>
      <c r="AO867" s="55"/>
      <c r="AP867" s="55"/>
      <c r="AQ867" s="55"/>
      <c r="AR867" s="55"/>
      <c r="AS867" s="55"/>
      <c r="AT867" s="55"/>
      <c r="AU867" s="55"/>
      <c r="AV867" s="55"/>
      <c r="AW867" s="55"/>
      <c r="AX867" s="55"/>
      <c r="AY867" s="55"/>
    </row>
    <row r="868" spans="21:51">
      <c r="U868" s="55"/>
      <c r="V868" s="55"/>
      <c r="W868" s="55"/>
      <c r="X868" s="55"/>
      <c r="Y868" s="55"/>
      <c r="Z868" s="55"/>
      <c r="AA868" s="55"/>
      <c r="AB868" s="55"/>
      <c r="AC868" s="55"/>
      <c r="AD868" s="55"/>
      <c r="AE868" s="55"/>
      <c r="AF868" s="55"/>
      <c r="AG868" s="55"/>
      <c r="AH868" s="55"/>
      <c r="AI868" s="55"/>
      <c r="AJ868" s="55"/>
      <c r="AK868" s="55"/>
      <c r="AL868" s="55"/>
      <c r="AM868" s="55"/>
      <c r="AN868" s="55"/>
      <c r="AO868" s="55"/>
      <c r="AP868" s="55"/>
      <c r="AQ868" s="55"/>
      <c r="AR868" s="55"/>
      <c r="AS868" s="55"/>
      <c r="AT868" s="55"/>
      <c r="AU868" s="55"/>
      <c r="AV868" s="55"/>
      <c r="AW868" s="55"/>
      <c r="AX868" s="55"/>
      <c r="AY868" s="55"/>
    </row>
    <row r="869" spans="21:51">
      <c r="U869" s="55"/>
      <c r="V869" s="55"/>
      <c r="W869" s="55"/>
      <c r="X869" s="55"/>
      <c r="Y869" s="55"/>
      <c r="Z869" s="55"/>
      <c r="AA869" s="55"/>
      <c r="AB869" s="55"/>
      <c r="AC869" s="55"/>
      <c r="AD869" s="55"/>
      <c r="AE869" s="55"/>
      <c r="AF869" s="55"/>
      <c r="AG869" s="55"/>
      <c r="AH869" s="55"/>
      <c r="AI869" s="55"/>
      <c r="AJ869" s="55"/>
      <c r="AK869" s="55"/>
      <c r="AL869" s="55"/>
      <c r="AM869" s="55"/>
      <c r="AN869" s="55"/>
      <c r="AO869" s="55"/>
      <c r="AP869" s="55"/>
      <c r="AQ869" s="55"/>
      <c r="AR869" s="55"/>
      <c r="AS869" s="55"/>
      <c r="AT869" s="55"/>
      <c r="AU869" s="55"/>
      <c r="AV869" s="55"/>
      <c r="AW869" s="55"/>
      <c r="AX869" s="55"/>
      <c r="AY869" s="55"/>
    </row>
    <row r="870" spans="21:51">
      <c r="U870" s="55"/>
      <c r="V870" s="55"/>
      <c r="W870" s="55"/>
      <c r="X870" s="55"/>
      <c r="Y870" s="55"/>
      <c r="Z870" s="55"/>
      <c r="AA870" s="55"/>
      <c r="AB870" s="55"/>
      <c r="AC870" s="55"/>
      <c r="AD870" s="55"/>
      <c r="AE870" s="55"/>
      <c r="AF870" s="55"/>
      <c r="AG870" s="55"/>
      <c r="AH870" s="55"/>
      <c r="AI870" s="55"/>
      <c r="AJ870" s="55"/>
      <c r="AK870" s="55"/>
      <c r="AL870" s="55"/>
      <c r="AM870" s="55"/>
      <c r="AN870" s="55"/>
      <c r="AO870" s="55"/>
      <c r="AP870" s="55"/>
      <c r="AQ870" s="55"/>
      <c r="AR870" s="55"/>
      <c r="AS870" s="55"/>
      <c r="AT870" s="55"/>
      <c r="AU870" s="55"/>
      <c r="AV870" s="55"/>
      <c r="AW870" s="55"/>
      <c r="AX870" s="55"/>
      <c r="AY870" s="55"/>
    </row>
    <row r="871" spans="21:51">
      <c r="U871" s="55"/>
      <c r="V871" s="55"/>
      <c r="W871" s="55"/>
      <c r="X871" s="55"/>
      <c r="Y871" s="55"/>
      <c r="Z871" s="55"/>
      <c r="AA871" s="55"/>
      <c r="AB871" s="55"/>
      <c r="AC871" s="55"/>
      <c r="AD871" s="55"/>
      <c r="AE871" s="55"/>
      <c r="AF871" s="55"/>
      <c r="AG871" s="55"/>
      <c r="AH871" s="55"/>
      <c r="AI871" s="55"/>
      <c r="AJ871" s="55"/>
      <c r="AK871" s="55"/>
      <c r="AL871" s="55"/>
      <c r="AM871" s="55"/>
      <c r="AN871" s="55"/>
      <c r="AO871" s="55"/>
      <c r="AP871" s="55"/>
      <c r="AQ871" s="55"/>
      <c r="AR871" s="55"/>
      <c r="AS871" s="55"/>
      <c r="AT871" s="55"/>
      <c r="AU871" s="55"/>
      <c r="AV871" s="55"/>
      <c r="AW871" s="55"/>
      <c r="AX871" s="55"/>
      <c r="AY871" s="55"/>
    </row>
    <row r="872" spans="21:51">
      <c r="U872" s="55"/>
      <c r="V872" s="55"/>
      <c r="W872" s="55"/>
      <c r="X872" s="55"/>
      <c r="Y872" s="55"/>
      <c r="Z872" s="55"/>
      <c r="AA872" s="55"/>
      <c r="AB872" s="55"/>
      <c r="AC872" s="55"/>
      <c r="AD872" s="55"/>
      <c r="AE872" s="55"/>
      <c r="AF872" s="55"/>
      <c r="AG872" s="55"/>
      <c r="AH872" s="55"/>
      <c r="AI872" s="55"/>
      <c r="AJ872" s="55"/>
      <c r="AK872" s="55"/>
      <c r="AL872" s="55"/>
      <c r="AM872" s="55"/>
      <c r="AN872" s="55"/>
      <c r="AO872" s="55"/>
      <c r="AP872" s="55"/>
      <c r="AQ872" s="55"/>
      <c r="AR872" s="55"/>
      <c r="AS872" s="55"/>
      <c r="AT872" s="55"/>
      <c r="AU872" s="55"/>
      <c r="AV872" s="55"/>
      <c r="AW872" s="55"/>
      <c r="AX872" s="55"/>
      <c r="AY872" s="55"/>
    </row>
    <row r="873" spans="21:51">
      <c r="U873" s="55"/>
      <c r="V873" s="55"/>
      <c r="W873" s="55"/>
      <c r="X873" s="55"/>
      <c r="Y873" s="55"/>
      <c r="Z873" s="55"/>
      <c r="AA873" s="55"/>
      <c r="AB873" s="55"/>
      <c r="AC873" s="55"/>
      <c r="AD873" s="55"/>
      <c r="AE873" s="55"/>
      <c r="AF873" s="55"/>
      <c r="AG873" s="55"/>
      <c r="AH873" s="55"/>
      <c r="AI873" s="55"/>
      <c r="AJ873" s="55"/>
      <c r="AK873" s="55"/>
      <c r="AL873" s="55"/>
      <c r="AM873" s="55"/>
      <c r="AN873" s="55"/>
      <c r="AO873" s="55"/>
      <c r="AP873" s="55"/>
      <c r="AQ873" s="55"/>
      <c r="AR873" s="55"/>
      <c r="AS873" s="55"/>
      <c r="AT873" s="55"/>
      <c r="AU873" s="55"/>
      <c r="AV873" s="55"/>
      <c r="AW873" s="55"/>
      <c r="AX873" s="55"/>
      <c r="AY873" s="55"/>
    </row>
    <row r="874" spans="21:51">
      <c r="U874" s="55"/>
      <c r="V874" s="55"/>
      <c r="W874" s="55"/>
      <c r="X874" s="55"/>
      <c r="Y874" s="55"/>
      <c r="Z874" s="55"/>
      <c r="AA874" s="55"/>
      <c r="AB874" s="55"/>
      <c r="AC874" s="55"/>
      <c r="AD874" s="55"/>
      <c r="AE874" s="55"/>
      <c r="AF874" s="55"/>
      <c r="AG874" s="55"/>
      <c r="AH874" s="55"/>
      <c r="AI874" s="55"/>
      <c r="AJ874" s="55"/>
      <c r="AK874" s="55"/>
      <c r="AL874" s="55"/>
      <c r="AM874" s="55"/>
      <c r="AN874" s="55"/>
      <c r="AO874" s="55"/>
      <c r="AP874" s="55"/>
      <c r="AQ874" s="55"/>
      <c r="AR874" s="55"/>
      <c r="AS874" s="55"/>
      <c r="AT874" s="55"/>
      <c r="AU874" s="55"/>
      <c r="AV874" s="55"/>
      <c r="AW874" s="55"/>
      <c r="AX874" s="55"/>
      <c r="AY874" s="55"/>
    </row>
    <row r="875" spans="21:51">
      <c r="U875" s="55"/>
      <c r="V875" s="55"/>
      <c r="W875" s="55"/>
      <c r="X875" s="55"/>
      <c r="Y875" s="55"/>
      <c r="Z875" s="55"/>
      <c r="AA875" s="55"/>
      <c r="AB875" s="55"/>
      <c r="AC875" s="55"/>
      <c r="AD875" s="55"/>
      <c r="AE875" s="55"/>
      <c r="AF875" s="55"/>
      <c r="AG875" s="55"/>
      <c r="AH875" s="55"/>
      <c r="AI875" s="55"/>
      <c r="AJ875" s="55"/>
      <c r="AK875" s="55"/>
      <c r="AL875" s="55"/>
      <c r="AM875" s="55"/>
      <c r="AN875" s="55"/>
      <c r="AO875" s="55"/>
      <c r="AP875" s="55"/>
      <c r="AQ875" s="55"/>
      <c r="AR875" s="55"/>
      <c r="AS875" s="55"/>
      <c r="AT875" s="55"/>
      <c r="AU875" s="55"/>
      <c r="AV875" s="55"/>
      <c r="AW875" s="55"/>
      <c r="AX875" s="55"/>
      <c r="AY875" s="55"/>
    </row>
    <row r="876" spans="21:51">
      <c r="U876" s="55"/>
      <c r="V876" s="55"/>
      <c r="W876" s="55"/>
      <c r="X876" s="55"/>
      <c r="Y876" s="55"/>
      <c r="Z876" s="55"/>
      <c r="AA876" s="55"/>
      <c r="AB876" s="55"/>
      <c r="AC876" s="55"/>
      <c r="AD876" s="55"/>
      <c r="AE876" s="55"/>
      <c r="AF876" s="55"/>
      <c r="AG876" s="55"/>
      <c r="AH876" s="55"/>
      <c r="AI876" s="55"/>
      <c r="AJ876" s="55"/>
      <c r="AK876" s="55"/>
      <c r="AL876" s="55"/>
      <c r="AM876" s="55"/>
      <c r="AN876" s="55"/>
      <c r="AO876" s="55"/>
      <c r="AP876" s="55"/>
      <c r="AQ876" s="55"/>
      <c r="AR876" s="55"/>
      <c r="AS876" s="55"/>
      <c r="AT876" s="55"/>
      <c r="AU876" s="55"/>
      <c r="AV876" s="55"/>
      <c r="AW876" s="55"/>
      <c r="AX876" s="55"/>
      <c r="AY876" s="55"/>
    </row>
    <row r="877" spans="21:51">
      <c r="U877" s="55"/>
      <c r="V877" s="55"/>
      <c r="W877" s="55"/>
      <c r="X877" s="55"/>
      <c r="Y877" s="55"/>
      <c r="Z877" s="55"/>
      <c r="AA877" s="55"/>
      <c r="AB877" s="55"/>
      <c r="AC877" s="55"/>
      <c r="AD877" s="55"/>
      <c r="AE877" s="55"/>
      <c r="AF877" s="55"/>
      <c r="AG877" s="55"/>
      <c r="AH877" s="55"/>
      <c r="AI877" s="55"/>
      <c r="AJ877" s="55"/>
      <c r="AK877" s="55"/>
      <c r="AL877" s="55"/>
      <c r="AM877" s="55"/>
      <c r="AN877" s="55"/>
      <c r="AO877" s="55"/>
      <c r="AP877" s="55"/>
      <c r="AQ877" s="55"/>
      <c r="AR877" s="55"/>
      <c r="AS877" s="55"/>
      <c r="AT877" s="55"/>
      <c r="AU877" s="55"/>
      <c r="AV877" s="55"/>
      <c r="AW877" s="55"/>
      <c r="AX877" s="55"/>
      <c r="AY877" s="55"/>
    </row>
    <row r="878" spans="21:51">
      <c r="U878" s="55"/>
      <c r="V878" s="55"/>
      <c r="W878" s="55"/>
      <c r="X878" s="55"/>
      <c r="Y878" s="55"/>
      <c r="Z878" s="55"/>
      <c r="AA878" s="55"/>
      <c r="AB878" s="55"/>
      <c r="AC878" s="55"/>
      <c r="AD878" s="55"/>
      <c r="AE878" s="55"/>
      <c r="AF878" s="55"/>
      <c r="AG878" s="55"/>
      <c r="AH878" s="55"/>
      <c r="AI878" s="55"/>
      <c r="AJ878" s="55"/>
      <c r="AK878" s="55"/>
      <c r="AL878" s="55"/>
      <c r="AM878" s="55"/>
      <c r="AN878" s="55"/>
      <c r="AO878" s="55"/>
      <c r="AP878" s="55"/>
      <c r="AQ878" s="55"/>
      <c r="AR878" s="55"/>
      <c r="AS878" s="55"/>
      <c r="AT878" s="55"/>
      <c r="AU878" s="55"/>
      <c r="AV878" s="55"/>
      <c r="AW878" s="55"/>
      <c r="AX878" s="55"/>
      <c r="AY878" s="55"/>
    </row>
    <row r="879" spans="21:51">
      <c r="U879" s="55"/>
      <c r="V879" s="55"/>
      <c r="W879" s="55"/>
      <c r="X879" s="55"/>
      <c r="Y879" s="55"/>
      <c r="Z879" s="55"/>
      <c r="AA879" s="55"/>
      <c r="AB879" s="55"/>
      <c r="AC879" s="55"/>
      <c r="AD879" s="55"/>
      <c r="AE879" s="55"/>
      <c r="AF879" s="55"/>
      <c r="AG879" s="55"/>
      <c r="AH879" s="55"/>
      <c r="AI879" s="55"/>
      <c r="AJ879" s="55"/>
      <c r="AK879" s="55"/>
      <c r="AL879" s="55"/>
      <c r="AM879" s="55"/>
      <c r="AN879" s="55"/>
      <c r="AO879" s="55"/>
      <c r="AP879" s="55"/>
      <c r="AQ879" s="55"/>
      <c r="AR879" s="55"/>
      <c r="AS879" s="55"/>
      <c r="AT879" s="55"/>
      <c r="AU879" s="55"/>
      <c r="AV879" s="55"/>
      <c r="AW879" s="55"/>
      <c r="AX879" s="55"/>
      <c r="AY879" s="55"/>
    </row>
    <row r="880" spans="21:51">
      <c r="U880" s="55"/>
      <c r="V880" s="55"/>
      <c r="W880" s="55"/>
      <c r="X880" s="55"/>
      <c r="Y880" s="55"/>
      <c r="Z880" s="55"/>
      <c r="AA880" s="55"/>
      <c r="AB880" s="55"/>
      <c r="AC880" s="55"/>
      <c r="AD880" s="55"/>
      <c r="AE880" s="55"/>
      <c r="AF880" s="55"/>
      <c r="AG880" s="55"/>
      <c r="AH880" s="55"/>
      <c r="AI880" s="55"/>
      <c r="AJ880" s="55"/>
      <c r="AK880" s="55"/>
      <c r="AL880" s="55"/>
      <c r="AM880" s="55"/>
      <c r="AN880" s="55"/>
      <c r="AO880" s="55"/>
      <c r="AP880" s="55"/>
      <c r="AQ880" s="55"/>
      <c r="AR880" s="55"/>
      <c r="AS880" s="55"/>
      <c r="AT880" s="55"/>
      <c r="AU880" s="55"/>
      <c r="AV880" s="55"/>
      <c r="AW880" s="55"/>
      <c r="AX880" s="55"/>
      <c r="AY880" s="55"/>
    </row>
    <row r="881" spans="21:51">
      <c r="U881" s="55"/>
      <c r="V881" s="55"/>
      <c r="W881" s="55"/>
      <c r="X881" s="55"/>
      <c r="Y881" s="55"/>
      <c r="Z881" s="55"/>
      <c r="AA881" s="55"/>
      <c r="AB881" s="55"/>
      <c r="AC881" s="55"/>
      <c r="AD881" s="55"/>
      <c r="AE881" s="55"/>
      <c r="AF881" s="55"/>
      <c r="AG881" s="55"/>
      <c r="AH881" s="55"/>
      <c r="AI881" s="55"/>
      <c r="AJ881" s="55"/>
      <c r="AK881" s="55"/>
      <c r="AL881" s="55"/>
      <c r="AM881" s="55"/>
      <c r="AN881" s="55"/>
      <c r="AO881" s="55"/>
      <c r="AP881" s="55"/>
      <c r="AQ881" s="55"/>
      <c r="AR881" s="55"/>
      <c r="AS881" s="55"/>
      <c r="AT881" s="55"/>
      <c r="AU881" s="55"/>
      <c r="AV881" s="55"/>
      <c r="AW881" s="55"/>
      <c r="AX881" s="55"/>
      <c r="AY881" s="55"/>
    </row>
    <row r="882" spans="21:51">
      <c r="U882" s="55"/>
      <c r="V882" s="55"/>
      <c r="W882" s="55"/>
      <c r="X882" s="55"/>
      <c r="Y882" s="55"/>
      <c r="Z882" s="55"/>
      <c r="AA882" s="55"/>
      <c r="AB882" s="55"/>
      <c r="AC882" s="55"/>
      <c r="AD882" s="55"/>
      <c r="AE882" s="55"/>
      <c r="AF882" s="55"/>
      <c r="AG882" s="55"/>
      <c r="AH882" s="55"/>
      <c r="AI882" s="55"/>
      <c r="AJ882" s="55"/>
      <c r="AK882" s="55"/>
      <c r="AL882" s="55"/>
      <c r="AM882" s="55"/>
      <c r="AN882" s="55"/>
      <c r="AO882" s="55"/>
      <c r="AP882" s="55"/>
      <c r="AQ882" s="55"/>
      <c r="AR882" s="55"/>
      <c r="AS882" s="55"/>
      <c r="AT882" s="55"/>
      <c r="AU882" s="55"/>
      <c r="AV882" s="55"/>
      <c r="AW882" s="55"/>
      <c r="AX882" s="55"/>
      <c r="AY882" s="55"/>
    </row>
    <row r="883" spans="21:51">
      <c r="U883" s="55"/>
      <c r="V883" s="55"/>
      <c r="W883" s="55"/>
      <c r="X883" s="55"/>
      <c r="Y883" s="55"/>
      <c r="Z883" s="55"/>
      <c r="AA883" s="55"/>
      <c r="AB883" s="55"/>
      <c r="AC883" s="55"/>
      <c r="AD883" s="55"/>
      <c r="AE883" s="55"/>
      <c r="AF883" s="55"/>
      <c r="AG883" s="55"/>
      <c r="AH883" s="55"/>
      <c r="AI883" s="55"/>
      <c r="AJ883" s="55"/>
      <c r="AK883" s="55"/>
      <c r="AL883" s="55"/>
      <c r="AM883" s="55"/>
      <c r="AN883" s="55"/>
      <c r="AO883" s="55"/>
      <c r="AP883" s="55"/>
      <c r="AQ883" s="55"/>
      <c r="AR883" s="55"/>
      <c r="AS883" s="55"/>
      <c r="AT883" s="55"/>
      <c r="AU883" s="55"/>
      <c r="AV883" s="55"/>
      <c r="AW883" s="55"/>
      <c r="AX883" s="55"/>
      <c r="AY883" s="55"/>
    </row>
    <row r="884" spans="21:51">
      <c r="U884" s="55"/>
      <c r="V884" s="55"/>
      <c r="W884" s="55"/>
      <c r="X884" s="55"/>
      <c r="Y884" s="55"/>
      <c r="Z884" s="55"/>
      <c r="AA884" s="55"/>
      <c r="AB884" s="55"/>
      <c r="AC884" s="55"/>
      <c r="AD884" s="55"/>
      <c r="AE884" s="55"/>
      <c r="AF884" s="55"/>
      <c r="AG884" s="55"/>
      <c r="AH884" s="55"/>
      <c r="AI884" s="55"/>
      <c r="AJ884" s="55"/>
      <c r="AK884" s="55"/>
      <c r="AL884" s="55"/>
      <c r="AM884" s="55"/>
      <c r="AN884" s="55"/>
      <c r="AO884" s="55"/>
      <c r="AP884" s="55"/>
      <c r="AQ884" s="55"/>
      <c r="AR884" s="55"/>
      <c r="AS884" s="55"/>
      <c r="AT884" s="55"/>
      <c r="AU884" s="55"/>
      <c r="AV884" s="55"/>
      <c r="AW884" s="55"/>
      <c r="AX884" s="55"/>
      <c r="AY884" s="55"/>
    </row>
    <row r="885" spans="21:51">
      <c r="U885" s="55"/>
      <c r="V885" s="55"/>
      <c r="W885" s="55"/>
      <c r="X885" s="55"/>
      <c r="Y885" s="55"/>
      <c r="Z885" s="55"/>
      <c r="AA885" s="55"/>
      <c r="AB885" s="55"/>
      <c r="AC885" s="55"/>
      <c r="AD885" s="55"/>
      <c r="AE885" s="55"/>
      <c r="AF885" s="55"/>
      <c r="AG885" s="55"/>
      <c r="AH885" s="55"/>
      <c r="AI885" s="55"/>
      <c r="AJ885" s="55"/>
      <c r="AK885" s="55"/>
      <c r="AL885" s="55"/>
      <c r="AM885" s="55"/>
      <c r="AN885" s="55"/>
      <c r="AO885" s="55"/>
      <c r="AP885" s="55"/>
      <c r="AQ885" s="55"/>
      <c r="AR885" s="55"/>
      <c r="AS885" s="55"/>
      <c r="AT885" s="55"/>
      <c r="AU885" s="55"/>
      <c r="AV885" s="55"/>
      <c r="AW885" s="55"/>
      <c r="AX885" s="55"/>
      <c r="AY885" s="55"/>
    </row>
    <row r="886" spans="21:51">
      <c r="U886" s="55"/>
      <c r="V886" s="55"/>
      <c r="W886" s="55"/>
      <c r="X886" s="55"/>
      <c r="Y886" s="55"/>
      <c r="Z886" s="55"/>
      <c r="AA886" s="55"/>
      <c r="AB886" s="55"/>
      <c r="AC886" s="55"/>
      <c r="AD886" s="55"/>
      <c r="AE886" s="55"/>
      <c r="AF886" s="55"/>
      <c r="AG886" s="55"/>
      <c r="AH886" s="55"/>
      <c r="AI886" s="55"/>
      <c r="AJ886" s="55"/>
      <c r="AK886" s="55"/>
      <c r="AL886" s="55"/>
      <c r="AM886" s="55"/>
      <c r="AN886" s="55"/>
      <c r="AO886" s="55"/>
      <c r="AP886" s="55"/>
      <c r="AQ886" s="55"/>
      <c r="AR886" s="55"/>
      <c r="AS886" s="55"/>
      <c r="AT886" s="55"/>
      <c r="AU886" s="55"/>
      <c r="AV886" s="55"/>
      <c r="AW886" s="55"/>
      <c r="AX886" s="55"/>
      <c r="AY886" s="55"/>
    </row>
    <row r="887" spans="21:51">
      <c r="U887" s="55"/>
      <c r="V887" s="55"/>
      <c r="W887" s="55"/>
      <c r="X887" s="55"/>
      <c r="Y887" s="55"/>
      <c r="Z887" s="55"/>
      <c r="AA887" s="55"/>
      <c r="AB887" s="55"/>
      <c r="AC887" s="55"/>
      <c r="AD887" s="55"/>
      <c r="AE887" s="55"/>
      <c r="AF887" s="55"/>
      <c r="AG887" s="55"/>
      <c r="AH887" s="55"/>
      <c r="AI887" s="55"/>
      <c r="AJ887" s="55"/>
      <c r="AK887" s="55"/>
      <c r="AL887" s="55"/>
      <c r="AM887" s="55"/>
      <c r="AN887" s="55"/>
      <c r="AO887" s="55"/>
      <c r="AP887" s="55"/>
      <c r="AQ887" s="55"/>
      <c r="AR887" s="55"/>
      <c r="AS887" s="55"/>
      <c r="AT887" s="55"/>
      <c r="AU887" s="55"/>
      <c r="AV887" s="55"/>
      <c r="AW887" s="55"/>
      <c r="AX887" s="55"/>
      <c r="AY887" s="55"/>
    </row>
    <row r="888" spans="21:51">
      <c r="U888" s="55"/>
      <c r="V888" s="55"/>
      <c r="W888" s="55"/>
      <c r="X888" s="55"/>
      <c r="Y888" s="55"/>
      <c r="Z888" s="55"/>
      <c r="AA888" s="55"/>
      <c r="AB888" s="55"/>
      <c r="AC888" s="55"/>
      <c r="AD888" s="55"/>
      <c r="AE888" s="55"/>
      <c r="AF888" s="55"/>
      <c r="AG888" s="55"/>
      <c r="AH888" s="55"/>
      <c r="AI888" s="55"/>
      <c r="AJ888" s="55"/>
      <c r="AK888" s="55"/>
      <c r="AL888" s="55"/>
      <c r="AM888" s="55"/>
      <c r="AN888" s="55"/>
      <c r="AO888" s="55"/>
      <c r="AP888" s="55"/>
      <c r="AQ888" s="55"/>
      <c r="AR888" s="55"/>
      <c r="AS888" s="55"/>
      <c r="AT888" s="55"/>
      <c r="AU888" s="55"/>
      <c r="AV888" s="55"/>
      <c r="AW888" s="55"/>
      <c r="AX888" s="55"/>
      <c r="AY888" s="55"/>
    </row>
    <row r="889" spans="21:51">
      <c r="U889" s="55"/>
      <c r="V889" s="55"/>
      <c r="W889" s="55"/>
      <c r="X889" s="55"/>
      <c r="Y889" s="55"/>
      <c r="Z889" s="55"/>
      <c r="AA889" s="55"/>
      <c r="AB889" s="55"/>
      <c r="AC889" s="55"/>
      <c r="AD889" s="55"/>
      <c r="AE889" s="55"/>
      <c r="AF889" s="55"/>
      <c r="AG889" s="55"/>
      <c r="AH889" s="55"/>
      <c r="AI889" s="55"/>
      <c r="AJ889" s="55"/>
      <c r="AK889" s="55"/>
      <c r="AL889" s="55"/>
      <c r="AM889" s="55"/>
      <c r="AN889" s="55"/>
      <c r="AO889" s="55"/>
      <c r="AP889" s="55"/>
      <c r="AQ889" s="55"/>
      <c r="AR889" s="55"/>
      <c r="AS889" s="55"/>
      <c r="AT889" s="55"/>
      <c r="AU889" s="55"/>
      <c r="AV889" s="55"/>
      <c r="AW889" s="55"/>
      <c r="AX889" s="55"/>
      <c r="AY889" s="55"/>
    </row>
    <row r="890" spans="21:51">
      <c r="U890" s="55"/>
      <c r="V890" s="55"/>
      <c r="W890" s="55"/>
      <c r="X890" s="55"/>
      <c r="Y890" s="55"/>
      <c r="Z890" s="55"/>
      <c r="AA890" s="55"/>
      <c r="AB890" s="55"/>
      <c r="AC890" s="55"/>
      <c r="AD890" s="55"/>
      <c r="AE890" s="55"/>
      <c r="AF890" s="55"/>
      <c r="AG890" s="55"/>
      <c r="AH890" s="55"/>
      <c r="AI890" s="55"/>
      <c r="AJ890" s="55"/>
      <c r="AK890" s="55"/>
      <c r="AL890" s="55"/>
      <c r="AM890" s="55"/>
      <c r="AN890" s="55"/>
      <c r="AO890" s="55"/>
      <c r="AP890" s="55"/>
      <c r="AQ890" s="55"/>
      <c r="AR890" s="55"/>
      <c r="AS890" s="55"/>
      <c r="AT890" s="55"/>
      <c r="AU890" s="55"/>
      <c r="AV890" s="55"/>
      <c r="AW890" s="55"/>
      <c r="AX890" s="55"/>
      <c r="AY890" s="55"/>
    </row>
    <row r="891" spans="21:51">
      <c r="U891" s="55"/>
      <c r="V891" s="55"/>
      <c r="W891" s="55"/>
      <c r="X891" s="55"/>
      <c r="Y891" s="55"/>
      <c r="Z891" s="55"/>
      <c r="AA891" s="55"/>
      <c r="AB891" s="55"/>
      <c r="AC891" s="55"/>
      <c r="AD891" s="55"/>
      <c r="AE891" s="55"/>
      <c r="AF891" s="55"/>
      <c r="AG891" s="55"/>
      <c r="AH891" s="55"/>
      <c r="AI891" s="55"/>
      <c r="AJ891" s="55"/>
      <c r="AK891" s="55"/>
      <c r="AL891" s="55"/>
      <c r="AM891" s="55"/>
      <c r="AN891" s="55"/>
      <c r="AO891" s="55"/>
      <c r="AP891" s="55"/>
      <c r="AQ891" s="55"/>
      <c r="AR891" s="55"/>
      <c r="AS891" s="55"/>
      <c r="AT891" s="55"/>
      <c r="AU891" s="55"/>
      <c r="AV891" s="55"/>
      <c r="AW891" s="55"/>
      <c r="AX891" s="55"/>
      <c r="AY891" s="55"/>
    </row>
    <row r="892" spans="21:51">
      <c r="U892" s="55"/>
      <c r="V892" s="55"/>
      <c r="W892" s="55"/>
      <c r="X892" s="55"/>
      <c r="Y892" s="55"/>
      <c r="Z892" s="55"/>
      <c r="AA892" s="55"/>
      <c r="AB892" s="55"/>
      <c r="AC892" s="55"/>
      <c r="AD892" s="55"/>
      <c r="AE892" s="55"/>
      <c r="AF892" s="55"/>
      <c r="AG892" s="55"/>
      <c r="AH892" s="55"/>
      <c r="AI892" s="55"/>
      <c r="AJ892" s="55"/>
      <c r="AK892" s="55"/>
      <c r="AL892" s="55"/>
      <c r="AM892" s="55"/>
      <c r="AN892" s="55"/>
      <c r="AO892" s="55"/>
      <c r="AP892" s="55"/>
      <c r="AQ892" s="55"/>
      <c r="AR892" s="55"/>
      <c r="AS892" s="55"/>
      <c r="AT892" s="55"/>
      <c r="AU892" s="55"/>
      <c r="AV892" s="55"/>
      <c r="AW892" s="55"/>
      <c r="AX892" s="55"/>
      <c r="AY892" s="55"/>
    </row>
    <row r="893" spans="21:51">
      <c r="U893" s="55"/>
      <c r="V893" s="55"/>
      <c r="W893" s="55"/>
      <c r="X893" s="55"/>
      <c r="Y893" s="55"/>
      <c r="Z893" s="55"/>
      <c r="AA893" s="55"/>
      <c r="AB893" s="55"/>
      <c r="AC893" s="55"/>
      <c r="AD893" s="55"/>
      <c r="AE893" s="55"/>
      <c r="AF893" s="55"/>
      <c r="AG893" s="55"/>
      <c r="AH893" s="55"/>
      <c r="AI893" s="55"/>
      <c r="AJ893" s="55"/>
      <c r="AK893" s="55"/>
      <c r="AL893" s="55"/>
      <c r="AM893" s="55"/>
      <c r="AN893" s="55"/>
      <c r="AO893" s="55"/>
      <c r="AP893" s="55"/>
      <c r="AQ893" s="55"/>
      <c r="AR893" s="55"/>
      <c r="AS893" s="55"/>
      <c r="AT893" s="55"/>
      <c r="AU893" s="55"/>
      <c r="AV893" s="55"/>
      <c r="AW893" s="55"/>
      <c r="AX893" s="55"/>
      <c r="AY893" s="55"/>
    </row>
    <row r="894" spans="21:51">
      <c r="U894" s="55"/>
      <c r="V894" s="55"/>
      <c r="W894" s="55"/>
      <c r="X894" s="55"/>
      <c r="Y894" s="55"/>
      <c r="Z894" s="55"/>
      <c r="AA894" s="55"/>
      <c r="AB894" s="55"/>
      <c r="AC894" s="55"/>
      <c r="AD894" s="55"/>
      <c r="AE894" s="55"/>
      <c r="AF894" s="55"/>
      <c r="AG894" s="55"/>
      <c r="AH894" s="55"/>
      <c r="AI894" s="55"/>
      <c r="AJ894" s="55"/>
      <c r="AK894" s="55"/>
      <c r="AL894" s="55"/>
      <c r="AM894" s="55"/>
      <c r="AN894" s="55"/>
      <c r="AO894" s="55"/>
      <c r="AP894" s="55"/>
      <c r="AQ894" s="55"/>
      <c r="AR894" s="55"/>
      <c r="AS894" s="55"/>
      <c r="AT894" s="55"/>
      <c r="AU894" s="55"/>
      <c r="AV894" s="55"/>
      <c r="AW894" s="55"/>
      <c r="AX894" s="55"/>
      <c r="AY894" s="55"/>
    </row>
    <row r="895" spans="21:51">
      <c r="U895" s="55"/>
      <c r="V895" s="55"/>
      <c r="W895" s="55"/>
      <c r="X895" s="55"/>
      <c r="Y895" s="55"/>
      <c r="Z895" s="55"/>
      <c r="AA895" s="55"/>
      <c r="AB895" s="55"/>
      <c r="AC895" s="55"/>
      <c r="AD895" s="55"/>
      <c r="AE895" s="55"/>
      <c r="AF895" s="55"/>
      <c r="AG895" s="55"/>
      <c r="AH895" s="55"/>
      <c r="AI895" s="55"/>
      <c r="AJ895" s="55"/>
      <c r="AK895" s="55"/>
      <c r="AL895" s="55"/>
      <c r="AM895" s="55"/>
      <c r="AN895" s="55"/>
      <c r="AO895" s="55"/>
      <c r="AP895" s="55"/>
      <c r="AQ895" s="55"/>
      <c r="AR895" s="55"/>
      <c r="AS895" s="55"/>
      <c r="AT895" s="55"/>
      <c r="AU895" s="55"/>
      <c r="AV895" s="55"/>
      <c r="AW895" s="55"/>
      <c r="AX895" s="55"/>
      <c r="AY895" s="55"/>
    </row>
    <row r="896" spans="21:51">
      <c r="U896" s="55"/>
      <c r="V896" s="55"/>
      <c r="W896" s="55"/>
      <c r="X896" s="55"/>
      <c r="Y896" s="55"/>
      <c r="Z896" s="55"/>
      <c r="AA896" s="55"/>
      <c r="AB896" s="55"/>
      <c r="AC896" s="55"/>
      <c r="AD896" s="55"/>
      <c r="AE896" s="55"/>
      <c r="AF896" s="55"/>
      <c r="AG896" s="55"/>
      <c r="AH896" s="55"/>
      <c r="AI896" s="55"/>
      <c r="AJ896" s="55"/>
      <c r="AK896" s="55"/>
      <c r="AL896" s="55"/>
      <c r="AM896" s="55"/>
      <c r="AN896" s="55"/>
      <c r="AO896" s="55"/>
      <c r="AP896" s="55"/>
      <c r="AQ896" s="55"/>
      <c r="AR896" s="55"/>
      <c r="AS896" s="55"/>
      <c r="AT896" s="55"/>
      <c r="AU896" s="55"/>
      <c r="AV896" s="55"/>
      <c r="AW896" s="55"/>
      <c r="AX896" s="55"/>
      <c r="AY896" s="55"/>
    </row>
    <row r="897" spans="21:51">
      <c r="U897" s="55"/>
      <c r="V897" s="55"/>
      <c r="W897" s="55"/>
      <c r="X897" s="55"/>
      <c r="Y897" s="55"/>
      <c r="Z897" s="55"/>
      <c r="AA897" s="55"/>
      <c r="AB897" s="55"/>
      <c r="AC897" s="55"/>
      <c r="AD897" s="55"/>
      <c r="AE897" s="55"/>
      <c r="AF897" s="55"/>
      <c r="AG897" s="55"/>
      <c r="AH897" s="55"/>
      <c r="AI897" s="55"/>
      <c r="AJ897" s="55"/>
      <c r="AK897" s="55"/>
      <c r="AL897" s="55"/>
      <c r="AM897" s="55"/>
      <c r="AN897" s="55"/>
      <c r="AO897" s="55"/>
      <c r="AP897" s="55"/>
      <c r="AQ897" s="55"/>
      <c r="AR897" s="55"/>
      <c r="AS897" s="55"/>
      <c r="AT897" s="55"/>
      <c r="AU897" s="55"/>
      <c r="AV897" s="55"/>
      <c r="AW897" s="55"/>
      <c r="AX897" s="55"/>
      <c r="AY897" s="55"/>
    </row>
    <row r="898" spans="21:51">
      <c r="U898" s="55"/>
      <c r="V898" s="55"/>
      <c r="W898" s="55"/>
      <c r="X898" s="55"/>
      <c r="Y898" s="55"/>
      <c r="Z898" s="55"/>
      <c r="AA898" s="55"/>
      <c r="AB898" s="55"/>
      <c r="AC898" s="55"/>
      <c r="AD898" s="55"/>
      <c r="AE898" s="55"/>
      <c r="AF898" s="55"/>
      <c r="AG898" s="55"/>
      <c r="AH898" s="55"/>
      <c r="AI898" s="55"/>
      <c r="AJ898" s="55"/>
      <c r="AK898" s="55"/>
      <c r="AL898" s="55"/>
      <c r="AM898" s="55"/>
      <c r="AN898" s="55"/>
      <c r="AO898" s="55"/>
      <c r="AP898" s="55"/>
      <c r="AQ898" s="55"/>
      <c r="AR898" s="55"/>
      <c r="AS898" s="55"/>
      <c r="AT898" s="55"/>
      <c r="AU898" s="55"/>
      <c r="AV898" s="55"/>
      <c r="AW898" s="55"/>
      <c r="AX898" s="55"/>
      <c r="AY898" s="55"/>
    </row>
    <row r="899" spans="21:51">
      <c r="U899" s="55"/>
      <c r="V899" s="55"/>
      <c r="W899" s="55"/>
      <c r="X899" s="55"/>
      <c r="Y899" s="55"/>
      <c r="Z899" s="55"/>
      <c r="AA899" s="55"/>
      <c r="AB899" s="55"/>
      <c r="AC899" s="55"/>
      <c r="AD899" s="55"/>
      <c r="AE899" s="55"/>
      <c r="AF899" s="55"/>
      <c r="AG899" s="55"/>
      <c r="AH899" s="55"/>
      <c r="AI899" s="55"/>
      <c r="AJ899" s="55"/>
      <c r="AK899" s="55"/>
      <c r="AL899" s="55"/>
      <c r="AM899" s="55"/>
      <c r="AN899" s="55"/>
      <c r="AO899" s="55"/>
      <c r="AP899" s="55"/>
      <c r="AQ899" s="55"/>
      <c r="AR899" s="55"/>
      <c r="AS899" s="55"/>
      <c r="AT899" s="55"/>
      <c r="AU899" s="55"/>
      <c r="AV899" s="55"/>
      <c r="AW899" s="55"/>
      <c r="AX899" s="55"/>
      <c r="AY899" s="55"/>
    </row>
    <row r="900" spans="21:51">
      <c r="U900" s="55"/>
      <c r="V900" s="55"/>
      <c r="W900" s="55"/>
      <c r="X900" s="55"/>
      <c r="Y900" s="55"/>
      <c r="Z900" s="55"/>
      <c r="AA900" s="55"/>
      <c r="AB900" s="55"/>
      <c r="AC900" s="55"/>
      <c r="AD900" s="55"/>
      <c r="AE900" s="55"/>
      <c r="AF900" s="55"/>
      <c r="AG900" s="55"/>
      <c r="AH900" s="55"/>
      <c r="AI900" s="55"/>
      <c r="AJ900" s="55"/>
      <c r="AK900" s="55"/>
      <c r="AL900" s="55"/>
      <c r="AM900" s="55"/>
      <c r="AN900" s="55"/>
      <c r="AO900" s="55"/>
      <c r="AP900" s="55"/>
      <c r="AQ900" s="55"/>
      <c r="AR900" s="55"/>
      <c r="AS900" s="55"/>
      <c r="AT900" s="55"/>
      <c r="AU900" s="55"/>
      <c r="AV900" s="55"/>
      <c r="AW900" s="55"/>
      <c r="AX900" s="55"/>
      <c r="AY900" s="55"/>
    </row>
    <row r="901" spans="21:51">
      <c r="U901" s="55"/>
      <c r="V901" s="55"/>
      <c r="W901" s="55"/>
      <c r="X901" s="55"/>
      <c r="Y901" s="55"/>
      <c r="Z901" s="55"/>
      <c r="AA901" s="55"/>
      <c r="AB901" s="55"/>
      <c r="AC901" s="55"/>
      <c r="AD901" s="55"/>
      <c r="AE901" s="55"/>
      <c r="AF901" s="55"/>
      <c r="AG901" s="55"/>
      <c r="AH901" s="55"/>
      <c r="AI901" s="55"/>
      <c r="AJ901" s="55"/>
      <c r="AK901" s="55"/>
      <c r="AL901" s="55"/>
      <c r="AM901" s="55"/>
      <c r="AN901" s="55"/>
      <c r="AO901" s="55"/>
      <c r="AP901" s="55"/>
      <c r="AQ901" s="55"/>
      <c r="AR901" s="55"/>
      <c r="AS901" s="55"/>
      <c r="AT901" s="55"/>
      <c r="AU901" s="55"/>
      <c r="AV901" s="55"/>
      <c r="AW901" s="55"/>
      <c r="AX901" s="55"/>
      <c r="AY901" s="55"/>
    </row>
    <row r="902" spans="21:51">
      <c r="U902" s="55"/>
      <c r="V902" s="55"/>
      <c r="W902" s="55"/>
      <c r="X902" s="55"/>
      <c r="Y902" s="55"/>
      <c r="Z902" s="55"/>
      <c r="AA902" s="55"/>
      <c r="AB902" s="55"/>
      <c r="AC902" s="55"/>
      <c r="AD902" s="55"/>
      <c r="AE902" s="55"/>
      <c r="AF902" s="55"/>
      <c r="AG902" s="55"/>
      <c r="AH902" s="55"/>
      <c r="AI902" s="55"/>
      <c r="AJ902" s="55"/>
      <c r="AK902" s="55"/>
      <c r="AL902" s="55"/>
      <c r="AM902" s="55"/>
      <c r="AN902" s="55"/>
      <c r="AO902" s="55"/>
      <c r="AP902" s="55"/>
      <c r="AQ902" s="55"/>
      <c r="AR902" s="55"/>
      <c r="AS902" s="55"/>
      <c r="AT902" s="55"/>
      <c r="AU902" s="55"/>
      <c r="AV902" s="55"/>
      <c r="AW902" s="55"/>
      <c r="AX902" s="55"/>
      <c r="AY902" s="55"/>
    </row>
    <row r="903" spans="21:51">
      <c r="U903" s="55"/>
      <c r="V903" s="55"/>
      <c r="W903" s="55"/>
      <c r="X903" s="55"/>
      <c r="Y903" s="55"/>
      <c r="Z903" s="55"/>
      <c r="AA903" s="55"/>
      <c r="AB903" s="55"/>
      <c r="AC903" s="55"/>
      <c r="AD903" s="55"/>
      <c r="AE903" s="55"/>
      <c r="AF903" s="55"/>
      <c r="AG903" s="55"/>
      <c r="AH903" s="55"/>
      <c r="AI903" s="55"/>
      <c r="AJ903" s="55"/>
      <c r="AK903" s="55"/>
      <c r="AL903" s="55"/>
      <c r="AM903" s="55"/>
      <c r="AN903" s="55"/>
      <c r="AO903" s="55"/>
      <c r="AP903" s="55"/>
      <c r="AQ903" s="55"/>
      <c r="AR903" s="55"/>
      <c r="AS903" s="55"/>
      <c r="AT903" s="55"/>
      <c r="AU903" s="55"/>
      <c r="AV903" s="55"/>
      <c r="AW903" s="55"/>
      <c r="AX903" s="55"/>
      <c r="AY903" s="55"/>
    </row>
    <row r="904" spans="21:51">
      <c r="U904" s="55"/>
      <c r="V904" s="55"/>
      <c r="W904" s="55"/>
      <c r="X904" s="55"/>
      <c r="Y904" s="55"/>
      <c r="Z904" s="55"/>
      <c r="AA904" s="55"/>
      <c r="AB904" s="55"/>
      <c r="AC904" s="55"/>
      <c r="AD904" s="55"/>
      <c r="AE904" s="55"/>
      <c r="AF904" s="55"/>
      <c r="AG904" s="55"/>
      <c r="AH904" s="55"/>
      <c r="AI904" s="55"/>
      <c r="AJ904" s="55"/>
      <c r="AK904" s="55"/>
      <c r="AL904" s="55"/>
      <c r="AM904" s="55"/>
      <c r="AN904" s="55"/>
      <c r="AO904" s="55"/>
      <c r="AP904" s="55"/>
      <c r="AQ904" s="55"/>
      <c r="AR904" s="55"/>
      <c r="AS904" s="55"/>
      <c r="AT904" s="55"/>
      <c r="AU904" s="55"/>
      <c r="AV904" s="55"/>
      <c r="AW904" s="55"/>
      <c r="AX904" s="55"/>
      <c r="AY904" s="55"/>
    </row>
    <row r="905" spans="21:51">
      <c r="U905" s="55"/>
      <c r="V905" s="55"/>
      <c r="W905" s="55"/>
      <c r="X905" s="55"/>
      <c r="Y905" s="55"/>
      <c r="Z905" s="55"/>
      <c r="AA905" s="55"/>
      <c r="AB905" s="55"/>
      <c r="AC905" s="55"/>
      <c r="AD905" s="55"/>
      <c r="AE905" s="55"/>
      <c r="AF905" s="55"/>
      <c r="AG905" s="55"/>
      <c r="AH905" s="55"/>
      <c r="AI905" s="55"/>
      <c r="AJ905" s="55"/>
      <c r="AK905" s="55"/>
      <c r="AL905" s="55"/>
      <c r="AM905" s="55"/>
      <c r="AN905" s="55"/>
      <c r="AO905" s="55"/>
      <c r="AP905" s="55"/>
      <c r="AQ905" s="55"/>
      <c r="AR905" s="55"/>
      <c r="AS905" s="55"/>
      <c r="AT905" s="55"/>
      <c r="AU905" s="55"/>
      <c r="AV905" s="55"/>
      <c r="AW905" s="55"/>
      <c r="AX905" s="55"/>
      <c r="AY905" s="55"/>
    </row>
    <row r="906" spans="21:51">
      <c r="U906" s="55"/>
      <c r="V906" s="55"/>
      <c r="W906" s="55"/>
      <c r="X906" s="55"/>
      <c r="Y906" s="55"/>
      <c r="Z906" s="55"/>
      <c r="AA906" s="55"/>
      <c r="AB906" s="55"/>
      <c r="AC906" s="55"/>
      <c r="AD906" s="55"/>
      <c r="AE906" s="55"/>
      <c r="AF906" s="55"/>
      <c r="AG906" s="55"/>
      <c r="AH906" s="55"/>
      <c r="AI906" s="55"/>
      <c r="AJ906" s="55"/>
      <c r="AK906" s="55"/>
      <c r="AL906" s="55"/>
      <c r="AM906" s="55"/>
      <c r="AN906" s="55"/>
      <c r="AO906" s="55"/>
      <c r="AP906" s="55"/>
      <c r="AQ906" s="55"/>
      <c r="AR906" s="55"/>
      <c r="AS906" s="55"/>
      <c r="AT906" s="55"/>
      <c r="AU906" s="55"/>
      <c r="AV906" s="55"/>
      <c r="AW906" s="55"/>
      <c r="AX906" s="55"/>
      <c r="AY906" s="55"/>
    </row>
    <row r="907" spans="21:51">
      <c r="U907" s="55"/>
      <c r="V907" s="55"/>
      <c r="W907" s="55"/>
      <c r="X907" s="55"/>
      <c r="Y907" s="55"/>
      <c r="Z907" s="55"/>
      <c r="AA907" s="55"/>
      <c r="AB907" s="55"/>
      <c r="AC907" s="55"/>
      <c r="AD907" s="55"/>
      <c r="AE907" s="55"/>
      <c r="AF907" s="55"/>
      <c r="AG907" s="55"/>
      <c r="AH907" s="55"/>
      <c r="AI907" s="55"/>
      <c r="AJ907" s="55"/>
      <c r="AK907" s="55"/>
      <c r="AL907" s="55"/>
      <c r="AM907" s="55"/>
      <c r="AN907" s="55"/>
      <c r="AO907" s="55"/>
      <c r="AP907" s="55"/>
      <c r="AQ907" s="55"/>
      <c r="AR907" s="55"/>
      <c r="AS907" s="55"/>
      <c r="AT907" s="55"/>
      <c r="AU907" s="55"/>
      <c r="AV907" s="55"/>
      <c r="AW907" s="55"/>
      <c r="AX907" s="55"/>
      <c r="AY907" s="55"/>
    </row>
    <row r="908" spans="21:51">
      <c r="U908" s="55"/>
      <c r="V908" s="55"/>
      <c r="W908" s="55"/>
      <c r="X908" s="55"/>
      <c r="Y908" s="55"/>
      <c r="Z908" s="55"/>
      <c r="AA908" s="55"/>
      <c r="AB908" s="55"/>
      <c r="AC908" s="55"/>
      <c r="AD908" s="55"/>
      <c r="AE908" s="55"/>
      <c r="AF908" s="55"/>
      <c r="AG908" s="55"/>
      <c r="AH908" s="55"/>
      <c r="AI908" s="55"/>
      <c r="AJ908" s="55"/>
      <c r="AK908" s="55"/>
      <c r="AL908" s="55"/>
      <c r="AM908" s="55"/>
      <c r="AN908" s="55"/>
      <c r="AO908" s="55"/>
      <c r="AP908" s="55"/>
      <c r="AQ908" s="55"/>
      <c r="AR908" s="55"/>
      <c r="AS908" s="55"/>
      <c r="AT908" s="55"/>
      <c r="AU908" s="55"/>
      <c r="AV908" s="55"/>
      <c r="AW908" s="55"/>
      <c r="AX908" s="55"/>
      <c r="AY908" s="55"/>
    </row>
    <row r="909" spans="21:51">
      <c r="U909" s="55"/>
      <c r="V909" s="55"/>
      <c r="W909" s="55"/>
      <c r="X909" s="55"/>
      <c r="Y909" s="55"/>
      <c r="Z909" s="55"/>
      <c r="AA909" s="55"/>
      <c r="AB909" s="55"/>
      <c r="AC909" s="55"/>
      <c r="AD909" s="55"/>
      <c r="AE909" s="55"/>
      <c r="AF909" s="55"/>
      <c r="AG909" s="55"/>
      <c r="AH909" s="55"/>
      <c r="AI909" s="55"/>
      <c r="AJ909" s="55"/>
      <c r="AK909" s="55"/>
      <c r="AL909" s="55"/>
      <c r="AM909" s="55"/>
      <c r="AN909" s="55"/>
      <c r="AO909" s="55"/>
      <c r="AP909" s="55"/>
      <c r="AQ909" s="55"/>
      <c r="AR909" s="55"/>
      <c r="AS909" s="55"/>
      <c r="AT909" s="55"/>
      <c r="AU909" s="55"/>
      <c r="AV909" s="55"/>
      <c r="AW909" s="55"/>
      <c r="AX909" s="55"/>
      <c r="AY909" s="55"/>
    </row>
    <row r="910" spans="21:51">
      <c r="U910" s="55"/>
      <c r="V910" s="55"/>
      <c r="W910" s="55"/>
      <c r="X910" s="55"/>
      <c r="Y910" s="55"/>
      <c r="Z910" s="55"/>
      <c r="AA910" s="55"/>
      <c r="AB910" s="55"/>
      <c r="AC910" s="55"/>
      <c r="AD910" s="55"/>
      <c r="AE910" s="55"/>
      <c r="AF910" s="55"/>
      <c r="AG910" s="55"/>
      <c r="AH910" s="55"/>
      <c r="AI910" s="55"/>
      <c r="AJ910" s="55"/>
      <c r="AK910" s="55"/>
      <c r="AL910" s="55"/>
      <c r="AM910" s="55"/>
      <c r="AN910" s="55"/>
      <c r="AO910" s="55"/>
      <c r="AP910" s="55"/>
      <c r="AQ910" s="55"/>
      <c r="AR910" s="55"/>
      <c r="AS910" s="55"/>
      <c r="AT910" s="55"/>
      <c r="AU910" s="55"/>
      <c r="AV910" s="55"/>
      <c r="AW910" s="55"/>
      <c r="AX910" s="55"/>
      <c r="AY910" s="55"/>
    </row>
    <row r="911" spans="21:51">
      <c r="U911" s="55"/>
      <c r="V911" s="55"/>
      <c r="W911" s="55"/>
      <c r="X911" s="55"/>
      <c r="Y911" s="55"/>
      <c r="Z911" s="55"/>
      <c r="AA911" s="55"/>
      <c r="AB911" s="55"/>
      <c r="AC911" s="55"/>
      <c r="AD911" s="55"/>
      <c r="AE911" s="55"/>
      <c r="AF911" s="55"/>
      <c r="AG911" s="55"/>
      <c r="AH911" s="55"/>
      <c r="AI911" s="55"/>
      <c r="AJ911" s="55"/>
      <c r="AK911" s="55"/>
      <c r="AL911" s="55"/>
      <c r="AM911" s="55"/>
      <c r="AN911" s="55"/>
      <c r="AO911" s="55"/>
      <c r="AP911" s="55"/>
      <c r="AQ911" s="55"/>
      <c r="AR911" s="55"/>
      <c r="AS911" s="55"/>
      <c r="AT911" s="55"/>
      <c r="AU911" s="55"/>
      <c r="AV911" s="55"/>
      <c r="AW911" s="55"/>
      <c r="AX911" s="55"/>
      <c r="AY911" s="55"/>
    </row>
    <row r="912" spans="21:51">
      <c r="U912" s="55"/>
      <c r="V912" s="55"/>
      <c r="W912" s="55"/>
      <c r="X912" s="55"/>
      <c r="Y912" s="55"/>
      <c r="Z912" s="55"/>
      <c r="AA912" s="55"/>
      <c r="AB912" s="55"/>
      <c r="AC912" s="55"/>
      <c r="AD912" s="55"/>
      <c r="AE912" s="55"/>
      <c r="AF912" s="55"/>
      <c r="AG912" s="55"/>
      <c r="AH912" s="55"/>
      <c r="AI912" s="55"/>
      <c r="AJ912" s="55"/>
      <c r="AK912" s="55"/>
      <c r="AL912" s="55"/>
      <c r="AM912" s="55"/>
      <c r="AN912" s="55"/>
      <c r="AO912" s="55"/>
      <c r="AP912" s="55"/>
      <c r="AQ912" s="55"/>
      <c r="AR912" s="55"/>
      <c r="AS912" s="55"/>
      <c r="AT912" s="55"/>
      <c r="AU912" s="55"/>
      <c r="AV912" s="55"/>
      <c r="AW912" s="55"/>
      <c r="AX912" s="55"/>
      <c r="AY912" s="55"/>
    </row>
    <row r="913" spans="21:51">
      <c r="U913" s="55"/>
      <c r="V913" s="55"/>
      <c r="W913" s="55"/>
      <c r="X913" s="55"/>
      <c r="Y913" s="55"/>
      <c r="Z913" s="55"/>
      <c r="AA913" s="55"/>
      <c r="AB913" s="55"/>
      <c r="AC913" s="55"/>
      <c r="AD913" s="55"/>
      <c r="AE913" s="55"/>
      <c r="AF913" s="55"/>
      <c r="AG913" s="55"/>
      <c r="AH913" s="55"/>
      <c r="AI913" s="55"/>
      <c r="AJ913" s="55"/>
      <c r="AK913" s="55"/>
      <c r="AL913" s="55"/>
      <c r="AM913" s="55"/>
      <c r="AN913" s="55"/>
      <c r="AO913" s="55"/>
      <c r="AP913" s="55"/>
      <c r="AQ913" s="55"/>
      <c r="AR913" s="55"/>
      <c r="AS913" s="55"/>
      <c r="AT913" s="55"/>
      <c r="AU913" s="55"/>
      <c r="AV913" s="55"/>
      <c r="AW913" s="55"/>
      <c r="AX913" s="55"/>
      <c r="AY913" s="55"/>
    </row>
    <row r="914" spans="21:51">
      <c r="U914" s="55"/>
      <c r="V914" s="55"/>
      <c r="W914" s="55"/>
      <c r="X914" s="55"/>
      <c r="Y914" s="55"/>
      <c r="Z914" s="55"/>
      <c r="AA914" s="55"/>
      <c r="AB914" s="55"/>
      <c r="AC914" s="55"/>
      <c r="AD914" s="55"/>
      <c r="AE914" s="55"/>
      <c r="AF914" s="55"/>
      <c r="AG914" s="55"/>
      <c r="AH914" s="55"/>
      <c r="AI914" s="55"/>
      <c r="AJ914" s="55"/>
      <c r="AK914" s="55"/>
      <c r="AL914" s="55"/>
      <c r="AM914" s="55"/>
      <c r="AN914" s="55"/>
      <c r="AO914" s="55"/>
      <c r="AP914" s="55"/>
      <c r="AQ914" s="55"/>
      <c r="AR914" s="55"/>
      <c r="AS914" s="55"/>
      <c r="AT914" s="55"/>
      <c r="AU914" s="55"/>
      <c r="AV914" s="55"/>
      <c r="AW914" s="55"/>
      <c r="AX914" s="55"/>
      <c r="AY914" s="55"/>
    </row>
    <row r="915" spans="21:51">
      <c r="U915" s="55"/>
      <c r="V915" s="55"/>
      <c r="W915" s="55"/>
      <c r="X915" s="55"/>
      <c r="Y915" s="55"/>
      <c r="Z915" s="55"/>
      <c r="AA915" s="55"/>
      <c r="AB915" s="55"/>
      <c r="AC915" s="55"/>
      <c r="AD915" s="55"/>
      <c r="AE915" s="55"/>
      <c r="AF915" s="55"/>
      <c r="AG915" s="55"/>
      <c r="AH915" s="55"/>
      <c r="AI915" s="55"/>
      <c r="AJ915" s="55"/>
      <c r="AK915" s="55"/>
      <c r="AL915" s="55"/>
      <c r="AM915" s="55"/>
      <c r="AN915" s="55"/>
      <c r="AO915" s="55"/>
      <c r="AP915" s="55"/>
      <c r="AQ915" s="55"/>
      <c r="AR915" s="55"/>
      <c r="AS915" s="55"/>
      <c r="AT915" s="55"/>
      <c r="AU915" s="55"/>
      <c r="AV915" s="55"/>
      <c r="AW915" s="55"/>
      <c r="AX915" s="55"/>
      <c r="AY915" s="55"/>
    </row>
    <row r="916" spans="21:51">
      <c r="U916" s="55"/>
      <c r="V916" s="55"/>
      <c r="W916" s="55"/>
      <c r="X916" s="55"/>
      <c r="Y916" s="55"/>
      <c r="Z916" s="55"/>
      <c r="AA916" s="55"/>
      <c r="AB916" s="55"/>
      <c r="AC916" s="55"/>
      <c r="AD916" s="55"/>
      <c r="AE916" s="55"/>
      <c r="AF916" s="55"/>
      <c r="AG916" s="55"/>
      <c r="AH916" s="55"/>
      <c r="AI916" s="55"/>
      <c r="AJ916" s="55"/>
      <c r="AK916" s="55"/>
      <c r="AL916" s="55"/>
      <c r="AM916" s="55"/>
      <c r="AN916" s="55"/>
      <c r="AO916" s="55"/>
      <c r="AP916" s="55"/>
      <c r="AQ916" s="55"/>
      <c r="AR916" s="55"/>
      <c r="AS916" s="55"/>
      <c r="AT916" s="55"/>
      <c r="AU916" s="55"/>
      <c r="AV916" s="55"/>
      <c r="AW916" s="55"/>
      <c r="AX916" s="55"/>
      <c r="AY916" s="55"/>
    </row>
    <row r="917" spans="21:51">
      <c r="U917" s="55"/>
      <c r="V917" s="55"/>
      <c r="W917" s="55"/>
      <c r="X917" s="55"/>
      <c r="Y917" s="55"/>
      <c r="Z917" s="55"/>
      <c r="AA917" s="55"/>
      <c r="AB917" s="55"/>
      <c r="AC917" s="55"/>
      <c r="AD917" s="55"/>
      <c r="AE917" s="55"/>
      <c r="AF917" s="55"/>
      <c r="AG917" s="55"/>
      <c r="AH917" s="55"/>
      <c r="AI917" s="55"/>
      <c r="AJ917" s="55"/>
      <c r="AK917" s="55"/>
      <c r="AL917" s="55"/>
      <c r="AM917" s="55"/>
      <c r="AN917" s="55"/>
      <c r="AO917" s="55"/>
      <c r="AP917" s="55"/>
      <c r="AQ917" s="55"/>
      <c r="AR917" s="55"/>
      <c r="AS917" s="55"/>
      <c r="AT917" s="55"/>
      <c r="AU917" s="55"/>
      <c r="AV917" s="55"/>
      <c r="AW917" s="55"/>
      <c r="AX917" s="55"/>
      <c r="AY917" s="55"/>
    </row>
    <row r="918" spans="21:51">
      <c r="U918" s="55"/>
      <c r="V918" s="55"/>
      <c r="W918" s="55"/>
      <c r="X918" s="55"/>
      <c r="Y918" s="55"/>
      <c r="Z918" s="55"/>
      <c r="AA918" s="55"/>
      <c r="AB918" s="55"/>
      <c r="AC918" s="55"/>
      <c r="AD918" s="55"/>
      <c r="AE918" s="55"/>
      <c r="AF918" s="55"/>
      <c r="AG918" s="55"/>
      <c r="AH918" s="55"/>
      <c r="AI918" s="55"/>
      <c r="AJ918" s="55"/>
      <c r="AK918" s="55"/>
      <c r="AL918" s="55"/>
      <c r="AM918" s="55"/>
      <c r="AN918" s="55"/>
      <c r="AO918" s="55"/>
      <c r="AP918" s="55"/>
      <c r="AQ918" s="55"/>
      <c r="AR918" s="55"/>
      <c r="AS918" s="55"/>
      <c r="AT918" s="55"/>
      <c r="AU918" s="55"/>
      <c r="AV918" s="55"/>
      <c r="AW918" s="55"/>
      <c r="AX918" s="55"/>
      <c r="AY918" s="55"/>
    </row>
    <row r="919" spans="21:51">
      <c r="U919" s="55"/>
      <c r="V919" s="55"/>
      <c r="W919" s="55"/>
      <c r="X919" s="55"/>
      <c r="Y919" s="55"/>
      <c r="Z919" s="55"/>
      <c r="AA919" s="55"/>
      <c r="AB919" s="55"/>
      <c r="AC919" s="55"/>
      <c r="AD919" s="55"/>
      <c r="AE919" s="55"/>
      <c r="AF919" s="55"/>
      <c r="AG919" s="55"/>
      <c r="AH919" s="55"/>
      <c r="AI919" s="55"/>
      <c r="AJ919" s="55"/>
      <c r="AK919" s="55"/>
      <c r="AL919" s="55"/>
      <c r="AM919" s="55"/>
      <c r="AN919" s="55"/>
      <c r="AO919" s="55"/>
      <c r="AP919" s="55"/>
      <c r="AQ919" s="55"/>
      <c r="AR919" s="55"/>
      <c r="AS919" s="55"/>
      <c r="AT919" s="55"/>
      <c r="AU919" s="55"/>
      <c r="AV919" s="55"/>
      <c r="AW919" s="55"/>
      <c r="AX919" s="55"/>
      <c r="AY919" s="55"/>
    </row>
    <row r="920" spans="21:51">
      <c r="U920" s="55"/>
      <c r="V920" s="55"/>
      <c r="W920" s="55"/>
      <c r="X920" s="55"/>
      <c r="Y920" s="55"/>
      <c r="Z920" s="55"/>
      <c r="AA920" s="55"/>
      <c r="AB920" s="55"/>
      <c r="AC920" s="55"/>
      <c r="AD920" s="55"/>
      <c r="AE920" s="55"/>
      <c r="AF920" s="55"/>
      <c r="AG920" s="55"/>
      <c r="AH920" s="55"/>
      <c r="AI920" s="55"/>
      <c r="AJ920" s="55"/>
      <c r="AK920" s="55"/>
      <c r="AL920" s="55"/>
      <c r="AM920" s="55"/>
      <c r="AN920" s="55"/>
      <c r="AO920" s="55"/>
      <c r="AP920" s="55"/>
      <c r="AQ920" s="55"/>
      <c r="AR920" s="55"/>
      <c r="AS920" s="55"/>
      <c r="AT920" s="55"/>
      <c r="AU920" s="55"/>
      <c r="AV920" s="55"/>
      <c r="AW920" s="55"/>
      <c r="AX920" s="55"/>
      <c r="AY920" s="55"/>
    </row>
    <row r="921" spans="21:51">
      <c r="U921" s="55"/>
      <c r="V921" s="55"/>
      <c r="W921" s="55"/>
      <c r="X921" s="55"/>
      <c r="Y921" s="55"/>
      <c r="Z921" s="55"/>
      <c r="AA921" s="55"/>
      <c r="AB921" s="55"/>
      <c r="AC921" s="55"/>
      <c r="AD921" s="55"/>
      <c r="AE921" s="55"/>
      <c r="AF921" s="55"/>
      <c r="AG921" s="55"/>
      <c r="AH921" s="55"/>
      <c r="AI921" s="55"/>
      <c r="AJ921" s="55"/>
      <c r="AK921" s="55"/>
      <c r="AL921" s="55"/>
      <c r="AM921" s="55"/>
      <c r="AN921" s="55"/>
      <c r="AO921" s="55"/>
      <c r="AP921" s="55"/>
      <c r="AQ921" s="55"/>
      <c r="AR921" s="55"/>
      <c r="AS921" s="55"/>
      <c r="AT921" s="55"/>
      <c r="AU921" s="55"/>
      <c r="AV921" s="55"/>
      <c r="AW921" s="55"/>
      <c r="AX921" s="55"/>
      <c r="AY921" s="55"/>
    </row>
    <row r="922" spans="21:51">
      <c r="U922" s="55"/>
      <c r="V922" s="55"/>
      <c r="W922" s="55"/>
      <c r="X922" s="55"/>
      <c r="Y922" s="55"/>
      <c r="Z922" s="55"/>
      <c r="AA922" s="55"/>
      <c r="AB922" s="55"/>
      <c r="AC922" s="55"/>
      <c r="AD922" s="55"/>
      <c r="AE922" s="55"/>
      <c r="AF922" s="55"/>
      <c r="AG922" s="55"/>
      <c r="AH922" s="55"/>
      <c r="AI922" s="55"/>
      <c r="AJ922" s="55"/>
      <c r="AK922" s="55"/>
      <c r="AL922" s="55"/>
      <c r="AM922" s="55"/>
      <c r="AN922" s="55"/>
      <c r="AO922" s="55"/>
      <c r="AP922" s="55"/>
      <c r="AQ922" s="55"/>
      <c r="AR922" s="55"/>
      <c r="AS922" s="55"/>
      <c r="AT922" s="55"/>
      <c r="AU922" s="55"/>
      <c r="AV922" s="55"/>
      <c r="AW922" s="55"/>
      <c r="AX922" s="55"/>
      <c r="AY922" s="55"/>
    </row>
    <row r="923" spans="21:51">
      <c r="U923" s="55"/>
      <c r="V923" s="55"/>
      <c r="W923" s="55"/>
      <c r="X923" s="55"/>
      <c r="Y923" s="55"/>
      <c r="Z923" s="55"/>
      <c r="AA923" s="55"/>
      <c r="AB923" s="55"/>
      <c r="AC923" s="55"/>
      <c r="AD923" s="55"/>
      <c r="AE923" s="55"/>
      <c r="AF923" s="55"/>
      <c r="AG923" s="55"/>
      <c r="AH923" s="55"/>
      <c r="AI923" s="55"/>
      <c r="AJ923" s="55"/>
      <c r="AK923" s="55"/>
      <c r="AL923" s="55"/>
      <c r="AM923" s="55"/>
      <c r="AN923" s="55"/>
      <c r="AO923" s="55"/>
      <c r="AP923" s="55"/>
      <c r="AQ923" s="55"/>
      <c r="AR923" s="55"/>
      <c r="AS923" s="55"/>
      <c r="AT923" s="55"/>
      <c r="AU923" s="55"/>
      <c r="AV923" s="55"/>
      <c r="AW923" s="55"/>
      <c r="AX923" s="55"/>
      <c r="AY923" s="55"/>
    </row>
    <row r="924" spans="21:51">
      <c r="U924" s="55"/>
      <c r="V924" s="55"/>
      <c r="W924" s="55"/>
      <c r="X924" s="55"/>
      <c r="Y924" s="55"/>
      <c r="Z924" s="55"/>
      <c r="AA924" s="55"/>
      <c r="AB924" s="55"/>
      <c r="AC924" s="55"/>
      <c r="AD924" s="55"/>
      <c r="AE924" s="55"/>
      <c r="AF924" s="55"/>
      <c r="AG924" s="55"/>
      <c r="AH924" s="55"/>
      <c r="AI924" s="55"/>
      <c r="AJ924" s="55"/>
      <c r="AK924" s="55"/>
      <c r="AL924" s="55"/>
      <c r="AM924" s="55"/>
      <c r="AN924" s="55"/>
      <c r="AO924" s="55"/>
      <c r="AP924" s="55"/>
      <c r="AQ924" s="55"/>
      <c r="AR924" s="55"/>
      <c r="AS924" s="55"/>
      <c r="AT924" s="55"/>
      <c r="AU924" s="55"/>
      <c r="AV924" s="55"/>
      <c r="AW924" s="55"/>
      <c r="AX924" s="55"/>
      <c r="AY924" s="55"/>
    </row>
    <row r="925" spans="21:51">
      <c r="U925" s="55"/>
      <c r="V925" s="55"/>
      <c r="W925" s="55"/>
      <c r="X925" s="55"/>
      <c r="Y925" s="55"/>
      <c r="Z925" s="55"/>
      <c r="AA925" s="55"/>
      <c r="AB925" s="55"/>
      <c r="AC925" s="55"/>
      <c r="AD925" s="55"/>
      <c r="AE925" s="55"/>
      <c r="AF925" s="55"/>
      <c r="AG925" s="55"/>
      <c r="AH925" s="55"/>
      <c r="AI925" s="55"/>
      <c r="AJ925" s="55"/>
      <c r="AK925" s="55"/>
      <c r="AL925" s="55"/>
      <c r="AM925" s="55"/>
      <c r="AN925" s="55"/>
      <c r="AO925" s="55"/>
      <c r="AP925" s="55"/>
      <c r="AQ925" s="55"/>
      <c r="AR925" s="55"/>
      <c r="AS925" s="55"/>
      <c r="AT925" s="55"/>
      <c r="AU925" s="55"/>
      <c r="AV925" s="55"/>
      <c r="AW925" s="55"/>
      <c r="AX925" s="55"/>
      <c r="AY925" s="55"/>
    </row>
    <row r="926" spans="21:51">
      <c r="U926" s="55"/>
      <c r="V926" s="55"/>
      <c r="W926" s="55"/>
      <c r="X926" s="55"/>
      <c r="Y926" s="55"/>
      <c r="Z926" s="55"/>
      <c r="AA926" s="55"/>
      <c r="AB926" s="55"/>
      <c r="AC926" s="55"/>
      <c r="AD926" s="55"/>
      <c r="AE926" s="55"/>
      <c r="AF926" s="55"/>
      <c r="AG926" s="55"/>
      <c r="AH926" s="55"/>
      <c r="AI926" s="55"/>
      <c r="AJ926" s="55"/>
      <c r="AK926" s="55"/>
      <c r="AL926" s="55"/>
      <c r="AM926" s="55"/>
      <c r="AN926" s="55"/>
      <c r="AO926" s="55"/>
      <c r="AP926" s="55"/>
      <c r="AQ926" s="55"/>
      <c r="AR926" s="55"/>
      <c r="AS926" s="55"/>
      <c r="AT926" s="55"/>
      <c r="AU926" s="55"/>
      <c r="AV926" s="55"/>
      <c r="AW926" s="55"/>
      <c r="AX926" s="55"/>
      <c r="AY926" s="55"/>
    </row>
    <row r="927" spans="21:51">
      <c r="U927" s="55"/>
      <c r="V927" s="55"/>
      <c r="W927" s="55"/>
      <c r="X927" s="55"/>
      <c r="Y927" s="55"/>
      <c r="Z927" s="55"/>
      <c r="AA927" s="55"/>
      <c r="AB927" s="55"/>
      <c r="AC927" s="55"/>
      <c r="AD927" s="55"/>
      <c r="AE927" s="55"/>
      <c r="AF927" s="55"/>
      <c r="AG927" s="55"/>
      <c r="AH927" s="55"/>
      <c r="AI927" s="55"/>
      <c r="AJ927" s="55"/>
      <c r="AK927" s="55"/>
      <c r="AL927" s="55"/>
      <c r="AM927" s="55"/>
      <c r="AN927" s="55"/>
      <c r="AO927" s="55"/>
      <c r="AP927" s="55"/>
      <c r="AQ927" s="55"/>
      <c r="AR927" s="55"/>
      <c r="AS927" s="55"/>
      <c r="AT927" s="55"/>
      <c r="AU927" s="55"/>
      <c r="AV927" s="55"/>
      <c r="AW927" s="55"/>
      <c r="AX927" s="55"/>
      <c r="AY927" s="55"/>
    </row>
    <row r="928" spans="21:51">
      <c r="U928" s="55"/>
      <c r="V928" s="55"/>
      <c r="W928" s="55"/>
      <c r="X928" s="55"/>
      <c r="Y928" s="55"/>
      <c r="Z928" s="55"/>
      <c r="AA928" s="55"/>
      <c r="AB928" s="55"/>
      <c r="AC928" s="55"/>
      <c r="AD928" s="55"/>
      <c r="AE928" s="55"/>
      <c r="AF928" s="55"/>
      <c r="AG928" s="55"/>
      <c r="AH928" s="55"/>
      <c r="AI928" s="55"/>
      <c r="AJ928" s="55"/>
      <c r="AK928" s="55"/>
      <c r="AL928" s="55"/>
      <c r="AM928" s="55"/>
      <c r="AN928" s="55"/>
      <c r="AO928" s="55"/>
      <c r="AP928" s="55"/>
      <c r="AQ928" s="55"/>
      <c r="AR928" s="55"/>
      <c r="AS928" s="55"/>
      <c r="AT928" s="55"/>
      <c r="AU928" s="55"/>
      <c r="AV928" s="55"/>
      <c r="AW928" s="55"/>
      <c r="AX928" s="55"/>
      <c r="AY928" s="55"/>
    </row>
    <row r="929" spans="21:51">
      <c r="U929" s="55"/>
      <c r="V929" s="55"/>
      <c r="W929" s="55"/>
      <c r="X929" s="55"/>
      <c r="Y929" s="55"/>
      <c r="Z929" s="55"/>
      <c r="AA929" s="55"/>
      <c r="AB929" s="55"/>
      <c r="AC929" s="55"/>
      <c r="AD929" s="55"/>
      <c r="AE929" s="55"/>
      <c r="AF929" s="55"/>
      <c r="AG929" s="55"/>
      <c r="AH929" s="55"/>
      <c r="AI929" s="55"/>
      <c r="AJ929" s="55"/>
      <c r="AK929" s="55"/>
      <c r="AL929" s="55"/>
      <c r="AM929" s="55"/>
      <c r="AN929" s="55"/>
      <c r="AO929" s="55"/>
      <c r="AP929" s="55"/>
      <c r="AQ929" s="55"/>
      <c r="AR929" s="55"/>
      <c r="AS929" s="55"/>
      <c r="AT929" s="55"/>
      <c r="AU929" s="55"/>
      <c r="AV929" s="55"/>
      <c r="AW929" s="55"/>
      <c r="AX929" s="55"/>
      <c r="AY929" s="55"/>
    </row>
    <row r="930" spans="21:51">
      <c r="U930" s="55"/>
      <c r="V930" s="55"/>
      <c r="W930" s="55"/>
      <c r="X930" s="55"/>
      <c r="Y930" s="55"/>
      <c r="Z930" s="55"/>
      <c r="AA930" s="55"/>
      <c r="AB930" s="55"/>
      <c r="AC930" s="55"/>
      <c r="AD930" s="55"/>
      <c r="AE930" s="55"/>
      <c r="AF930" s="55"/>
      <c r="AG930" s="55"/>
      <c r="AH930" s="55"/>
      <c r="AI930" s="55"/>
      <c r="AJ930" s="55"/>
      <c r="AK930" s="55"/>
      <c r="AL930" s="55"/>
      <c r="AM930" s="55"/>
      <c r="AN930" s="55"/>
      <c r="AO930" s="55"/>
      <c r="AP930" s="55"/>
      <c r="AQ930" s="55"/>
      <c r="AR930" s="55"/>
      <c r="AS930" s="55"/>
      <c r="AT930" s="55"/>
      <c r="AU930" s="55"/>
      <c r="AV930" s="55"/>
      <c r="AW930" s="55"/>
      <c r="AX930" s="55"/>
      <c r="AY930" s="55"/>
    </row>
    <row r="931" spans="21:51">
      <c r="U931" s="55"/>
      <c r="V931" s="55"/>
      <c r="W931" s="55"/>
      <c r="X931" s="55"/>
      <c r="Y931" s="55"/>
      <c r="Z931" s="55"/>
      <c r="AA931" s="55"/>
      <c r="AB931" s="55"/>
      <c r="AC931" s="55"/>
      <c r="AD931" s="55"/>
      <c r="AE931" s="55"/>
      <c r="AF931" s="55"/>
      <c r="AG931" s="55"/>
      <c r="AH931" s="55"/>
      <c r="AI931" s="55"/>
      <c r="AJ931" s="55"/>
      <c r="AK931" s="55"/>
      <c r="AL931" s="55"/>
      <c r="AM931" s="55"/>
      <c r="AN931" s="55"/>
      <c r="AO931" s="55"/>
      <c r="AP931" s="55"/>
      <c r="AQ931" s="55"/>
      <c r="AR931" s="55"/>
      <c r="AS931" s="55"/>
      <c r="AT931" s="55"/>
      <c r="AU931" s="55"/>
      <c r="AV931" s="55"/>
      <c r="AW931" s="55"/>
      <c r="AX931" s="55"/>
      <c r="AY931" s="55"/>
    </row>
    <row r="932" spans="21:51">
      <c r="U932" s="55"/>
      <c r="V932" s="55"/>
      <c r="W932" s="55"/>
      <c r="X932" s="55"/>
      <c r="Y932" s="55"/>
      <c r="Z932" s="55"/>
      <c r="AA932" s="55"/>
      <c r="AB932" s="55"/>
      <c r="AC932" s="55"/>
      <c r="AD932" s="55"/>
      <c r="AE932" s="55"/>
      <c r="AF932" s="55"/>
      <c r="AG932" s="55"/>
      <c r="AH932" s="55"/>
      <c r="AI932" s="55"/>
      <c r="AJ932" s="55"/>
      <c r="AK932" s="55"/>
      <c r="AL932" s="55"/>
      <c r="AM932" s="55"/>
      <c r="AN932" s="55"/>
      <c r="AO932" s="55"/>
      <c r="AP932" s="55"/>
      <c r="AQ932" s="55"/>
      <c r="AR932" s="55"/>
      <c r="AS932" s="55"/>
      <c r="AT932" s="55"/>
      <c r="AU932" s="55"/>
      <c r="AV932" s="55"/>
      <c r="AW932" s="55"/>
      <c r="AX932" s="55"/>
      <c r="AY932" s="55"/>
    </row>
    <row r="933" spans="21:51">
      <c r="U933" s="55"/>
      <c r="V933" s="55"/>
      <c r="W933" s="55"/>
      <c r="X933" s="55"/>
      <c r="Y933" s="55"/>
      <c r="Z933" s="55"/>
      <c r="AA933" s="55"/>
      <c r="AB933" s="55"/>
      <c r="AC933" s="55"/>
      <c r="AD933" s="55"/>
      <c r="AE933" s="55"/>
      <c r="AF933" s="55"/>
      <c r="AG933" s="55"/>
      <c r="AH933" s="55"/>
      <c r="AI933" s="55"/>
      <c r="AJ933" s="55"/>
      <c r="AK933" s="55"/>
      <c r="AL933" s="55"/>
      <c r="AM933" s="55"/>
      <c r="AN933" s="55"/>
      <c r="AO933" s="55"/>
      <c r="AP933" s="55"/>
      <c r="AQ933" s="55"/>
      <c r="AR933" s="55"/>
      <c r="AS933" s="55"/>
      <c r="AT933" s="55"/>
      <c r="AU933" s="55"/>
      <c r="AV933" s="55"/>
      <c r="AW933" s="55"/>
      <c r="AX933" s="55"/>
      <c r="AY933" s="55"/>
    </row>
    <row r="934" spans="21:51">
      <c r="U934" s="55"/>
      <c r="V934" s="55"/>
      <c r="W934" s="55"/>
      <c r="X934" s="55"/>
      <c r="Y934" s="55"/>
      <c r="Z934" s="55"/>
      <c r="AA934" s="55"/>
      <c r="AB934" s="55"/>
      <c r="AC934" s="55"/>
      <c r="AD934" s="55"/>
      <c r="AE934" s="55"/>
      <c r="AF934" s="55"/>
      <c r="AG934" s="55"/>
      <c r="AH934" s="55"/>
      <c r="AI934" s="55"/>
      <c r="AJ934" s="55"/>
      <c r="AK934" s="55"/>
      <c r="AL934" s="55"/>
      <c r="AM934" s="55"/>
      <c r="AN934" s="55"/>
      <c r="AO934" s="55"/>
      <c r="AP934" s="55"/>
      <c r="AQ934" s="55"/>
      <c r="AR934" s="55"/>
      <c r="AS934" s="55"/>
      <c r="AT934" s="55"/>
      <c r="AU934" s="55"/>
      <c r="AV934" s="55"/>
      <c r="AW934" s="55"/>
      <c r="AX934" s="55"/>
      <c r="AY934" s="55"/>
    </row>
    <row r="935" spans="21:51">
      <c r="U935" s="55"/>
      <c r="V935" s="55"/>
      <c r="W935" s="55"/>
      <c r="X935" s="55"/>
      <c r="Y935" s="55"/>
      <c r="Z935" s="55"/>
      <c r="AA935" s="55"/>
      <c r="AB935" s="55"/>
      <c r="AC935" s="55"/>
      <c r="AD935" s="55"/>
      <c r="AE935" s="55"/>
      <c r="AF935" s="55"/>
      <c r="AG935" s="55"/>
      <c r="AH935" s="55"/>
      <c r="AI935" s="55"/>
      <c r="AJ935" s="55"/>
      <c r="AK935" s="55"/>
      <c r="AL935" s="55"/>
      <c r="AM935" s="55"/>
      <c r="AN935" s="55"/>
      <c r="AO935" s="55"/>
      <c r="AP935" s="55"/>
      <c r="AQ935" s="55"/>
      <c r="AR935" s="55"/>
      <c r="AS935" s="55"/>
      <c r="AT935" s="55"/>
      <c r="AU935" s="55"/>
      <c r="AV935" s="55"/>
      <c r="AW935" s="55"/>
      <c r="AX935" s="55"/>
      <c r="AY935" s="55"/>
    </row>
    <row r="936" spans="21:51">
      <c r="U936" s="55"/>
      <c r="V936" s="55"/>
      <c r="W936" s="55"/>
      <c r="X936" s="55"/>
      <c r="Y936" s="55"/>
      <c r="Z936" s="55"/>
      <c r="AA936" s="55"/>
      <c r="AB936" s="55"/>
      <c r="AC936" s="55"/>
      <c r="AD936" s="55"/>
      <c r="AE936" s="55"/>
      <c r="AF936" s="55"/>
      <c r="AG936" s="55"/>
      <c r="AH936" s="55"/>
      <c r="AI936" s="55"/>
      <c r="AJ936" s="55"/>
      <c r="AK936" s="55"/>
      <c r="AL936" s="55"/>
      <c r="AM936" s="55"/>
      <c r="AN936" s="55"/>
      <c r="AO936" s="55"/>
      <c r="AP936" s="55"/>
      <c r="AQ936" s="55"/>
      <c r="AR936" s="55"/>
      <c r="AS936" s="55"/>
      <c r="AT936" s="55"/>
      <c r="AU936" s="55"/>
      <c r="AV936" s="55"/>
      <c r="AW936" s="55"/>
      <c r="AX936" s="55"/>
      <c r="AY936" s="55"/>
    </row>
    <row r="937" spans="21:51">
      <c r="U937" s="55"/>
      <c r="V937" s="55"/>
      <c r="W937" s="55"/>
      <c r="X937" s="55"/>
      <c r="Y937" s="55"/>
      <c r="Z937" s="55"/>
      <c r="AA937" s="55"/>
      <c r="AB937" s="55"/>
      <c r="AC937" s="55"/>
      <c r="AD937" s="55"/>
      <c r="AE937" s="55"/>
      <c r="AF937" s="55"/>
      <c r="AG937" s="55"/>
      <c r="AH937" s="55"/>
      <c r="AI937" s="55"/>
      <c r="AJ937" s="55"/>
      <c r="AK937" s="55"/>
      <c r="AL937" s="55"/>
      <c r="AM937" s="55"/>
      <c r="AN937" s="55"/>
      <c r="AO937" s="55"/>
      <c r="AP937" s="55"/>
      <c r="AQ937" s="55"/>
      <c r="AR937" s="55"/>
      <c r="AS937" s="55"/>
      <c r="AT937" s="55"/>
      <c r="AU937" s="55"/>
      <c r="AV937" s="55"/>
      <c r="AW937" s="55"/>
      <c r="AX937" s="55"/>
      <c r="AY937" s="55"/>
    </row>
    <row r="938" spans="21:51">
      <c r="U938" s="55"/>
      <c r="V938" s="55"/>
      <c r="W938" s="55"/>
      <c r="X938" s="55"/>
      <c r="Y938" s="55"/>
      <c r="Z938" s="55"/>
      <c r="AA938" s="55"/>
      <c r="AB938" s="55"/>
      <c r="AC938" s="55"/>
      <c r="AD938" s="55"/>
      <c r="AE938" s="55"/>
      <c r="AF938" s="55"/>
      <c r="AG938" s="55"/>
      <c r="AH938" s="55"/>
      <c r="AI938" s="55"/>
      <c r="AJ938" s="55"/>
      <c r="AK938" s="55"/>
      <c r="AL938" s="55"/>
      <c r="AM938" s="55"/>
      <c r="AN938" s="55"/>
      <c r="AO938" s="55"/>
      <c r="AP938" s="55"/>
      <c r="AQ938" s="55"/>
      <c r="AR938" s="55"/>
      <c r="AS938" s="55"/>
      <c r="AT938" s="55"/>
      <c r="AU938" s="55"/>
      <c r="AV938" s="55"/>
      <c r="AW938" s="55"/>
      <c r="AX938" s="55"/>
      <c r="AY938" s="55"/>
    </row>
    <row r="939" spans="21:51">
      <c r="U939" s="55"/>
      <c r="V939" s="55"/>
      <c r="W939" s="55"/>
      <c r="X939" s="55"/>
      <c r="Y939" s="55"/>
      <c r="Z939" s="55"/>
      <c r="AA939" s="55"/>
      <c r="AB939" s="55"/>
      <c r="AC939" s="55"/>
      <c r="AD939" s="55"/>
      <c r="AE939" s="55"/>
      <c r="AF939" s="55"/>
      <c r="AG939" s="55"/>
      <c r="AH939" s="55"/>
      <c r="AI939" s="55"/>
      <c r="AJ939" s="55"/>
      <c r="AK939" s="55"/>
      <c r="AL939" s="55"/>
      <c r="AM939" s="55"/>
      <c r="AN939" s="55"/>
      <c r="AO939" s="55"/>
      <c r="AP939" s="55"/>
      <c r="AQ939" s="55"/>
      <c r="AR939" s="55"/>
      <c r="AS939" s="55"/>
      <c r="AT939" s="55"/>
      <c r="AU939" s="55"/>
      <c r="AV939" s="55"/>
      <c r="AW939" s="55"/>
      <c r="AX939" s="55"/>
      <c r="AY939" s="55"/>
    </row>
    <row r="940" spans="21:51">
      <c r="U940" s="55"/>
      <c r="V940" s="55"/>
      <c r="W940" s="55"/>
      <c r="X940" s="55"/>
      <c r="Y940" s="55"/>
      <c r="Z940" s="55"/>
      <c r="AA940" s="55"/>
      <c r="AB940" s="55"/>
      <c r="AC940" s="55"/>
      <c r="AD940" s="55"/>
      <c r="AE940" s="55"/>
      <c r="AF940" s="55"/>
      <c r="AG940" s="55"/>
      <c r="AH940" s="55"/>
      <c r="AI940" s="55"/>
      <c r="AJ940" s="55"/>
      <c r="AK940" s="55"/>
      <c r="AL940" s="55"/>
      <c r="AM940" s="55"/>
      <c r="AN940" s="55"/>
      <c r="AO940" s="55"/>
      <c r="AP940" s="55"/>
      <c r="AQ940" s="55"/>
      <c r="AR940" s="55"/>
      <c r="AS940" s="55"/>
      <c r="AT940" s="55"/>
      <c r="AU940" s="55"/>
      <c r="AV940" s="55"/>
      <c r="AW940" s="55"/>
      <c r="AX940" s="55"/>
      <c r="AY940" s="55"/>
    </row>
    <row r="941" spans="21:51">
      <c r="U941" s="55"/>
      <c r="V941" s="55"/>
      <c r="W941" s="55"/>
      <c r="X941" s="55"/>
      <c r="Y941" s="55"/>
      <c r="Z941" s="55"/>
      <c r="AA941" s="55"/>
      <c r="AB941" s="55"/>
      <c r="AC941" s="55"/>
      <c r="AD941" s="55"/>
      <c r="AE941" s="55"/>
      <c r="AF941" s="55"/>
      <c r="AG941" s="55"/>
      <c r="AH941" s="55"/>
      <c r="AI941" s="55"/>
      <c r="AJ941" s="55"/>
      <c r="AK941" s="55"/>
      <c r="AL941" s="55"/>
      <c r="AM941" s="55"/>
      <c r="AN941" s="55"/>
      <c r="AO941" s="55"/>
      <c r="AP941" s="55"/>
      <c r="AQ941" s="55"/>
      <c r="AR941" s="55"/>
      <c r="AS941" s="55"/>
      <c r="AT941" s="55"/>
      <c r="AU941" s="55"/>
      <c r="AV941" s="55"/>
      <c r="AW941" s="55"/>
      <c r="AX941" s="55"/>
      <c r="AY941" s="55"/>
    </row>
    <row r="942" spans="21:51">
      <c r="U942" s="55"/>
      <c r="V942" s="55"/>
      <c r="W942" s="55"/>
      <c r="X942" s="55"/>
      <c r="Y942" s="55"/>
      <c r="Z942" s="55"/>
      <c r="AA942" s="55"/>
      <c r="AB942" s="55"/>
      <c r="AC942" s="55"/>
      <c r="AD942" s="55"/>
      <c r="AE942" s="55"/>
      <c r="AF942" s="55"/>
      <c r="AG942" s="55"/>
      <c r="AH942" s="55"/>
      <c r="AI942" s="55"/>
      <c r="AJ942" s="55"/>
      <c r="AK942" s="55"/>
      <c r="AL942" s="55"/>
      <c r="AM942" s="55"/>
      <c r="AN942" s="55"/>
      <c r="AO942" s="55"/>
      <c r="AP942" s="55"/>
      <c r="AQ942" s="55"/>
      <c r="AR942" s="55"/>
      <c r="AS942" s="55"/>
      <c r="AT942" s="55"/>
      <c r="AU942" s="55"/>
      <c r="AV942" s="55"/>
      <c r="AW942" s="55"/>
      <c r="AX942" s="55"/>
      <c r="AY942" s="55"/>
    </row>
    <row r="943" spans="21:51">
      <c r="U943" s="55"/>
      <c r="V943" s="55"/>
      <c r="W943" s="55"/>
      <c r="X943" s="55"/>
      <c r="Y943" s="55"/>
      <c r="Z943" s="55"/>
      <c r="AA943" s="55"/>
      <c r="AB943" s="55"/>
      <c r="AC943" s="55"/>
      <c r="AD943" s="55"/>
      <c r="AE943" s="55"/>
      <c r="AF943" s="55"/>
      <c r="AG943" s="55"/>
      <c r="AH943" s="55"/>
      <c r="AI943" s="55"/>
      <c r="AJ943" s="55"/>
      <c r="AK943" s="55"/>
      <c r="AL943" s="55"/>
      <c r="AM943" s="55"/>
      <c r="AN943" s="55"/>
      <c r="AO943" s="55"/>
      <c r="AP943" s="55"/>
      <c r="AQ943" s="55"/>
      <c r="AR943" s="55"/>
      <c r="AS943" s="55"/>
      <c r="AT943" s="55"/>
      <c r="AU943" s="55"/>
      <c r="AV943" s="55"/>
      <c r="AW943" s="55"/>
      <c r="AX943" s="55"/>
      <c r="AY943" s="55"/>
    </row>
    <row r="944" spans="21:51">
      <c r="U944" s="55"/>
      <c r="V944" s="55"/>
      <c r="W944" s="55"/>
      <c r="X944" s="55"/>
      <c r="Y944" s="55"/>
      <c r="Z944" s="55"/>
      <c r="AA944" s="55"/>
      <c r="AB944" s="55"/>
      <c r="AC944" s="55"/>
      <c r="AD944" s="55"/>
      <c r="AE944" s="55"/>
      <c r="AF944" s="55"/>
      <c r="AG944" s="55"/>
      <c r="AH944" s="55"/>
      <c r="AI944" s="55"/>
      <c r="AJ944" s="55"/>
      <c r="AK944" s="55"/>
      <c r="AL944" s="55"/>
      <c r="AM944" s="55"/>
      <c r="AN944" s="55"/>
      <c r="AO944" s="55"/>
      <c r="AP944" s="55"/>
      <c r="AQ944" s="55"/>
      <c r="AR944" s="55"/>
      <c r="AS944" s="55"/>
      <c r="AT944" s="55"/>
      <c r="AU944" s="55"/>
      <c r="AV944" s="55"/>
      <c r="AW944" s="55"/>
      <c r="AX944" s="55"/>
      <c r="AY944" s="55"/>
    </row>
    <row r="945" spans="21:51">
      <c r="U945" s="55"/>
      <c r="V945" s="55"/>
      <c r="W945" s="55"/>
      <c r="X945" s="55"/>
      <c r="Y945" s="55"/>
      <c r="Z945" s="55"/>
      <c r="AA945" s="55"/>
      <c r="AB945" s="55"/>
      <c r="AC945" s="55"/>
      <c r="AD945" s="55"/>
      <c r="AE945" s="55"/>
      <c r="AF945" s="55"/>
      <c r="AG945" s="55"/>
      <c r="AH945" s="55"/>
      <c r="AI945" s="55"/>
      <c r="AJ945" s="55"/>
      <c r="AK945" s="55"/>
      <c r="AL945" s="55"/>
      <c r="AM945" s="55"/>
      <c r="AN945" s="55"/>
      <c r="AO945" s="55"/>
      <c r="AP945" s="55"/>
      <c r="AQ945" s="55"/>
      <c r="AR945" s="55"/>
      <c r="AS945" s="55"/>
      <c r="AT945" s="55"/>
      <c r="AU945" s="55"/>
      <c r="AV945" s="55"/>
      <c r="AW945" s="55"/>
      <c r="AX945" s="55"/>
      <c r="AY945" s="55"/>
    </row>
    <row r="946" spans="21:51">
      <c r="U946" s="55"/>
      <c r="V946" s="55"/>
      <c r="W946" s="55"/>
      <c r="X946" s="55"/>
      <c r="Y946" s="55"/>
      <c r="Z946" s="55"/>
      <c r="AA946" s="55"/>
      <c r="AB946" s="55"/>
      <c r="AC946" s="55"/>
      <c r="AD946" s="55"/>
      <c r="AE946" s="55"/>
      <c r="AF946" s="55"/>
      <c r="AG946" s="55"/>
      <c r="AH946" s="55"/>
      <c r="AI946" s="55"/>
      <c r="AJ946" s="55"/>
      <c r="AK946" s="55"/>
      <c r="AL946" s="55"/>
      <c r="AM946" s="55"/>
      <c r="AN946" s="55"/>
      <c r="AO946" s="55"/>
      <c r="AP946" s="55"/>
      <c r="AQ946" s="55"/>
      <c r="AR946" s="55"/>
      <c r="AS946" s="55"/>
      <c r="AT946" s="55"/>
      <c r="AU946" s="55"/>
      <c r="AV946" s="55"/>
      <c r="AW946" s="55"/>
      <c r="AX946" s="55"/>
      <c r="AY946" s="55"/>
    </row>
    <row r="947" spans="21:51">
      <c r="U947" s="55"/>
      <c r="V947" s="55"/>
      <c r="W947" s="55"/>
      <c r="X947" s="55"/>
      <c r="Y947" s="55"/>
      <c r="Z947" s="55"/>
      <c r="AA947" s="55"/>
      <c r="AB947" s="55"/>
      <c r="AC947" s="55"/>
      <c r="AD947" s="55"/>
      <c r="AE947" s="55"/>
      <c r="AF947" s="55"/>
      <c r="AG947" s="55"/>
      <c r="AH947" s="55"/>
      <c r="AI947" s="55"/>
      <c r="AJ947" s="55"/>
      <c r="AK947" s="55"/>
      <c r="AL947" s="55"/>
      <c r="AM947" s="55"/>
      <c r="AN947" s="55"/>
      <c r="AO947" s="55"/>
      <c r="AP947" s="55"/>
      <c r="AQ947" s="55"/>
      <c r="AR947" s="55"/>
      <c r="AS947" s="55"/>
      <c r="AT947" s="55"/>
      <c r="AU947" s="55"/>
      <c r="AV947" s="55"/>
      <c r="AW947" s="55"/>
      <c r="AX947" s="55"/>
      <c r="AY947" s="55"/>
    </row>
    <row r="948" spans="21:51">
      <c r="U948" s="55"/>
      <c r="V948" s="55"/>
      <c r="W948" s="55"/>
      <c r="X948" s="55"/>
      <c r="Y948" s="55"/>
      <c r="Z948" s="55"/>
      <c r="AA948" s="55"/>
      <c r="AB948" s="55"/>
      <c r="AC948" s="55"/>
      <c r="AD948" s="55"/>
      <c r="AE948" s="55"/>
      <c r="AF948" s="55"/>
      <c r="AG948" s="55"/>
      <c r="AH948" s="55"/>
      <c r="AI948" s="55"/>
      <c r="AJ948" s="55"/>
      <c r="AK948" s="55"/>
      <c r="AL948" s="55"/>
      <c r="AM948" s="55"/>
      <c r="AN948" s="55"/>
      <c r="AO948" s="55"/>
      <c r="AP948" s="55"/>
      <c r="AQ948" s="55"/>
      <c r="AR948" s="55"/>
      <c r="AS948" s="55"/>
      <c r="AT948" s="55"/>
      <c r="AU948" s="55"/>
      <c r="AV948" s="55"/>
      <c r="AW948" s="55"/>
      <c r="AX948" s="55"/>
      <c r="AY948" s="55"/>
    </row>
    <row r="949" spans="21:51">
      <c r="U949" s="55"/>
      <c r="V949" s="55"/>
      <c r="W949" s="55"/>
      <c r="X949" s="55"/>
      <c r="Y949" s="55"/>
      <c r="Z949" s="55"/>
      <c r="AA949" s="55"/>
      <c r="AB949" s="55"/>
      <c r="AC949" s="55"/>
      <c r="AD949" s="55"/>
      <c r="AE949" s="55"/>
      <c r="AF949" s="55"/>
      <c r="AG949" s="55"/>
      <c r="AH949" s="55"/>
      <c r="AI949" s="55"/>
      <c r="AJ949" s="55"/>
      <c r="AK949" s="55"/>
      <c r="AL949" s="55"/>
      <c r="AM949" s="55"/>
      <c r="AN949" s="55"/>
      <c r="AO949" s="55"/>
      <c r="AP949" s="55"/>
      <c r="AQ949" s="55"/>
      <c r="AR949" s="55"/>
      <c r="AS949" s="55"/>
      <c r="AT949" s="55"/>
      <c r="AU949" s="55"/>
      <c r="AV949" s="55"/>
      <c r="AW949" s="55"/>
      <c r="AX949" s="55"/>
      <c r="AY949" s="55"/>
    </row>
    <row r="950" spans="21:51">
      <c r="U950" s="55"/>
      <c r="V950" s="55"/>
      <c r="W950" s="55"/>
      <c r="X950" s="55"/>
      <c r="Y950" s="55"/>
      <c r="Z950" s="55"/>
      <c r="AA950" s="55"/>
      <c r="AB950" s="55"/>
      <c r="AC950" s="55"/>
      <c r="AD950" s="55"/>
      <c r="AE950" s="55"/>
      <c r="AF950" s="55"/>
      <c r="AG950" s="55"/>
      <c r="AH950" s="55"/>
      <c r="AI950" s="55"/>
      <c r="AJ950" s="55"/>
      <c r="AK950" s="55"/>
      <c r="AL950" s="55"/>
      <c r="AM950" s="55"/>
      <c r="AN950" s="55"/>
      <c r="AO950" s="55"/>
      <c r="AP950" s="55"/>
      <c r="AQ950" s="55"/>
      <c r="AR950" s="55"/>
      <c r="AS950" s="55"/>
      <c r="AT950" s="55"/>
      <c r="AU950" s="55"/>
      <c r="AV950" s="55"/>
      <c r="AW950" s="55"/>
      <c r="AX950" s="55"/>
      <c r="AY950" s="55"/>
    </row>
    <row r="951" spans="21:51">
      <c r="U951" s="55"/>
      <c r="V951" s="55"/>
      <c r="W951" s="55"/>
      <c r="X951" s="55"/>
      <c r="Y951" s="55"/>
      <c r="Z951" s="55"/>
      <c r="AA951" s="55"/>
      <c r="AB951" s="55"/>
      <c r="AC951" s="55"/>
      <c r="AD951" s="55"/>
      <c r="AE951" s="55"/>
      <c r="AF951" s="55"/>
      <c r="AG951" s="55"/>
      <c r="AH951" s="55"/>
      <c r="AI951" s="55"/>
      <c r="AJ951" s="55"/>
      <c r="AK951" s="55"/>
      <c r="AL951" s="55"/>
      <c r="AM951" s="55"/>
      <c r="AN951" s="55"/>
      <c r="AO951" s="55"/>
      <c r="AP951" s="55"/>
      <c r="AQ951" s="55"/>
      <c r="AR951" s="55"/>
      <c r="AS951" s="55"/>
      <c r="AT951" s="55"/>
      <c r="AU951" s="55"/>
      <c r="AV951" s="55"/>
      <c r="AW951" s="55"/>
      <c r="AX951" s="55"/>
      <c r="AY951" s="55"/>
    </row>
    <row r="952" spans="21:51">
      <c r="U952" s="55"/>
      <c r="V952" s="55"/>
      <c r="W952" s="55"/>
      <c r="X952" s="55"/>
      <c r="Y952" s="55"/>
      <c r="Z952" s="55"/>
      <c r="AA952" s="55"/>
      <c r="AB952" s="55"/>
      <c r="AC952" s="55"/>
      <c r="AD952" s="55"/>
      <c r="AE952" s="55"/>
      <c r="AF952" s="55"/>
      <c r="AG952" s="55"/>
      <c r="AH952" s="55"/>
      <c r="AI952" s="55"/>
      <c r="AJ952" s="55"/>
      <c r="AK952" s="55"/>
      <c r="AL952" s="55"/>
      <c r="AM952" s="55"/>
      <c r="AN952" s="55"/>
      <c r="AO952" s="55"/>
      <c r="AP952" s="55"/>
      <c r="AQ952" s="55"/>
      <c r="AR952" s="55"/>
      <c r="AS952" s="55"/>
      <c r="AT952" s="55"/>
      <c r="AU952" s="55"/>
      <c r="AV952" s="55"/>
      <c r="AW952" s="55"/>
      <c r="AX952" s="55"/>
      <c r="AY952" s="55"/>
    </row>
    <row r="953" spans="21:51">
      <c r="U953" s="55"/>
      <c r="V953" s="55"/>
      <c r="W953" s="55"/>
      <c r="X953" s="55"/>
      <c r="Y953" s="55"/>
      <c r="Z953" s="55"/>
      <c r="AA953" s="55"/>
      <c r="AB953" s="55"/>
      <c r="AC953" s="55"/>
      <c r="AD953" s="55"/>
      <c r="AE953" s="55"/>
      <c r="AF953" s="55"/>
      <c r="AG953" s="55"/>
      <c r="AH953" s="55"/>
      <c r="AI953" s="55"/>
      <c r="AJ953" s="55"/>
      <c r="AK953" s="55"/>
      <c r="AL953" s="55"/>
      <c r="AM953" s="55"/>
      <c r="AN953" s="55"/>
      <c r="AO953" s="55"/>
      <c r="AP953" s="55"/>
      <c r="AQ953" s="55"/>
      <c r="AR953" s="55"/>
      <c r="AS953" s="55"/>
      <c r="AT953" s="55"/>
      <c r="AU953" s="55"/>
      <c r="AV953" s="55"/>
      <c r="AW953" s="55"/>
      <c r="AX953" s="55"/>
      <c r="AY953" s="55"/>
    </row>
    <row r="954" spans="21:51">
      <c r="U954" s="55"/>
      <c r="V954" s="55"/>
      <c r="W954" s="55"/>
      <c r="X954" s="55"/>
      <c r="Y954" s="55"/>
      <c r="Z954" s="55"/>
      <c r="AA954" s="55"/>
      <c r="AB954" s="55"/>
      <c r="AC954" s="55"/>
      <c r="AD954" s="55"/>
      <c r="AE954" s="55"/>
      <c r="AF954" s="55"/>
      <c r="AG954" s="55"/>
      <c r="AH954" s="55"/>
      <c r="AI954" s="55"/>
      <c r="AJ954" s="55"/>
      <c r="AK954" s="55"/>
      <c r="AL954" s="55"/>
      <c r="AM954" s="55"/>
      <c r="AN954" s="55"/>
      <c r="AO954" s="55"/>
      <c r="AP954" s="55"/>
      <c r="AQ954" s="55"/>
      <c r="AR954" s="55"/>
      <c r="AS954" s="55"/>
      <c r="AT954" s="55"/>
      <c r="AU954" s="55"/>
      <c r="AV954" s="55"/>
      <c r="AW954" s="55"/>
      <c r="AX954" s="55"/>
      <c r="AY954" s="55"/>
    </row>
    <row r="955" spans="21:51">
      <c r="U955" s="55"/>
      <c r="V955" s="55"/>
      <c r="W955" s="55"/>
      <c r="X955" s="55"/>
      <c r="Y955" s="55"/>
      <c r="Z955" s="55"/>
      <c r="AA955" s="55"/>
      <c r="AB955" s="55"/>
      <c r="AC955" s="55"/>
      <c r="AD955" s="55"/>
      <c r="AE955" s="55"/>
      <c r="AF955" s="55"/>
      <c r="AG955" s="55"/>
      <c r="AH955" s="55"/>
      <c r="AI955" s="55"/>
      <c r="AJ955" s="55"/>
      <c r="AK955" s="55"/>
      <c r="AL955" s="55"/>
      <c r="AM955" s="55"/>
      <c r="AN955" s="55"/>
      <c r="AO955" s="55"/>
      <c r="AP955" s="55"/>
      <c r="AQ955" s="55"/>
      <c r="AR955" s="55"/>
      <c r="AS955" s="55"/>
      <c r="AT955" s="55"/>
      <c r="AU955" s="55"/>
      <c r="AV955" s="55"/>
      <c r="AW955" s="55"/>
      <c r="AX955" s="55"/>
      <c r="AY955" s="55"/>
    </row>
    <row r="956" spans="21:51">
      <c r="U956" s="55"/>
      <c r="V956" s="55"/>
      <c r="W956" s="55"/>
      <c r="X956" s="55"/>
      <c r="Y956" s="55"/>
      <c r="Z956" s="55"/>
      <c r="AA956" s="55"/>
      <c r="AB956" s="55"/>
      <c r="AC956" s="55"/>
      <c r="AD956" s="55"/>
      <c r="AE956" s="55"/>
      <c r="AF956" s="55"/>
      <c r="AG956" s="55"/>
      <c r="AH956" s="55"/>
      <c r="AI956" s="55"/>
      <c r="AJ956" s="55"/>
      <c r="AK956" s="55"/>
      <c r="AL956" s="55"/>
      <c r="AM956" s="55"/>
      <c r="AN956" s="55"/>
      <c r="AO956" s="55"/>
      <c r="AP956" s="55"/>
      <c r="AQ956" s="55"/>
      <c r="AR956" s="55"/>
      <c r="AS956" s="55"/>
      <c r="AT956" s="55"/>
      <c r="AU956" s="55"/>
      <c r="AV956" s="55"/>
      <c r="AW956" s="55"/>
      <c r="AX956" s="55"/>
      <c r="AY956" s="55"/>
    </row>
    <row r="957" spans="21:51">
      <c r="U957" s="55"/>
      <c r="V957" s="55"/>
      <c r="W957" s="55"/>
      <c r="X957" s="55"/>
      <c r="Y957" s="55"/>
      <c r="Z957" s="55"/>
      <c r="AA957" s="55"/>
      <c r="AB957" s="55"/>
      <c r="AC957" s="55"/>
      <c r="AD957" s="55"/>
      <c r="AE957" s="55"/>
      <c r="AF957" s="55"/>
      <c r="AG957" s="55"/>
      <c r="AH957" s="55"/>
      <c r="AI957" s="55"/>
      <c r="AJ957" s="55"/>
      <c r="AK957" s="55"/>
      <c r="AL957" s="55"/>
      <c r="AM957" s="55"/>
      <c r="AN957" s="55"/>
      <c r="AO957" s="55"/>
      <c r="AP957" s="55"/>
      <c r="AQ957" s="55"/>
      <c r="AR957" s="55"/>
      <c r="AS957" s="55"/>
      <c r="AT957" s="55"/>
      <c r="AU957" s="55"/>
      <c r="AV957" s="55"/>
      <c r="AW957" s="55"/>
      <c r="AX957" s="55"/>
      <c r="AY957" s="55"/>
    </row>
    <row r="958" spans="21:51">
      <c r="U958" s="55"/>
      <c r="V958" s="55"/>
      <c r="W958" s="55"/>
      <c r="X958" s="55"/>
      <c r="Y958" s="55"/>
      <c r="Z958" s="55"/>
      <c r="AA958" s="55"/>
      <c r="AB958" s="55"/>
      <c r="AC958" s="55"/>
      <c r="AD958" s="55"/>
      <c r="AE958" s="55"/>
      <c r="AF958" s="55"/>
      <c r="AG958" s="55"/>
      <c r="AH958" s="55"/>
      <c r="AI958" s="55"/>
      <c r="AJ958" s="55"/>
      <c r="AK958" s="55"/>
      <c r="AL958" s="55"/>
      <c r="AM958" s="55"/>
      <c r="AN958" s="55"/>
      <c r="AO958" s="55"/>
      <c r="AP958" s="55"/>
      <c r="AQ958" s="55"/>
      <c r="AR958" s="55"/>
      <c r="AS958" s="55"/>
      <c r="AT958" s="55"/>
      <c r="AU958" s="55"/>
      <c r="AV958" s="55"/>
      <c r="AW958" s="55"/>
      <c r="AX958" s="55"/>
      <c r="AY958" s="55"/>
    </row>
    <row r="959" spans="21:51">
      <c r="U959" s="55"/>
      <c r="V959" s="55"/>
      <c r="W959" s="55"/>
      <c r="X959" s="55"/>
      <c r="Y959" s="55"/>
      <c r="Z959" s="55"/>
      <c r="AA959" s="55"/>
      <c r="AB959" s="55"/>
      <c r="AC959" s="55"/>
      <c r="AD959" s="55"/>
      <c r="AE959" s="55"/>
      <c r="AF959" s="55"/>
      <c r="AG959" s="55"/>
      <c r="AH959" s="55"/>
      <c r="AI959" s="55"/>
      <c r="AJ959" s="55"/>
      <c r="AK959" s="55"/>
      <c r="AL959" s="55"/>
      <c r="AM959" s="55"/>
      <c r="AN959" s="55"/>
      <c r="AO959" s="55"/>
      <c r="AP959" s="55"/>
      <c r="AQ959" s="55"/>
      <c r="AR959" s="55"/>
      <c r="AS959" s="55"/>
      <c r="AT959" s="55"/>
      <c r="AU959" s="55"/>
      <c r="AV959" s="55"/>
      <c r="AW959" s="55"/>
      <c r="AX959" s="55"/>
      <c r="AY959" s="55"/>
    </row>
    <row r="960" spans="21:51">
      <c r="U960" s="55"/>
      <c r="V960" s="55"/>
      <c r="W960" s="55"/>
      <c r="X960" s="55"/>
      <c r="Y960" s="55"/>
      <c r="Z960" s="55"/>
      <c r="AA960" s="55"/>
      <c r="AB960" s="55"/>
      <c r="AC960" s="55"/>
      <c r="AD960" s="55"/>
      <c r="AE960" s="55"/>
      <c r="AF960" s="55"/>
      <c r="AG960" s="55"/>
      <c r="AH960" s="55"/>
      <c r="AI960" s="55"/>
      <c r="AJ960" s="55"/>
      <c r="AK960" s="55"/>
      <c r="AL960" s="55"/>
      <c r="AM960" s="55"/>
      <c r="AN960" s="55"/>
      <c r="AO960" s="55"/>
      <c r="AP960" s="55"/>
      <c r="AQ960" s="55"/>
      <c r="AR960" s="55"/>
      <c r="AS960" s="55"/>
      <c r="AT960" s="55"/>
      <c r="AU960" s="55"/>
      <c r="AV960" s="55"/>
      <c r="AW960" s="55"/>
      <c r="AX960" s="55"/>
      <c r="AY960" s="55"/>
    </row>
    <row r="961" spans="21:51">
      <c r="U961" s="55"/>
      <c r="V961" s="55"/>
      <c r="W961" s="55"/>
      <c r="X961" s="55"/>
      <c r="Y961" s="55"/>
      <c r="Z961" s="55"/>
      <c r="AA961" s="55"/>
      <c r="AB961" s="55"/>
      <c r="AC961" s="55"/>
      <c r="AD961" s="55"/>
      <c r="AE961" s="55"/>
      <c r="AF961" s="55"/>
      <c r="AG961" s="55"/>
      <c r="AH961" s="55"/>
      <c r="AI961" s="55"/>
      <c r="AJ961" s="55"/>
      <c r="AK961" s="55"/>
      <c r="AL961" s="55"/>
      <c r="AM961" s="55"/>
      <c r="AN961" s="55"/>
      <c r="AO961" s="55"/>
      <c r="AP961" s="55"/>
      <c r="AQ961" s="55"/>
      <c r="AR961" s="55"/>
      <c r="AS961" s="55"/>
      <c r="AT961" s="55"/>
      <c r="AU961" s="55"/>
      <c r="AV961" s="55"/>
      <c r="AW961" s="55"/>
      <c r="AX961" s="55"/>
      <c r="AY961" s="55"/>
    </row>
    <row r="962" spans="21:51">
      <c r="U962" s="55"/>
      <c r="V962" s="55"/>
      <c r="W962" s="55"/>
      <c r="X962" s="55"/>
      <c r="Y962" s="55"/>
      <c r="Z962" s="55"/>
      <c r="AA962" s="55"/>
      <c r="AB962" s="55"/>
      <c r="AC962" s="55"/>
      <c r="AD962" s="55"/>
      <c r="AE962" s="55"/>
      <c r="AF962" s="55"/>
      <c r="AG962" s="55"/>
      <c r="AH962" s="55"/>
      <c r="AI962" s="55"/>
      <c r="AJ962" s="55"/>
      <c r="AK962" s="55"/>
      <c r="AL962" s="55"/>
      <c r="AM962" s="55"/>
      <c r="AN962" s="55"/>
      <c r="AO962" s="55"/>
      <c r="AP962" s="55"/>
      <c r="AQ962" s="55"/>
      <c r="AR962" s="55"/>
      <c r="AS962" s="55"/>
      <c r="AT962" s="55"/>
      <c r="AU962" s="55"/>
      <c r="AV962" s="55"/>
      <c r="AW962" s="55"/>
      <c r="AX962" s="55"/>
      <c r="AY962" s="55"/>
    </row>
    <row r="963" spans="21:51">
      <c r="U963" s="55"/>
      <c r="V963" s="55"/>
      <c r="W963" s="55"/>
      <c r="X963" s="55"/>
      <c r="Y963" s="55"/>
      <c r="Z963" s="55"/>
      <c r="AA963" s="55"/>
      <c r="AB963" s="55"/>
      <c r="AC963" s="55"/>
      <c r="AD963" s="55"/>
      <c r="AE963" s="55"/>
      <c r="AF963" s="55"/>
      <c r="AG963" s="55"/>
      <c r="AH963" s="55"/>
      <c r="AI963" s="55"/>
      <c r="AJ963" s="55"/>
      <c r="AK963" s="55"/>
      <c r="AL963" s="55"/>
      <c r="AM963" s="55"/>
      <c r="AN963" s="55"/>
      <c r="AO963" s="55"/>
      <c r="AP963" s="55"/>
      <c r="AQ963" s="55"/>
      <c r="AR963" s="55"/>
      <c r="AS963" s="55"/>
      <c r="AT963" s="55"/>
      <c r="AU963" s="55"/>
      <c r="AV963" s="55"/>
      <c r="AW963" s="55"/>
      <c r="AX963" s="55"/>
      <c r="AY963" s="55"/>
    </row>
    <row r="964" spans="21:51">
      <c r="U964" s="55"/>
      <c r="V964" s="55"/>
      <c r="W964" s="55"/>
      <c r="X964" s="55"/>
      <c r="Y964" s="55"/>
      <c r="Z964" s="55"/>
      <c r="AA964" s="55"/>
      <c r="AB964" s="55"/>
      <c r="AC964" s="55"/>
      <c r="AD964" s="55"/>
      <c r="AE964" s="55"/>
      <c r="AF964" s="55"/>
      <c r="AG964" s="55"/>
      <c r="AH964" s="55"/>
      <c r="AI964" s="55"/>
      <c r="AJ964" s="55"/>
      <c r="AK964" s="55"/>
      <c r="AL964" s="55"/>
      <c r="AM964" s="55"/>
      <c r="AN964" s="55"/>
      <c r="AO964" s="55"/>
      <c r="AP964" s="55"/>
      <c r="AQ964" s="55"/>
      <c r="AR964" s="55"/>
      <c r="AS964" s="55"/>
      <c r="AT964" s="55"/>
      <c r="AU964" s="55"/>
      <c r="AV964" s="55"/>
      <c r="AW964" s="55"/>
      <c r="AX964" s="55"/>
      <c r="AY964" s="55"/>
    </row>
    <row r="965" spans="21:51">
      <c r="U965" s="55"/>
      <c r="V965" s="55"/>
      <c r="W965" s="55"/>
      <c r="X965" s="55"/>
      <c r="Y965" s="55"/>
      <c r="Z965" s="55"/>
      <c r="AA965" s="55"/>
      <c r="AB965" s="55"/>
      <c r="AC965" s="55"/>
      <c r="AD965" s="55"/>
      <c r="AE965" s="55"/>
      <c r="AF965" s="55"/>
      <c r="AG965" s="55"/>
      <c r="AH965" s="55"/>
      <c r="AI965" s="55"/>
      <c r="AJ965" s="55"/>
      <c r="AK965" s="55"/>
      <c r="AL965" s="55"/>
      <c r="AM965" s="55"/>
      <c r="AN965" s="55"/>
      <c r="AO965" s="55"/>
      <c r="AP965" s="55"/>
      <c r="AQ965" s="55"/>
      <c r="AR965" s="55"/>
      <c r="AS965" s="55"/>
      <c r="AT965" s="55"/>
      <c r="AU965" s="55"/>
      <c r="AV965" s="55"/>
      <c r="AW965" s="55"/>
      <c r="AX965" s="55"/>
      <c r="AY965" s="55"/>
    </row>
    <row r="966" spans="21:51">
      <c r="U966" s="55"/>
      <c r="V966" s="55"/>
      <c r="W966" s="55"/>
      <c r="X966" s="55"/>
      <c r="Y966" s="55"/>
      <c r="Z966" s="55"/>
      <c r="AA966" s="55"/>
      <c r="AB966" s="55"/>
      <c r="AC966" s="55"/>
      <c r="AD966" s="55"/>
      <c r="AE966" s="55"/>
      <c r="AF966" s="55"/>
      <c r="AG966" s="55"/>
      <c r="AH966" s="55"/>
      <c r="AI966" s="55"/>
      <c r="AJ966" s="55"/>
      <c r="AK966" s="55"/>
      <c r="AL966" s="55"/>
      <c r="AM966" s="55"/>
      <c r="AN966" s="55"/>
      <c r="AO966" s="55"/>
      <c r="AP966" s="55"/>
      <c r="AQ966" s="55"/>
      <c r="AR966" s="55"/>
      <c r="AS966" s="55"/>
      <c r="AT966" s="55"/>
      <c r="AU966" s="55"/>
      <c r="AV966" s="55"/>
      <c r="AW966" s="55"/>
      <c r="AX966" s="55"/>
      <c r="AY966" s="55"/>
    </row>
    <row r="967" spans="21:51">
      <c r="U967" s="55"/>
      <c r="V967" s="55"/>
      <c r="W967" s="55"/>
      <c r="X967" s="55"/>
      <c r="Y967" s="55"/>
      <c r="Z967" s="55"/>
      <c r="AA967" s="55"/>
      <c r="AB967" s="55"/>
      <c r="AC967" s="55"/>
      <c r="AD967" s="55"/>
      <c r="AE967" s="55"/>
      <c r="AF967" s="55"/>
      <c r="AG967" s="55"/>
      <c r="AH967" s="55"/>
      <c r="AI967" s="55"/>
      <c r="AJ967" s="55"/>
      <c r="AK967" s="55"/>
      <c r="AL967" s="55"/>
      <c r="AM967" s="55"/>
      <c r="AN967" s="55"/>
      <c r="AO967" s="55"/>
      <c r="AP967" s="55"/>
      <c r="AQ967" s="55"/>
      <c r="AR967" s="55"/>
      <c r="AS967" s="55"/>
      <c r="AT967" s="55"/>
      <c r="AU967" s="55"/>
      <c r="AV967" s="55"/>
      <c r="AW967" s="55"/>
      <c r="AX967" s="55"/>
      <c r="AY967" s="55"/>
    </row>
    <row r="968" spans="21:51">
      <c r="U968" s="55"/>
      <c r="V968" s="55"/>
      <c r="W968" s="55"/>
      <c r="X968" s="55"/>
      <c r="Y968" s="55"/>
      <c r="Z968" s="55"/>
      <c r="AA968" s="55"/>
      <c r="AB968" s="55"/>
      <c r="AC968" s="55"/>
      <c r="AD968" s="55"/>
      <c r="AE968" s="55"/>
      <c r="AF968" s="55"/>
      <c r="AG968" s="55"/>
      <c r="AH968" s="55"/>
      <c r="AI968" s="55"/>
      <c r="AJ968" s="55"/>
      <c r="AK968" s="55"/>
      <c r="AL968" s="55"/>
      <c r="AM968" s="55"/>
      <c r="AN968" s="55"/>
      <c r="AO968" s="55"/>
      <c r="AP968" s="55"/>
      <c r="AQ968" s="55"/>
      <c r="AR968" s="55"/>
      <c r="AS968" s="55"/>
      <c r="AT968" s="55"/>
      <c r="AU968" s="55"/>
      <c r="AV968" s="55"/>
      <c r="AW968" s="55"/>
      <c r="AX968" s="55"/>
      <c r="AY968" s="55"/>
    </row>
    <row r="969" spans="21:51">
      <c r="U969" s="55"/>
      <c r="V969" s="55"/>
      <c r="W969" s="55"/>
      <c r="X969" s="55"/>
      <c r="Y969" s="55"/>
      <c r="Z969" s="55"/>
      <c r="AA969" s="55"/>
      <c r="AB969" s="55"/>
      <c r="AC969" s="55"/>
      <c r="AD969" s="55"/>
      <c r="AE969" s="55"/>
      <c r="AF969" s="55"/>
      <c r="AG969" s="55"/>
      <c r="AH969" s="55"/>
      <c r="AI969" s="55"/>
      <c r="AJ969" s="55"/>
      <c r="AK969" s="55"/>
      <c r="AL969" s="55"/>
      <c r="AM969" s="55"/>
      <c r="AN969" s="55"/>
      <c r="AO969" s="55"/>
      <c r="AP969" s="55"/>
      <c r="AQ969" s="55"/>
      <c r="AR969" s="55"/>
      <c r="AS969" s="55"/>
      <c r="AT969" s="55"/>
      <c r="AU969" s="55"/>
      <c r="AV969" s="55"/>
      <c r="AW969" s="55"/>
      <c r="AX969" s="55"/>
      <c r="AY969" s="55"/>
    </row>
    <row r="970" spans="21:51">
      <c r="U970" s="55"/>
      <c r="V970" s="55"/>
      <c r="W970" s="55"/>
      <c r="X970" s="55"/>
      <c r="Y970" s="55"/>
      <c r="Z970" s="55"/>
      <c r="AA970" s="55"/>
      <c r="AB970" s="55"/>
      <c r="AC970" s="55"/>
      <c r="AD970" s="55"/>
      <c r="AE970" s="55"/>
      <c r="AF970" s="55"/>
      <c r="AG970" s="55"/>
      <c r="AH970" s="55"/>
      <c r="AI970" s="55"/>
      <c r="AJ970" s="55"/>
      <c r="AK970" s="55"/>
      <c r="AL970" s="55"/>
      <c r="AM970" s="55"/>
      <c r="AN970" s="55"/>
      <c r="AO970" s="55"/>
      <c r="AP970" s="55"/>
      <c r="AQ970" s="55"/>
      <c r="AR970" s="55"/>
      <c r="AS970" s="55"/>
      <c r="AT970" s="55"/>
      <c r="AU970" s="55"/>
      <c r="AV970" s="55"/>
      <c r="AW970" s="55"/>
      <c r="AX970" s="55"/>
      <c r="AY970" s="55"/>
    </row>
    <row r="971" spans="21:51">
      <c r="U971" s="55"/>
      <c r="V971" s="55"/>
      <c r="W971" s="55"/>
      <c r="X971" s="55"/>
      <c r="Y971" s="55"/>
      <c r="Z971" s="55"/>
      <c r="AA971" s="55"/>
      <c r="AB971" s="55"/>
      <c r="AC971" s="55"/>
      <c r="AD971" s="55"/>
      <c r="AE971" s="55"/>
      <c r="AF971" s="55"/>
      <c r="AG971" s="55"/>
      <c r="AH971" s="55"/>
      <c r="AI971" s="55"/>
      <c r="AJ971" s="55"/>
      <c r="AK971" s="55"/>
      <c r="AL971" s="55"/>
      <c r="AM971" s="55"/>
      <c r="AN971" s="55"/>
      <c r="AO971" s="55"/>
      <c r="AP971" s="55"/>
      <c r="AQ971" s="55"/>
      <c r="AR971" s="55"/>
      <c r="AS971" s="55"/>
      <c r="AT971" s="55"/>
      <c r="AU971" s="55"/>
      <c r="AV971" s="55"/>
      <c r="AW971" s="55"/>
      <c r="AX971" s="55"/>
      <c r="AY971" s="55"/>
    </row>
    <row r="972" spans="21:51">
      <c r="U972" s="55"/>
      <c r="V972" s="55"/>
      <c r="W972" s="55"/>
      <c r="X972" s="55"/>
      <c r="Y972" s="55"/>
      <c r="Z972" s="55"/>
      <c r="AA972" s="55"/>
      <c r="AB972" s="55"/>
      <c r="AC972" s="55"/>
      <c r="AD972" s="55"/>
      <c r="AE972" s="55"/>
      <c r="AF972" s="55"/>
      <c r="AG972" s="55"/>
      <c r="AH972" s="55"/>
      <c r="AI972" s="55"/>
      <c r="AJ972" s="55"/>
      <c r="AK972" s="55"/>
      <c r="AL972" s="55"/>
      <c r="AM972" s="55"/>
      <c r="AN972" s="55"/>
      <c r="AO972" s="55"/>
      <c r="AP972" s="55"/>
      <c r="AQ972" s="55"/>
      <c r="AR972" s="55"/>
      <c r="AS972" s="55"/>
      <c r="AT972" s="55"/>
      <c r="AU972" s="55"/>
      <c r="AV972" s="55"/>
      <c r="AW972" s="55"/>
      <c r="AX972" s="55"/>
      <c r="AY972" s="55"/>
    </row>
    <row r="973" spans="21:51">
      <c r="U973" s="55"/>
      <c r="V973" s="55"/>
      <c r="W973" s="55"/>
      <c r="X973" s="55"/>
      <c r="Y973" s="55"/>
      <c r="Z973" s="55"/>
      <c r="AA973" s="55"/>
      <c r="AB973" s="55"/>
      <c r="AC973" s="55"/>
      <c r="AD973" s="55"/>
      <c r="AE973" s="55"/>
      <c r="AF973" s="55"/>
      <c r="AG973" s="55"/>
      <c r="AH973" s="55"/>
      <c r="AI973" s="55"/>
      <c r="AJ973" s="55"/>
      <c r="AK973" s="55"/>
      <c r="AL973" s="55"/>
      <c r="AM973" s="55"/>
      <c r="AN973" s="55"/>
      <c r="AO973" s="55"/>
      <c r="AP973" s="55"/>
      <c r="AQ973" s="55"/>
      <c r="AR973" s="55"/>
      <c r="AS973" s="55"/>
      <c r="AT973" s="55"/>
      <c r="AU973" s="55"/>
      <c r="AV973" s="55"/>
      <c r="AW973" s="55"/>
      <c r="AX973" s="55"/>
      <c r="AY973" s="55"/>
    </row>
    <row r="974" spans="21:51">
      <c r="U974" s="55"/>
      <c r="V974" s="55"/>
      <c r="W974" s="55"/>
      <c r="X974" s="55"/>
      <c r="Y974" s="55"/>
      <c r="Z974" s="55"/>
      <c r="AA974" s="55"/>
      <c r="AB974" s="55"/>
      <c r="AC974" s="55"/>
      <c r="AD974" s="55"/>
      <c r="AE974" s="55"/>
      <c r="AF974" s="55"/>
      <c r="AG974" s="55"/>
      <c r="AH974" s="55"/>
      <c r="AI974" s="55"/>
      <c r="AJ974" s="55"/>
      <c r="AK974" s="55"/>
      <c r="AL974" s="55"/>
      <c r="AM974" s="55"/>
      <c r="AN974" s="55"/>
      <c r="AO974" s="55"/>
      <c r="AP974" s="55"/>
      <c r="AQ974" s="55"/>
      <c r="AR974" s="55"/>
      <c r="AS974" s="55"/>
      <c r="AT974" s="55"/>
      <c r="AU974" s="55"/>
      <c r="AV974" s="55"/>
      <c r="AW974" s="55"/>
      <c r="AX974" s="55"/>
      <c r="AY974" s="55"/>
    </row>
    <row r="975" spans="21:51">
      <c r="U975" s="55"/>
      <c r="V975" s="55"/>
      <c r="W975" s="55"/>
      <c r="X975" s="55"/>
      <c r="Y975" s="55"/>
      <c r="Z975" s="55"/>
      <c r="AA975" s="55"/>
      <c r="AB975" s="55"/>
      <c r="AC975" s="55"/>
      <c r="AD975" s="55"/>
      <c r="AE975" s="55"/>
      <c r="AF975" s="55"/>
      <c r="AG975" s="55"/>
      <c r="AH975" s="55"/>
      <c r="AI975" s="55"/>
      <c r="AJ975" s="55"/>
      <c r="AK975" s="55"/>
      <c r="AL975" s="55"/>
      <c r="AM975" s="55"/>
      <c r="AN975" s="55"/>
      <c r="AO975" s="55"/>
      <c r="AP975" s="55"/>
      <c r="AQ975" s="55"/>
      <c r="AR975" s="55"/>
      <c r="AS975" s="55"/>
      <c r="AT975" s="55"/>
      <c r="AU975" s="55"/>
      <c r="AV975" s="55"/>
      <c r="AW975" s="55"/>
      <c r="AX975" s="55"/>
      <c r="AY975" s="55"/>
    </row>
    <row r="976" spans="21:51">
      <c r="U976" s="55"/>
      <c r="V976" s="55"/>
      <c r="W976" s="55"/>
      <c r="X976" s="55"/>
      <c r="Y976" s="55"/>
      <c r="Z976" s="55"/>
      <c r="AA976" s="55"/>
      <c r="AB976" s="55"/>
      <c r="AC976" s="55"/>
      <c r="AD976" s="55"/>
      <c r="AE976" s="55"/>
      <c r="AF976" s="55"/>
      <c r="AG976" s="55"/>
      <c r="AH976" s="55"/>
      <c r="AI976" s="55"/>
      <c r="AJ976" s="55"/>
      <c r="AK976" s="55"/>
      <c r="AL976" s="55"/>
      <c r="AM976" s="55"/>
      <c r="AN976" s="55"/>
      <c r="AO976" s="55"/>
      <c r="AP976" s="55"/>
      <c r="AQ976" s="55"/>
      <c r="AR976" s="55"/>
      <c r="AS976" s="55"/>
      <c r="AT976" s="55"/>
      <c r="AU976" s="55"/>
      <c r="AV976" s="55"/>
      <c r="AW976" s="55"/>
      <c r="AX976" s="55"/>
      <c r="AY976" s="55"/>
    </row>
    <row r="977" spans="21:51">
      <c r="U977" s="55"/>
      <c r="V977" s="55"/>
      <c r="W977" s="55"/>
      <c r="X977" s="55"/>
      <c r="Y977" s="55"/>
      <c r="Z977" s="55"/>
      <c r="AA977" s="55"/>
      <c r="AB977" s="55"/>
      <c r="AC977" s="55"/>
      <c r="AD977" s="55"/>
      <c r="AE977" s="55"/>
      <c r="AF977" s="55"/>
      <c r="AG977" s="55"/>
      <c r="AH977" s="55"/>
      <c r="AI977" s="55"/>
      <c r="AJ977" s="55"/>
      <c r="AK977" s="55"/>
      <c r="AL977" s="55"/>
      <c r="AM977" s="55"/>
      <c r="AN977" s="55"/>
      <c r="AO977" s="55"/>
      <c r="AP977" s="55"/>
      <c r="AQ977" s="55"/>
      <c r="AR977" s="55"/>
      <c r="AS977" s="55"/>
      <c r="AT977" s="55"/>
      <c r="AU977" s="55"/>
      <c r="AV977" s="55"/>
      <c r="AW977" s="55"/>
      <c r="AX977" s="55"/>
      <c r="AY977" s="55"/>
    </row>
    <row r="978" spans="21:51">
      <c r="U978" s="55"/>
      <c r="V978" s="55"/>
      <c r="W978" s="55"/>
      <c r="X978" s="55"/>
      <c r="Y978" s="55"/>
      <c r="Z978" s="55"/>
      <c r="AA978" s="55"/>
      <c r="AB978" s="55"/>
      <c r="AC978" s="55"/>
      <c r="AD978" s="55"/>
      <c r="AE978" s="55"/>
      <c r="AF978" s="55"/>
      <c r="AG978" s="55"/>
      <c r="AH978" s="55"/>
      <c r="AI978" s="55"/>
      <c r="AJ978" s="55"/>
      <c r="AK978" s="55"/>
      <c r="AL978" s="55"/>
      <c r="AM978" s="55"/>
      <c r="AN978" s="55"/>
      <c r="AO978" s="55"/>
      <c r="AP978" s="55"/>
      <c r="AQ978" s="55"/>
      <c r="AR978" s="55"/>
      <c r="AS978" s="55"/>
      <c r="AT978" s="55"/>
      <c r="AU978" s="55"/>
      <c r="AV978" s="55"/>
      <c r="AW978" s="55"/>
      <c r="AX978" s="55"/>
      <c r="AY978" s="55"/>
    </row>
    <row r="979" spans="21:51">
      <c r="U979" s="55"/>
      <c r="V979" s="55"/>
      <c r="W979" s="55"/>
      <c r="X979" s="55"/>
      <c r="Y979" s="55"/>
      <c r="Z979" s="55"/>
      <c r="AA979" s="55"/>
      <c r="AB979" s="55"/>
      <c r="AC979" s="55"/>
      <c r="AD979" s="55"/>
      <c r="AE979" s="55"/>
      <c r="AF979" s="55"/>
      <c r="AG979" s="55"/>
      <c r="AH979" s="55"/>
      <c r="AI979" s="55"/>
      <c r="AJ979" s="55"/>
      <c r="AK979" s="55"/>
      <c r="AL979" s="55"/>
      <c r="AM979" s="55"/>
      <c r="AN979" s="55"/>
      <c r="AO979" s="55"/>
      <c r="AP979" s="55"/>
      <c r="AQ979" s="55"/>
      <c r="AR979" s="55"/>
      <c r="AS979" s="55"/>
      <c r="AT979" s="55"/>
      <c r="AU979" s="55"/>
      <c r="AV979" s="55"/>
      <c r="AW979" s="55"/>
      <c r="AX979" s="55"/>
      <c r="AY979" s="55"/>
    </row>
    <row r="980" spans="21:51">
      <c r="U980" s="55"/>
      <c r="V980" s="55"/>
      <c r="W980" s="55"/>
      <c r="X980" s="55"/>
      <c r="Y980" s="55"/>
      <c r="Z980" s="55"/>
      <c r="AA980" s="55"/>
      <c r="AB980" s="55"/>
      <c r="AC980" s="55"/>
      <c r="AD980" s="55"/>
      <c r="AE980" s="55"/>
      <c r="AF980" s="55"/>
      <c r="AG980" s="55"/>
      <c r="AH980" s="55"/>
      <c r="AI980" s="55"/>
      <c r="AJ980" s="55"/>
      <c r="AK980" s="55"/>
      <c r="AL980" s="55"/>
      <c r="AM980" s="55"/>
      <c r="AN980" s="55"/>
      <c r="AO980" s="55"/>
      <c r="AP980" s="55"/>
      <c r="AQ980" s="55"/>
      <c r="AR980" s="55"/>
      <c r="AS980" s="55"/>
      <c r="AT980" s="55"/>
      <c r="AU980" s="55"/>
      <c r="AV980" s="55"/>
      <c r="AW980" s="55"/>
      <c r="AX980" s="55"/>
      <c r="AY980" s="55"/>
    </row>
    <row r="981" spans="21:51">
      <c r="U981" s="55"/>
      <c r="V981" s="55"/>
      <c r="W981" s="55"/>
      <c r="X981" s="55"/>
      <c r="Y981" s="55"/>
      <c r="Z981" s="55"/>
      <c r="AA981" s="55"/>
      <c r="AB981" s="55"/>
      <c r="AC981" s="55"/>
      <c r="AD981" s="55"/>
      <c r="AE981" s="55"/>
      <c r="AF981" s="55"/>
      <c r="AG981" s="55"/>
      <c r="AH981" s="55"/>
      <c r="AI981" s="55"/>
      <c r="AJ981" s="55"/>
      <c r="AK981" s="55"/>
      <c r="AL981" s="55"/>
      <c r="AM981" s="55"/>
      <c r="AN981" s="55"/>
      <c r="AO981" s="55"/>
      <c r="AP981" s="55"/>
      <c r="AQ981" s="55"/>
      <c r="AR981" s="55"/>
      <c r="AS981" s="55"/>
      <c r="AT981" s="55"/>
      <c r="AU981" s="55"/>
      <c r="AV981" s="55"/>
      <c r="AW981" s="55"/>
      <c r="AX981" s="55"/>
      <c r="AY981" s="55"/>
    </row>
    <row r="982" spans="21:51">
      <c r="U982" s="55"/>
      <c r="V982" s="55"/>
      <c r="W982" s="55"/>
      <c r="X982" s="55"/>
      <c r="Y982" s="55"/>
      <c r="Z982" s="55"/>
      <c r="AA982" s="55"/>
      <c r="AB982" s="55"/>
      <c r="AC982" s="55"/>
      <c r="AD982" s="55"/>
      <c r="AE982" s="55"/>
      <c r="AF982" s="55"/>
      <c r="AG982" s="55"/>
      <c r="AH982" s="55"/>
      <c r="AI982" s="55"/>
      <c r="AJ982" s="55"/>
      <c r="AK982" s="55"/>
      <c r="AL982" s="55"/>
      <c r="AM982" s="55"/>
      <c r="AN982" s="55"/>
      <c r="AO982" s="55"/>
      <c r="AP982" s="55"/>
      <c r="AQ982" s="55"/>
      <c r="AR982" s="55"/>
      <c r="AS982" s="55"/>
      <c r="AT982" s="55"/>
      <c r="AU982" s="55"/>
      <c r="AV982" s="55"/>
      <c r="AW982" s="55"/>
      <c r="AX982" s="55"/>
      <c r="AY982" s="55"/>
    </row>
    <row r="983" spans="21:51">
      <c r="U983" s="55"/>
      <c r="V983" s="55"/>
      <c r="W983" s="55"/>
      <c r="X983" s="55"/>
      <c r="Y983" s="55"/>
      <c r="Z983" s="55"/>
      <c r="AA983" s="55"/>
      <c r="AB983" s="55"/>
      <c r="AC983" s="55"/>
      <c r="AD983" s="55"/>
      <c r="AE983" s="55"/>
      <c r="AF983" s="55"/>
      <c r="AG983" s="55"/>
      <c r="AH983" s="55"/>
      <c r="AI983" s="55"/>
      <c r="AJ983" s="55"/>
      <c r="AK983" s="55"/>
      <c r="AL983" s="55"/>
      <c r="AM983" s="55"/>
      <c r="AN983" s="55"/>
      <c r="AO983" s="55"/>
      <c r="AP983" s="55"/>
      <c r="AQ983" s="55"/>
      <c r="AR983" s="55"/>
      <c r="AS983" s="55"/>
      <c r="AT983" s="55"/>
      <c r="AU983" s="55"/>
      <c r="AV983" s="55"/>
      <c r="AW983" s="55"/>
      <c r="AX983" s="55"/>
      <c r="AY983" s="55"/>
    </row>
    <row r="984" spans="21:51">
      <c r="U984" s="55"/>
      <c r="V984" s="55"/>
      <c r="W984" s="55"/>
      <c r="X984" s="55"/>
      <c r="Y984" s="55"/>
      <c r="Z984" s="55"/>
      <c r="AA984" s="55"/>
      <c r="AB984" s="55"/>
      <c r="AC984" s="55"/>
      <c r="AD984" s="55"/>
      <c r="AE984" s="55"/>
      <c r="AF984" s="55"/>
      <c r="AG984" s="55"/>
      <c r="AH984" s="55"/>
      <c r="AI984" s="55"/>
      <c r="AJ984" s="55"/>
      <c r="AK984" s="55"/>
      <c r="AL984" s="55"/>
      <c r="AM984" s="55"/>
      <c r="AN984" s="55"/>
      <c r="AO984" s="55"/>
      <c r="AP984" s="55"/>
      <c r="AQ984" s="55"/>
      <c r="AR984" s="55"/>
      <c r="AS984" s="55"/>
      <c r="AT984" s="55"/>
      <c r="AU984" s="55"/>
      <c r="AV984" s="55"/>
      <c r="AW984" s="55"/>
      <c r="AX984" s="55"/>
      <c r="AY984" s="55"/>
    </row>
    <row r="985" spans="21:51">
      <c r="U985" s="55"/>
      <c r="V985" s="55"/>
      <c r="W985" s="55"/>
      <c r="X985" s="55"/>
      <c r="Y985" s="55"/>
      <c r="Z985" s="55"/>
      <c r="AA985" s="55"/>
      <c r="AB985" s="55"/>
      <c r="AC985" s="55"/>
      <c r="AD985" s="55"/>
      <c r="AE985" s="55"/>
      <c r="AF985" s="55"/>
      <c r="AG985" s="55"/>
      <c r="AH985" s="55"/>
      <c r="AI985" s="55"/>
      <c r="AJ985" s="55"/>
      <c r="AK985" s="55"/>
      <c r="AL985" s="55"/>
      <c r="AM985" s="55"/>
      <c r="AN985" s="55"/>
      <c r="AO985" s="55"/>
      <c r="AP985" s="55"/>
      <c r="AQ985" s="55"/>
      <c r="AR985" s="55"/>
      <c r="AS985" s="55"/>
      <c r="AT985" s="55"/>
      <c r="AU985" s="55"/>
      <c r="AV985" s="55"/>
      <c r="AW985" s="55"/>
      <c r="AX985" s="55"/>
      <c r="AY985" s="55"/>
    </row>
    <row r="986" spans="21:51">
      <c r="U986" s="55"/>
      <c r="V986" s="55"/>
      <c r="W986" s="55"/>
      <c r="X986" s="55"/>
      <c r="Y986" s="55"/>
      <c r="Z986" s="55"/>
      <c r="AA986" s="55"/>
      <c r="AB986" s="55"/>
      <c r="AC986" s="55"/>
      <c r="AD986" s="55"/>
      <c r="AE986" s="55"/>
      <c r="AF986" s="55"/>
      <c r="AG986" s="55"/>
      <c r="AH986" s="55"/>
      <c r="AI986" s="55"/>
      <c r="AJ986" s="55"/>
      <c r="AK986" s="55"/>
      <c r="AL986" s="55"/>
      <c r="AM986" s="55"/>
      <c r="AN986" s="55"/>
      <c r="AO986" s="55"/>
      <c r="AP986" s="55"/>
      <c r="AQ986" s="55"/>
      <c r="AR986" s="55"/>
      <c r="AS986" s="55"/>
      <c r="AT986" s="55"/>
      <c r="AU986" s="55"/>
      <c r="AV986" s="55"/>
      <c r="AW986" s="55"/>
      <c r="AX986" s="55"/>
      <c r="AY986" s="55"/>
    </row>
    <row r="987" spans="21:51">
      <c r="U987" s="55"/>
      <c r="V987" s="55"/>
      <c r="W987" s="55"/>
      <c r="X987" s="55"/>
      <c r="Y987" s="55"/>
      <c r="Z987" s="55"/>
      <c r="AA987" s="55"/>
      <c r="AB987" s="55"/>
      <c r="AC987" s="55"/>
      <c r="AD987" s="55"/>
      <c r="AE987" s="55"/>
      <c r="AF987" s="55"/>
      <c r="AG987" s="55"/>
      <c r="AH987" s="55"/>
      <c r="AI987" s="55"/>
      <c r="AJ987" s="55"/>
      <c r="AK987" s="55"/>
      <c r="AL987" s="55"/>
      <c r="AM987" s="55"/>
      <c r="AN987" s="55"/>
      <c r="AO987" s="55"/>
      <c r="AP987" s="55"/>
      <c r="AQ987" s="55"/>
      <c r="AR987" s="55"/>
      <c r="AS987" s="55"/>
      <c r="AT987" s="55"/>
      <c r="AU987" s="55"/>
      <c r="AV987" s="55"/>
      <c r="AW987" s="55"/>
      <c r="AX987" s="55"/>
      <c r="AY987" s="55"/>
    </row>
    <row r="988" spans="21:51">
      <c r="U988" s="55"/>
      <c r="V988" s="55"/>
      <c r="W988" s="55"/>
      <c r="X988" s="55"/>
      <c r="Y988" s="55"/>
      <c r="Z988" s="55"/>
      <c r="AA988" s="55"/>
      <c r="AB988" s="55"/>
      <c r="AC988" s="55"/>
      <c r="AD988" s="55"/>
      <c r="AE988" s="55"/>
      <c r="AF988" s="55"/>
      <c r="AG988" s="55"/>
      <c r="AH988" s="55"/>
      <c r="AI988" s="55"/>
      <c r="AJ988" s="55"/>
      <c r="AK988" s="55"/>
      <c r="AL988" s="55"/>
      <c r="AM988" s="55"/>
      <c r="AN988" s="55"/>
      <c r="AO988" s="55"/>
      <c r="AP988" s="55"/>
      <c r="AQ988" s="55"/>
      <c r="AR988" s="55"/>
      <c r="AS988" s="55"/>
      <c r="AT988" s="55"/>
      <c r="AU988" s="55"/>
      <c r="AV988" s="55"/>
      <c r="AW988" s="55"/>
      <c r="AX988" s="55"/>
      <c r="AY988" s="55"/>
    </row>
    <row r="989" spans="21:51">
      <c r="U989" s="55"/>
      <c r="V989" s="55"/>
      <c r="W989" s="55"/>
      <c r="X989" s="55"/>
      <c r="Y989" s="55"/>
      <c r="Z989" s="55"/>
      <c r="AA989" s="55"/>
      <c r="AB989" s="55"/>
      <c r="AC989" s="55"/>
      <c r="AD989" s="55"/>
      <c r="AE989" s="55"/>
      <c r="AF989" s="55"/>
      <c r="AG989" s="55"/>
      <c r="AH989" s="55"/>
      <c r="AI989" s="55"/>
      <c r="AJ989" s="55"/>
      <c r="AK989" s="55"/>
      <c r="AL989" s="55"/>
      <c r="AM989" s="55"/>
      <c r="AN989" s="55"/>
      <c r="AO989" s="55"/>
      <c r="AP989" s="55"/>
      <c r="AQ989" s="55"/>
      <c r="AR989" s="55"/>
      <c r="AS989" s="55"/>
      <c r="AT989" s="55"/>
      <c r="AU989" s="55"/>
      <c r="AV989" s="55"/>
      <c r="AW989" s="55"/>
      <c r="AX989" s="55"/>
      <c r="AY989" s="55"/>
    </row>
    <row r="990" spans="21:51">
      <c r="U990" s="55"/>
      <c r="V990" s="55"/>
      <c r="W990" s="55"/>
      <c r="X990" s="55"/>
      <c r="Y990" s="55"/>
      <c r="Z990" s="55"/>
      <c r="AA990" s="55"/>
      <c r="AB990" s="55"/>
      <c r="AC990" s="55"/>
      <c r="AD990" s="55"/>
      <c r="AE990" s="55"/>
      <c r="AF990" s="55"/>
      <c r="AG990" s="55"/>
      <c r="AH990" s="55"/>
      <c r="AI990" s="55"/>
      <c r="AJ990" s="55"/>
      <c r="AK990" s="55"/>
      <c r="AL990" s="55"/>
      <c r="AM990" s="55"/>
      <c r="AN990" s="55"/>
      <c r="AO990" s="55"/>
      <c r="AP990" s="55"/>
      <c r="AQ990" s="55"/>
      <c r="AR990" s="55"/>
      <c r="AS990" s="55"/>
      <c r="AT990" s="55"/>
      <c r="AU990" s="55"/>
      <c r="AV990" s="55"/>
      <c r="AW990" s="55"/>
      <c r="AX990" s="55"/>
      <c r="AY990" s="55"/>
    </row>
    <row r="991" spans="21:51">
      <c r="U991" s="55"/>
      <c r="V991" s="55"/>
      <c r="W991" s="55"/>
      <c r="X991" s="55"/>
      <c r="Y991" s="55"/>
      <c r="Z991" s="55"/>
      <c r="AA991" s="55"/>
      <c r="AB991" s="55"/>
      <c r="AC991" s="55"/>
      <c r="AD991" s="55"/>
      <c r="AE991" s="55"/>
      <c r="AF991" s="55"/>
      <c r="AG991" s="55"/>
      <c r="AH991" s="55"/>
      <c r="AI991" s="55"/>
      <c r="AJ991" s="55"/>
      <c r="AK991" s="55"/>
      <c r="AL991" s="55"/>
      <c r="AM991" s="55"/>
      <c r="AN991" s="55"/>
      <c r="AO991" s="55"/>
      <c r="AP991" s="55"/>
      <c r="AQ991" s="55"/>
      <c r="AR991" s="55"/>
      <c r="AS991" s="55"/>
      <c r="AT991" s="55"/>
      <c r="AU991" s="55"/>
      <c r="AV991" s="55"/>
      <c r="AW991" s="55"/>
      <c r="AX991" s="55"/>
      <c r="AY991" s="55"/>
    </row>
    <row r="992" spans="21:51">
      <c r="U992" s="55"/>
      <c r="V992" s="55"/>
      <c r="W992" s="55"/>
      <c r="X992" s="55"/>
      <c r="Y992" s="55"/>
      <c r="Z992" s="55"/>
      <c r="AA992" s="55"/>
      <c r="AB992" s="55"/>
      <c r="AC992" s="55"/>
      <c r="AD992" s="55"/>
      <c r="AE992" s="55"/>
      <c r="AF992" s="55"/>
      <c r="AG992" s="55"/>
      <c r="AH992" s="55"/>
      <c r="AI992" s="55"/>
      <c r="AJ992" s="55"/>
      <c r="AK992" s="55"/>
      <c r="AL992" s="55"/>
      <c r="AM992" s="55"/>
      <c r="AN992" s="55"/>
      <c r="AO992" s="55"/>
      <c r="AP992" s="55"/>
      <c r="AQ992" s="55"/>
      <c r="AR992" s="55"/>
      <c r="AS992" s="55"/>
      <c r="AT992" s="55"/>
      <c r="AU992" s="55"/>
      <c r="AV992" s="55"/>
      <c r="AW992" s="55"/>
      <c r="AX992" s="55"/>
      <c r="AY992" s="55"/>
    </row>
    <row r="993" spans="21:51">
      <c r="U993" s="55"/>
      <c r="V993" s="55"/>
      <c r="W993" s="55"/>
      <c r="X993" s="55"/>
      <c r="Y993" s="55"/>
      <c r="Z993" s="55"/>
      <c r="AA993" s="55"/>
      <c r="AB993" s="55"/>
      <c r="AC993" s="55"/>
      <c r="AD993" s="55"/>
      <c r="AE993" s="55"/>
      <c r="AF993" s="55"/>
      <c r="AG993" s="55"/>
      <c r="AH993" s="55"/>
      <c r="AI993" s="55"/>
      <c r="AJ993" s="55"/>
      <c r="AK993" s="55"/>
      <c r="AL993" s="55"/>
      <c r="AM993" s="55"/>
      <c r="AN993" s="55"/>
      <c r="AO993" s="55"/>
      <c r="AP993" s="55"/>
      <c r="AQ993" s="55"/>
      <c r="AR993" s="55"/>
      <c r="AS993" s="55"/>
      <c r="AT993" s="55"/>
      <c r="AU993" s="55"/>
      <c r="AV993" s="55"/>
      <c r="AW993" s="55"/>
      <c r="AX993" s="55"/>
      <c r="AY993" s="55"/>
    </row>
    <row r="994" spans="21:51">
      <c r="U994" s="55"/>
      <c r="V994" s="55"/>
      <c r="W994" s="55"/>
      <c r="X994" s="55"/>
      <c r="Y994" s="55"/>
      <c r="Z994" s="55"/>
      <c r="AA994" s="55"/>
      <c r="AB994" s="55"/>
      <c r="AC994" s="55"/>
      <c r="AD994" s="55"/>
      <c r="AE994" s="55"/>
      <c r="AF994" s="55"/>
      <c r="AG994" s="55"/>
      <c r="AH994" s="55"/>
      <c r="AI994" s="55"/>
      <c r="AJ994" s="55"/>
      <c r="AK994" s="55"/>
      <c r="AL994" s="55"/>
      <c r="AM994" s="55"/>
      <c r="AN994" s="55"/>
      <c r="AO994" s="55"/>
      <c r="AP994" s="55"/>
      <c r="AQ994" s="55"/>
      <c r="AR994" s="55"/>
      <c r="AS994" s="55"/>
      <c r="AT994" s="55"/>
      <c r="AU994" s="55"/>
      <c r="AV994" s="55"/>
      <c r="AW994" s="55"/>
      <c r="AX994" s="55"/>
      <c r="AY994" s="55"/>
    </row>
    <row r="995" spans="21:51">
      <c r="U995" s="55"/>
      <c r="V995" s="55"/>
      <c r="W995" s="55"/>
      <c r="X995" s="55"/>
      <c r="Y995" s="55"/>
      <c r="Z995" s="55"/>
      <c r="AA995" s="55"/>
      <c r="AB995" s="55"/>
      <c r="AC995" s="55"/>
      <c r="AD995" s="55"/>
      <c r="AE995" s="55"/>
      <c r="AF995" s="55"/>
      <c r="AG995" s="55"/>
      <c r="AH995" s="55"/>
      <c r="AI995" s="55"/>
      <c r="AJ995" s="55"/>
      <c r="AK995" s="55"/>
      <c r="AL995" s="55"/>
      <c r="AM995" s="55"/>
      <c r="AN995" s="55"/>
      <c r="AO995" s="55"/>
      <c r="AP995" s="55"/>
      <c r="AQ995" s="55"/>
      <c r="AR995" s="55"/>
      <c r="AS995" s="55"/>
      <c r="AT995" s="55"/>
      <c r="AU995" s="55"/>
      <c r="AV995" s="55"/>
      <c r="AW995" s="55"/>
      <c r="AX995" s="55"/>
      <c r="AY995" s="55"/>
    </row>
    <row r="996" spans="21:51">
      <c r="U996" s="55"/>
      <c r="V996" s="55"/>
      <c r="W996" s="55"/>
      <c r="X996" s="55"/>
      <c r="Y996" s="55"/>
      <c r="Z996" s="55"/>
      <c r="AA996" s="55"/>
      <c r="AB996" s="55"/>
      <c r="AC996" s="55"/>
      <c r="AD996" s="55"/>
      <c r="AE996" s="55"/>
      <c r="AF996" s="55"/>
      <c r="AG996" s="55"/>
      <c r="AH996" s="55"/>
      <c r="AI996" s="55"/>
      <c r="AJ996" s="55"/>
      <c r="AK996" s="55"/>
      <c r="AL996" s="55"/>
      <c r="AM996" s="55"/>
      <c r="AN996" s="55"/>
      <c r="AO996" s="55"/>
      <c r="AP996" s="55"/>
      <c r="AQ996" s="55"/>
      <c r="AR996" s="55"/>
      <c r="AS996" s="55"/>
      <c r="AT996" s="55"/>
      <c r="AU996" s="55"/>
      <c r="AV996" s="55"/>
      <c r="AW996" s="55"/>
      <c r="AX996" s="55"/>
      <c r="AY996" s="55"/>
    </row>
    <row r="997" spans="21:51">
      <c r="U997" s="55"/>
      <c r="V997" s="55"/>
      <c r="W997" s="55"/>
      <c r="X997" s="55"/>
      <c r="Y997" s="55"/>
      <c r="Z997" s="55"/>
      <c r="AA997" s="55"/>
      <c r="AB997" s="55"/>
      <c r="AC997" s="55"/>
      <c r="AD997" s="55"/>
      <c r="AE997" s="55"/>
      <c r="AF997" s="55"/>
      <c r="AG997" s="55"/>
      <c r="AH997" s="55"/>
      <c r="AI997" s="55"/>
      <c r="AJ997" s="55"/>
      <c r="AK997" s="55"/>
      <c r="AL997" s="55"/>
      <c r="AM997" s="55"/>
      <c r="AN997" s="55"/>
      <c r="AO997" s="55"/>
      <c r="AP997" s="55"/>
      <c r="AQ997" s="55"/>
      <c r="AR997" s="55"/>
      <c r="AS997" s="55"/>
      <c r="AT997" s="55"/>
      <c r="AU997" s="55"/>
      <c r="AV997" s="55"/>
      <c r="AW997" s="55"/>
      <c r="AX997" s="55"/>
      <c r="AY997" s="55"/>
    </row>
    <row r="998" spans="21:51">
      <c r="U998" s="55"/>
      <c r="V998" s="55"/>
      <c r="W998" s="55"/>
      <c r="X998" s="55"/>
      <c r="Y998" s="55"/>
      <c r="Z998" s="55"/>
      <c r="AA998" s="55"/>
      <c r="AB998" s="55"/>
      <c r="AC998" s="55"/>
      <c r="AD998" s="55"/>
      <c r="AE998" s="55"/>
      <c r="AF998" s="55"/>
      <c r="AG998" s="55"/>
      <c r="AH998" s="55"/>
      <c r="AI998" s="55"/>
      <c r="AJ998" s="55"/>
      <c r="AK998" s="55"/>
      <c r="AL998" s="55"/>
      <c r="AM998" s="55"/>
      <c r="AN998" s="55"/>
      <c r="AO998" s="55"/>
      <c r="AP998" s="55"/>
      <c r="AQ998" s="55"/>
      <c r="AR998" s="55"/>
      <c r="AS998" s="55"/>
      <c r="AT998" s="55"/>
      <c r="AU998" s="55"/>
      <c r="AV998" s="55"/>
      <c r="AW998" s="55"/>
      <c r="AX998" s="55"/>
      <c r="AY998" s="55"/>
    </row>
    <row r="999" spans="21:51">
      <c r="U999" s="55"/>
      <c r="V999" s="55"/>
      <c r="W999" s="55"/>
      <c r="X999" s="55"/>
      <c r="Y999" s="55"/>
      <c r="Z999" s="55"/>
      <c r="AA999" s="55"/>
      <c r="AB999" s="55"/>
      <c r="AC999" s="55"/>
      <c r="AD999" s="55"/>
      <c r="AE999" s="55"/>
      <c r="AF999" s="55"/>
      <c r="AG999" s="55"/>
      <c r="AH999" s="55"/>
      <c r="AI999" s="55"/>
      <c r="AJ999" s="55"/>
      <c r="AK999" s="55"/>
      <c r="AL999" s="55"/>
      <c r="AM999" s="55"/>
      <c r="AN999" s="55"/>
      <c r="AO999" s="55"/>
      <c r="AP999" s="55"/>
      <c r="AQ999" s="55"/>
      <c r="AR999" s="55"/>
      <c r="AS999" s="55"/>
      <c r="AT999" s="55"/>
      <c r="AU999" s="55"/>
      <c r="AV999" s="55"/>
      <c r="AW999" s="55"/>
      <c r="AX999" s="55"/>
      <c r="AY999" s="55"/>
    </row>
    <row r="1000" spans="21:51">
      <c r="U1000" s="55"/>
      <c r="V1000" s="55"/>
      <c r="W1000" s="55"/>
      <c r="X1000" s="55"/>
      <c r="Y1000" s="55"/>
      <c r="Z1000" s="55"/>
      <c r="AA1000" s="55"/>
      <c r="AB1000" s="55"/>
      <c r="AC1000" s="55"/>
      <c r="AD1000" s="55"/>
      <c r="AE1000" s="55"/>
      <c r="AF1000" s="55"/>
      <c r="AG1000" s="55"/>
      <c r="AH1000" s="55"/>
      <c r="AI1000" s="55"/>
      <c r="AJ1000" s="55"/>
      <c r="AK1000" s="55"/>
      <c r="AL1000" s="55"/>
      <c r="AM1000" s="55"/>
      <c r="AN1000" s="55"/>
      <c r="AO1000" s="55"/>
      <c r="AP1000" s="55"/>
      <c r="AQ1000" s="55"/>
      <c r="AR1000" s="55"/>
      <c r="AS1000" s="55"/>
      <c r="AT1000" s="55"/>
      <c r="AU1000" s="55"/>
      <c r="AV1000" s="55"/>
      <c r="AW1000" s="55"/>
      <c r="AX1000" s="55"/>
      <c r="AY1000" s="55"/>
    </row>
    <row r="1001" spans="21:51">
      <c r="U1001" s="55"/>
      <c r="V1001" s="55"/>
      <c r="W1001" s="55"/>
      <c r="X1001" s="55"/>
      <c r="Y1001" s="55"/>
      <c r="Z1001" s="55"/>
      <c r="AA1001" s="55"/>
      <c r="AB1001" s="55"/>
      <c r="AC1001" s="55"/>
      <c r="AD1001" s="55"/>
      <c r="AE1001" s="55"/>
      <c r="AF1001" s="55"/>
      <c r="AG1001" s="55"/>
      <c r="AH1001" s="55"/>
      <c r="AI1001" s="55"/>
      <c r="AJ1001" s="55"/>
      <c r="AK1001" s="55"/>
      <c r="AL1001" s="55"/>
      <c r="AM1001" s="55"/>
      <c r="AN1001" s="55"/>
      <c r="AO1001" s="55"/>
      <c r="AP1001" s="55"/>
      <c r="AQ1001" s="55"/>
      <c r="AR1001" s="55"/>
      <c r="AS1001" s="55"/>
      <c r="AT1001" s="55"/>
      <c r="AU1001" s="55"/>
      <c r="AV1001" s="55"/>
      <c r="AW1001" s="55"/>
      <c r="AX1001" s="55"/>
      <c r="AY1001" s="55"/>
    </row>
    <row r="1002" spans="21:51">
      <c r="U1002" s="55"/>
      <c r="V1002" s="55"/>
      <c r="W1002" s="55"/>
      <c r="X1002" s="55"/>
      <c r="Y1002" s="55"/>
      <c r="Z1002" s="55"/>
      <c r="AA1002" s="55"/>
      <c r="AB1002" s="55"/>
      <c r="AC1002" s="55"/>
      <c r="AD1002" s="55"/>
      <c r="AE1002" s="55"/>
      <c r="AF1002" s="55"/>
      <c r="AG1002" s="55"/>
      <c r="AH1002" s="55"/>
      <c r="AI1002" s="55"/>
      <c r="AJ1002" s="55"/>
      <c r="AK1002" s="55"/>
      <c r="AL1002" s="55"/>
      <c r="AM1002" s="55"/>
      <c r="AN1002" s="55"/>
      <c r="AO1002" s="55"/>
      <c r="AP1002" s="55"/>
      <c r="AQ1002" s="55"/>
      <c r="AR1002" s="55"/>
      <c r="AS1002" s="55"/>
      <c r="AT1002" s="55"/>
      <c r="AU1002" s="55"/>
      <c r="AV1002" s="55"/>
      <c r="AW1002" s="55"/>
      <c r="AX1002" s="55"/>
      <c r="AY1002" s="55"/>
    </row>
    <row r="1003" spans="21:51">
      <c r="U1003" s="55"/>
      <c r="V1003" s="55"/>
      <c r="W1003" s="55"/>
      <c r="X1003" s="55"/>
      <c r="Y1003" s="55"/>
      <c r="Z1003" s="55"/>
      <c r="AA1003" s="55"/>
      <c r="AB1003" s="55"/>
      <c r="AC1003" s="55"/>
      <c r="AD1003" s="55"/>
      <c r="AE1003" s="55"/>
      <c r="AF1003" s="55"/>
      <c r="AG1003" s="55"/>
      <c r="AH1003" s="55"/>
      <c r="AI1003" s="55"/>
      <c r="AJ1003" s="55"/>
      <c r="AK1003" s="55"/>
      <c r="AL1003" s="55"/>
      <c r="AM1003" s="55"/>
      <c r="AN1003" s="55"/>
      <c r="AO1003" s="55"/>
      <c r="AP1003" s="55"/>
      <c r="AQ1003" s="55"/>
      <c r="AR1003" s="55"/>
      <c r="AS1003" s="55"/>
      <c r="AT1003" s="55"/>
      <c r="AU1003" s="55"/>
      <c r="AV1003" s="55"/>
      <c r="AW1003" s="55"/>
      <c r="AX1003" s="55"/>
      <c r="AY1003" s="55"/>
    </row>
    <row r="1004" spans="21:51">
      <c r="U1004" s="55"/>
      <c r="V1004" s="55"/>
      <c r="W1004" s="55"/>
      <c r="X1004" s="55"/>
      <c r="Y1004" s="55"/>
      <c r="Z1004" s="55"/>
      <c r="AA1004" s="55"/>
      <c r="AB1004" s="55"/>
      <c r="AC1004" s="55"/>
      <c r="AD1004" s="55"/>
      <c r="AE1004" s="55"/>
      <c r="AF1004" s="55"/>
      <c r="AG1004" s="55"/>
      <c r="AH1004" s="55"/>
      <c r="AI1004" s="55"/>
      <c r="AJ1004" s="55"/>
      <c r="AK1004" s="55"/>
      <c r="AL1004" s="55"/>
      <c r="AM1004" s="55"/>
      <c r="AN1004" s="55"/>
      <c r="AO1004" s="55"/>
      <c r="AP1004" s="55"/>
      <c r="AQ1004" s="55"/>
      <c r="AR1004" s="55"/>
      <c r="AS1004" s="55"/>
      <c r="AT1004" s="55"/>
      <c r="AU1004" s="55"/>
      <c r="AV1004" s="55"/>
      <c r="AW1004" s="55"/>
      <c r="AX1004" s="55"/>
      <c r="AY1004" s="55"/>
    </row>
    <row r="1005" spans="21:51">
      <c r="U1005" s="55"/>
      <c r="V1005" s="55"/>
      <c r="W1005" s="55"/>
      <c r="X1005" s="55"/>
      <c r="Y1005" s="55"/>
      <c r="Z1005" s="55"/>
      <c r="AA1005" s="55"/>
      <c r="AB1005" s="55"/>
      <c r="AC1005" s="55"/>
      <c r="AD1005" s="55"/>
      <c r="AE1005" s="55"/>
      <c r="AF1005" s="55"/>
      <c r="AG1005" s="55"/>
      <c r="AH1005" s="55"/>
      <c r="AI1005" s="55"/>
      <c r="AJ1005" s="55"/>
      <c r="AK1005" s="55"/>
      <c r="AL1005" s="55"/>
      <c r="AM1005" s="55"/>
      <c r="AN1005" s="55"/>
      <c r="AO1005" s="55"/>
      <c r="AP1005" s="55"/>
      <c r="AQ1005" s="55"/>
      <c r="AR1005" s="55"/>
      <c r="AS1005" s="55"/>
      <c r="AT1005" s="55"/>
      <c r="AU1005" s="55"/>
      <c r="AV1005" s="55"/>
      <c r="AW1005" s="55"/>
      <c r="AX1005" s="55"/>
      <c r="AY1005" s="55"/>
    </row>
    <row r="1006" spans="21:51">
      <c r="U1006" s="55"/>
      <c r="V1006" s="55"/>
      <c r="W1006" s="55"/>
      <c r="X1006" s="55"/>
      <c r="Y1006" s="55"/>
      <c r="Z1006" s="55"/>
      <c r="AA1006" s="55"/>
      <c r="AB1006" s="55"/>
      <c r="AC1006" s="55"/>
      <c r="AD1006" s="55"/>
      <c r="AE1006" s="55"/>
      <c r="AF1006" s="55"/>
      <c r="AG1006" s="55"/>
      <c r="AH1006" s="55"/>
      <c r="AI1006" s="55"/>
      <c r="AJ1006" s="55"/>
      <c r="AK1006" s="55"/>
      <c r="AL1006" s="55"/>
      <c r="AM1006" s="55"/>
      <c r="AN1006" s="55"/>
      <c r="AO1006" s="55"/>
      <c r="AP1006" s="55"/>
      <c r="AQ1006" s="55"/>
      <c r="AR1006" s="55"/>
      <c r="AS1006" s="55"/>
      <c r="AT1006" s="55"/>
      <c r="AU1006" s="55"/>
      <c r="AV1006" s="55"/>
      <c r="AW1006" s="55"/>
      <c r="AX1006" s="55"/>
      <c r="AY1006" s="55"/>
    </row>
    <row r="1007" spans="21:51">
      <c r="U1007" s="55"/>
      <c r="V1007" s="55"/>
      <c r="W1007" s="55"/>
      <c r="X1007" s="55"/>
      <c r="Y1007" s="55"/>
      <c r="Z1007" s="55"/>
      <c r="AA1007" s="55"/>
      <c r="AB1007" s="55"/>
      <c r="AC1007" s="55"/>
      <c r="AD1007" s="55"/>
      <c r="AE1007" s="55"/>
      <c r="AF1007" s="55"/>
      <c r="AG1007" s="55"/>
      <c r="AH1007" s="55"/>
      <c r="AI1007" s="55"/>
      <c r="AJ1007" s="55"/>
      <c r="AK1007" s="55"/>
      <c r="AL1007" s="55"/>
      <c r="AM1007" s="55"/>
      <c r="AN1007" s="55"/>
      <c r="AO1007" s="55"/>
      <c r="AP1007" s="55"/>
      <c r="AQ1007" s="55"/>
      <c r="AR1007" s="55"/>
      <c r="AS1007" s="55"/>
      <c r="AT1007" s="55"/>
      <c r="AU1007" s="55"/>
      <c r="AV1007" s="55"/>
      <c r="AW1007" s="55"/>
      <c r="AX1007" s="55"/>
      <c r="AY1007" s="55"/>
    </row>
    <row r="1008" spans="21:51">
      <c r="U1008" s="55"/>
      <c r="V1008" s="55"/>
      <c r="W1008" s="55"/>
      <c r="X1008" s="55"/>
      <c r="Y1008" s="55"/>
      <c r="Z1008" s="55"/>
      <c r="AA1008" s="55"/>
      <c r="AB1008" s="55"/>
      <c r="AC1008" s="55"/>
      <c r="AD1008" s="55"/>
      <c r="AE1008" s="55"/>
      <c r="AF1008" s="55"/>
      <c r="AG1008" s="55"/>
      <c r="AH1008" s="55"/>
      <c r="AI1008" s="55"/>
      <c r="AJ1008" s="55"/>
      <c r="AK1008" s="55"/>
      <c r="AL1008" s="55"/>
      <c r="AM1008" s="55"/>
      <c r="AN1008" s="55"/>
      <c r="AO1008" s="55"/>
      <c r="AP1008" s="55"/>
      <c r="AQ1008" s="55"/>
      <c r="AR1008" s="55"/>
      <c r="AS1008" s="55"/>
      <c r="AT1008" s="55"/>
      <c r="AU1008" s="55"/>
      <c r="AV1008" s="55"/>
      <c r="AW1008" s="55"/>
      <c r="AX1008" s="55"/>
      <c r="AY1008" s="55"/>
    </row>
    <row r="1009" spans="21:51">
      <c r="U1009" s="55"/>
      <c r="V1009" s="55"/>
      <c r="W1009" s="55"/>
      <c r="X1009" s="55"/>
      <c r="Y1009" s="55"/>
      <c r="Z1009" s="55"/>
      <c r="AA1009" s="55"/>
      <c r="AB1009" s="55"/>
      <c r="AC1009" s="55"/>
      <c r="AD1009" s="55"/>
      <c r="AE1009" s="55"/>
      <c r="AF1009" s="55"/>
      <c r="AG1009" s="55"/>
      <c r="AH1009" s="55"/>
      <c r="AI1009" s="55"/>
      <c r="AJ1009" s="55"/>
      <c r="AK1009" s="55"/>
      <c r="AL1009" s="55"/>
      <c r="AM1009" s="55"/>
      <c r="AN1009" s="55"/>
      <c r="AO1009" s="55"/>
      <c r="AP1009" s="55"/>
      <c r="AQ1009" s="55"/>
      <c r="AR1009" s="55"/>
      <c r="AS1009" s="55"/>
      <c r="AT1009" s="55"/>
      <c r="AU1009" s="55"/>
      <c r="AV1009" s="55"/>
      <c r="AW1009" s="55"/>
      <c r="AX1009" s="55"/>
      <c r="AY1009" s="55"/>
    </row>
    <row r="1010" spans="21:51">
      <c r="U1010" s="55"/>
      <c r="V1010" s="55"/>
      <c r="W1010" s="55"/>
      <c r="X1010" s="55"/>
      <c r="Y1010" s="55"/>
      <c r="Z1010" s="55"/>
      <c r="AA1010" s="55"/>
      <c r="AB1010" s="55"/>
      <c r="AC1010" s="55"/>
      <c r="AD1010" s="55"/>
      <c r="AE1010" s="55"/>
      <c r="AF1010" s="55"/>
      <c r="AG1010" s="55"/>
      <c r="AH1010" s="55"/>
      <c r="AI1010" s="55"/>
      <c r="AJ1010" s="55"/>
      <c r="AK1010" s="55"/>
      <c r="AL1010" s="55"/>
      <c r="AM1010" s="55"/>
      <c r="AN1010" s="55"/>
      <c r="AO1010" s="55"/>
      <c r="AP1010" s="55"/>
      <c r="AQ1010" s="55"/>
      <c r="AR1010" s="55"/>
      <c r="AS1010" s="55"/>
      <c r="AT1010" s="55"/>
      <c r="AU1010" s="55"/>
      <c r="AV1010" s="55"/>
      <c r="AW1010" s="55"/>
      <c r="AX1010" s="55"/>
      <c r="AY1010" s="55"/>
    </row>
    <row r="1011" spans="21:51">
      <c r="U1011" s="55"/>
      <c r="V1011" s="55"/>
      <c r="W1011" s="55"/>
      <c r="X1011" s="55"/>
      <c r="Y1011" s="55"/>
      <c r="Z1011" s="55"/>
      <c r="AA1011" s="55"/>
      <c r="AB1011" s="55"/>
      <c r="AC1011" s="55"/>
      <c r="AD1011" s="55"/>
      <c r="AE1011" s="55"/>
      <c r="AF1011" s="55"/>
      <c r="AG1011" s="55"/>
      <c r="AH1011" s="55"/>
      <c r="AI1011" s="55"/>
      <c r="AJ1011" s="55"/>
      <c r="AK1011" s="55"/>
      <c r="AL1011" s="55"/>
      <c r="AM1011" s="55"/>
      <c r="AN1011" s="55"/>
      <c r="AO1011" s="55"/>
      <c r="AP1011" s="55"/>
      <c r="AQ1011" s="55"/>
      <c r="AR1011" s="55"/>
      <c r="AS1011" s="55"/>
      <c r="AT1011" s="55"/>
      <c r="AU1011" s="55"/>
      <c r="AV1011" s="55"/>
      <c r="AW1011" s="55"/>
      <c r="AX1011" s="55"/>
      <c r="AY1011" s="55"/>
    </row>
    <row r="1012" spans="21:51">
      <c r="U1012" s="55"/>
      <c r="V1012" s="55"/>
      <c r="W1012" s="55"/>
      <c r="X1012" s="55"/>
      <c r="Y1012" s="55"/>
      <c r="Z1012" s="55"/>
      <c r="AA1012" s="55"/>
      <c r="AB1012" s="55"/>
      <c r="AC1012" s="55"/>
      <c r="AD1012" s="55"/>
      <c r="AE1012" s="55"/>
      <c r="AF1012" s="55"/>
      <c r="AG1012" s="55"/>
      <c r="AH1012" s="55"/>
      <c r="AI1012" s="55"/>
      <c r="AJ1012" s="55"/>
      <c r="AK1012" s="55"/>
      <c r="AL1012" s="55"/>
      <c r="AM1012" s="55"/>
      <c r="AN1012" s="55"/>
      <c r="AO1012" s="55"/>
      <c r="AP1012" s="55"/>
      <c r="AQ1012" s="55"/>
      <c r="AR1012" s="55"/>
      <c r="AS1012" s="55"/>
      <c r="AT1012" s="55"/>
      <c r="AU1012" s="55"/>
      <c r="AV1012" s="55"/>
      <c r="AW1012" s="55"/>
      <c r="AX1012" s="55"/>
      <c r="AY1012" s="55"/>
    </row>
    <row r="1013" spans="21:51">
      <c r="U1013" s="55"/>
      <c r="V1013" s="55"/>
      <c r="W1013" s="55"/>
      <c r="X1013" s="55"/>
      <c r="Y1013" s="55"/>
      <c r="Z1013" s="55"/>
      <c r="AA1013" s="55"/>
      <c r="AB1013" s="55"/>
      <c r="AC1013" s="55"/>
      <c r="AD1013" s="55"/>
      <c r="AE1013" s="55"/>
      <c r="AF1013" s="55"/>
      <c r="AG1013" s="55"/>
      <c r="AH1013" s="55"/>
      <c r="AI1013" s="55"/>
      <c r="AJ1013" s="55"/>
      <c r="AK1013" s="55"/>
      <c r="AL1013" s="55"/>
      <c r="AM1013" s="55"/>
      <c r="AN1013" s="55"/>
      <c r="AO1013" s="55"/>
      <c r="AP1013" s="55"/>
      <c r="AQ1013" s="55"/>
      <c r="AR1013" s="55"/>
      <c r="AS1013" s="55"/>
      <c r="AT1013" s="55"/>
      <c r="AU1013" s="55"/>
      <c r="AV1013" s="55"/>
      <c r="AW1013" s="55"/>
      <c r="AX1013" s="55"/>
      <c r="AY1013" s="55"/>
    </row>
    <row r="1014" spans="21:51">
      <c r="U1014" s="55"/>
      <c r="V1014" s="55"/>
      <c r="W1014" s="55"/>
      <c r="X1014" s="55"/>
      <c r="Y1014" s="55"/>
      <c r="Z1014" s="55"/>
      <c r="AA1014" s="55"/>
      <c r="AB1014" s="55"/>
      <c r="AC1014" s="55"/>
      <c r="AD1014" s="55"/>
      <c r="AE1014" s="55"/>
      <c r="AF1014" s="55"/>
      <c r="AG1014" s="55"/>
      <c r="AH1014" s="55"/>
      <c r="AI1014" s="55"/>
      <c r="AJ1014" s="55"/>
      <c r="AK1014" s="55"/>
      <c r="AL1014" s="55"/>
      <c r="AM1014" s="55"/>
      <c r="AN1014" s="55"/>
      <c r="AO1014" s="55"/>
      <c r="AP1014" s="55"/>
      <c r="AQ1014" s="55"/>
      <c r="AR1014" s="55"/>
      <c r="AS1014" s="55"/>
      <c r="AT1014" s="55"/>
      <c r="AU1014" s="55"/>
      <c r="AV1014" s="55"/>
      <c r="AW1014" s="55"/>
      <c r="AX1014" s="55"/>
      <c r="AY1014" s="55"/>
    </row>
    <row r="1015" spans="21:51">
      <c r="U1015" s="55"/>
      <c r="V1015" s="55"/>
      <c r="W1015" s="55"/>
      <c r="X1015" s="55"/>
      <c r="Y1015" s="55"/>
      <c r="Z1015" s="55"/>
      <c r="AA1015" s="55"/>
      <c r="AB1015" s="55"/>
      <c r="AC1015" s="55"/>
      <c r="AD1015" s="55"/>
      <c r="AE1015" s="55"/>
      <c r="AF1015" s="55"/>
      <c r="AG1015" s="55"/>
      <c r="AH1015" s="55"/>
      <c r="AI1015" s="55"/>
      <c r="AJ1015" s="55"/>
      <c r="AK1015" s="55"/>
      <c r="AL1015" s="55"/>
      <c r="AM1015" s="55"/>
      <c r="AN1015" s="55"/>
      <c r="AO1015" s="55"/>
      <c r="AP1015" s="55"/>
      <c r="AQ1015" s="55"/>
      <c r="AR1015" s="55"/>
      <c r="AS1015" s="55"/>
      <c r="AT1015" s="55"/>
      <c r="AU1015" s="55"/>
      <c r="AV1015" s="55"/>
      <c r="AW1015" s="55"/>
      <c r="AX1015" s="55"/>
      <c r="AY1015" s="55"/>
    </row>
    <row r="1016" spans="21:51">
      <c r="U1016" s="55"/>
      <c r="V1016" s="55"/>
      <c r="W1016" s="55"/>
      <c r="X1016" s="55"/>
      <c r="Y1016" s="55"/>
      <c r="Z1016" s="55"/>
      <c r="AA1016" s="55"/>
      <c r="AB1016" s="55"/>
      <c r="AC1016" s="55"/>
      <c r="AD1016" s="55"/>
      <c r="AE1016" s="55"/>
      <c r="AF1016" s="55"/>
      <c r="AG1016" s="55"/>
      <c r="AH1016" s="55"/>
      <c r="AI1016" s="55"/>
      <c r="AJ1016" s="55"/>
      <c r="AK1016" s="55"/>
      <c r="AL1016" s="55"/>
      <c r="AM1016" s="55"/>
      <c r="AN1016" s="55"/>
      <c r="AO1016" s="55"/>
      <c r="AP1016" s="55"/>
      <c r="AQ1016" s="55"/>
      <c r="AR1016" s="55"/>
      <c r="AS1016" s="55"/>
      <c r="AT1016" s="55"/>
      <c r="AU1016" s="55"/>
      <c r="AV1016" s="55"/>
      <c r="AW1016" s="55"/>
      <c r="AX1016" s="55"/>
      <c r="AY1016" s="55"/>
    </row>
    <row r="1017" spans="21:51">
      <c r="U1017" s="55"/>
      <c r="V1017" s="55"/>
      <c r="W1017" s="55"/>
      <c r="X1017" s="55"/>
      <c r="Y1017" s="55"/>
      <c r="Z1017" s="55"/>
      <c r="AA1017" s="55"/>
      <c r="AB1017" s="55"/>
      <c r="AC1017" s="55"/>
      <c r="AD1017" s="55"/>
      <c r="AE1017" s="55"/>
      <c r="AF1017" s="55"/>
      <c r="AG1017" s="55"/>
      <c r="AH1017" s="55"/>
      <c r="AI1017" s="55"/>
      <c r="AJ1017" s="55"/>
      <c r="AK1017" s="55"/>
      <c r="AL1017" s="55"/>
      <c r="AM1017" s="55"/>
      <c r="AN1017" s="55"/>
      <c r="AO1017" s="55"/>
      <c r="AP1017" s="55"/>
      <c r="AQ1017" s="55"/>
      <c r="AR1017" s="55"/>
      <c r="AS1017" s="55"/>
      <c r="AT1017" s="55"/>
      <c r="AU1017" s="55"/>
      <c r="AV1017" s="55"/>
      <c r="AW1017" s="55"/>
      <c r="AX1017" s="55"/>
      <c r="AY1017" s="55"/>
    </row>
    <row r="1018" spans="21:51">
      <c r="U1018" s="55"/>
      <c r="V1018" s="55"/>
      <c r="W1018" s="55"/>
      <c r="X1018" s="55"/>
      <c r="Y1018" s="55"/>
      <c r="Z1018" s="55"/>
      <c r="AA1018" s="55"/>
      <c r="AB1018" s="55"/>
      <c r="AC1018" s="55"/>
      <c r="AD1018" s="55"/>
      <c r="AE1018" s="55"/>
      <c r="AF1018" s="55"/>
      <c r="AG1018" s="55"/>
      <c r="AH1018" s="55"/>
      <c r="AI1018" s="55"/>
      <c r="AJ1018" s="55"/>
      <c r="AK1018" s="55"/>
      <c r="AL1018" s="55"/>
      <c r="AM1018" s="55"/>
      <c r="AN1018" s="55"/>
      <c r="AO1018" s="55"/>
      <c r="AP1018" s="55"/>
      <c r="AQ1018" s="55"/>
      <c r="AR1018" s="55"/>
      <c r="AS1018" s="55"/>
      <c r="AT1018" s="55"/>
      <c r="AU1018" s="55"/>
      <c r="AV1018" s="55"/>
      <c r="AW1018" s="55"/>
      <c r="AX1018" s="55"/>
      <c r="AY1018" s="55"/>
    </row>
    <row r="1019" spans="21:51">
      <c r="U1019" s="55"/>
      <c r="V1019" s="55"/>
      <c r="W1019" s="55"/>
      <c r="X1019" s="55"/>
      <c r="Y1019" s="55"/>
      <c r="Z1019" s="55"/>
      <c r="AA1019" s="55"/>
      <c r="AB1019" s="55"/>
      <c r="AC1019" s="55"/>
      <c r="AD1019" s="55"/>
      <c r="AE1019" s="55"/>
      <c r="AF1019" s="55"/>
      <c r="AG1019" s="55"/>
      <c r="AH1019" s="55"/>
      <c r="AI1019" s="55"/>
      <c r="AJ1019" s="55"/>
      <c r="AK1019" s="55"/>
      <c r="AL1019" s="55"/>
      <c r="AM1019" s="55"/>
      <c r="AN1019" s="55"/>
      <c r="AO1019" s="55"/>
      <c r="AP1019" s="55"/>
      <c r="AQ1019" s="55"/>
      <c r="AR1019" s="55"/>
      <c r="AS1019" s="55"/>
      <c r="AT1019" s="55"/>
      <c r="AU1019" s="55"/>
      <c r="AV1019" s="55"/>
      <c r="AW1019" s="55"/>
      <c r="AX1019" s="55"/>
      <c r="AY1019" s="55"/>
    </row>
    <row r="1020" spans="21:51">
      <c r="U1020" s="55"/>
      <c r="V1020" s="55"/>
      <c r="W1020" s="55"/>
      <c r="X1020" s="55"/>
      <c r="Y1020" s="55"/>
      <c r="Z1020" s="55"/>
      <c r="AA1020" s="55"/>
      <c r="AB1020" s="55"/>
      <c r="AC1020" s="55"/>
      <c r="AD1020" s="55"/>
      <c r="AE1020" s="55"/>
      <c r="AF1020" s="55"/>
      <c r="AG1020" s="55"/>
      <c r="AH1020" s="55"/>
      <c r="AI1020" s="55"/>
      <c r="AJ1020" s="55"/>
      <c r="AK1020" s="55"/>
      <c r="AL1020" s="55"/>
      <c r="AM1020" s="55"/>
      <c r="AN1020" s="55"/>
      <c r="AO1020" s="55"/>
      <c r="AP1020" s="55"/>
      <c r="AQ1020" s="55"/>
      <c r="AR1020" s="55"/>
      <c r="AS1020" s="55"/>
      <c r="AT1020" s="55"/>
      <c r="AU1020" s="55"/>
      <c r="AV1020" s="55"/>
      <c r="AW1020" s="55"/>
      <c r="AX1020" s="55"/>
      <c r="AY1020" s="55"/>
    </row>
    <row r="1021" spans="21:51">
      <c r="U1021" s="55"/>
      <c r="V1021" s="55"/>
      <c r="W1021" s="55"/>
      <c r="X1021" s="55"/>
      <c r="Y1021" s="55"/>
      <c r="Z1021" s="55"/>
      <c r="AA1021" s="55"/>
      <c r="AB1021" s="55"/>
      <c r="AC1021" s="55"/>
      <c r="AD1021" s="55"/>
      <c r="AE1021" s="55"/>
      <c r="AF1021" s="55"/>
      <c r="AG1021" s="55"/>
      <c r="AH1021" s="55"/>
      <c r="AI1021" s="55"/>
      <c r="AJ1021" s="55"/>
      <c r="AK1021" s="55"/>
      <c r="AL1021" s="55"/>
      <c r="AM1021" s="55"/>
      <c r="AN1021" s="55"/>
      <c r="AO1021" s="55"/>
      <c r="AP1021" s="55"/>
      <c r="AQ1021" s="55"/>
      <c r="AR1021" s="55"/>
      <c r="AS1021" s="55"/>
      <c r="AT1021" s="55"/>
      <c r="AU1021" s="55"/>
      <c r="AV1021" s="55"/>
      <c r="AW1021" s="55"/>
      <c r="AX1021" s="55"/>
      <c r="AY1021" s="55"/>
    </row>
    <row r="1022" spans="21:51">
      <c r="U1022" s="55"/>
      <c r="V1022" s="55"/>
      <c r="W1022" s="55"/>
      <c r="X1022" s="55"/>
      <c r="Y1022" s="55"/>
      <c r="Z1022" s="55"/>
      <c r="AA1022" s="55"/>
      <c r="AB1022" s="55"/>
      <c r="AC1022" s="55"/>
      <c r="AD1022" s="55"/>
      <c r="AE1022" s="55"/>
      <c r="AF1022" s="55"/>
      <c r="AG1022" s="55"/>
      <c r="AH1022" s="55"/>
      <c r="AI1022" s="55"/>
      <c r="AJ1022" s="55"/>
      <c r="AK1022" s="55"/>
      <c r="AL1022" s="55"/>
      <c r="AM1022" s="55"/>
      <c r="AN1022" s="55"/>
      <c r="AO1022" s="55"/>
      <c r="AP1022" s="55"/>
      <c r="AQ1022" s="55"/>
      <c r="AR1022" s="55"/>
      <c r="AS1022" s="55"/>
      <c r="AT1022" s="55"/>
      <c r="AU1022" s="55"/>
      <c r="AV1022" s="55"/>
      <c r="AW1022" s="55"/>
      <c r="AX1022" s="55"/>
      <c r="AY1022" s="55"/>
    </row>
    <row r="1023" spans="21:51">
      <c r="U1023" s="55"/>
      <c r="V1023" s="55"/>
      <c r="W1023" s="55"/>
      <c r="X1023" s="55"/>
      <c r="Y1023" s="55"/>
      <c r="Z1023" s="55"/>
      <c r="AA1023" s="55"/>
      <c r="AB1023" s="55"/>
      <c r="AC1023" s="55"/>
      <c r="AD1023" s="55"/>
      <c r="AE1023" s="55"/>
      <c r="AF1023" s="55"/>
      <c r="AG1023" s="55"/>
      <c r="AH1023" s="55"/>
      <c r="AI1023" s="55"/>
      <c r="AJ1023" s="55"/>
      <c r="AK1023" s="55"/>
      <c r="AL1023" s="55"/>
      <c r="AM1023" s="55"/>
      <c r="AN1023" s="55"/>
      <c r="AO1023" s="55"/>
      <c r="AP1023" s="55"/>
      <c r="AQ1023" s="55"/>
      <c r="AR1023" s="55"/>
      <c r="AS1023" s="55"/>
      <c r="AT1023" s="55"/>
      <c r="AU1023" s="55"/>
      <c r="AV1023" s="55"/>
      <c r="AW1023" s="55"/>
      <c r="AX1023" s="55"/>
      <c r="AY1023" s="55"/>
    </row>
    <row r="1024" spans="21:51">
      <c r="U1024" s="55"/>
      <c r="V1024" s="55"/>
      <c r="W1024" s="55"/>
      <c r="X1024" s="55"/>
      <c r="Y1024" s="55"/>
      <c r="Z1024" s="55"/>
      <c r="AA1024" s="55"/>
      <c r="AB1024" s="55"/>
      <c r="AC1024" s="55"/>
      <c r="AD1024" s="55"/>
      <c r="AE1024" s="55"/>
      <c r="AF1024" s="55"/>
      <c r="AG1024" s="55"/>
      <c r="AH1024" s="55"/>
      <c r="AI1024" s="55"/>
      <c r="AJ1024" s="55"/>
      <c r="AK1024" s="55"/>
      <c r="AL1024" s="55"/>
      <c r="AM1024" s="55"/>
      <c r="AN1024" s="55"/>
      <c r="AO1024" s="55"/>
      <c r="AP1024" s="55"/>
      <c r="AQ1024" s="55"/>
      <c r="AR1024" s="55"/>
      <c r="AS1024" s="55"/>
      <c r="AT1024" s="55"/>
      <c r="AU1024" s="55"/>
      <c r="AV1024" s="55"/>
      <c r="AW1024" s="55"/>
      <c r="AX1024" s="55"/>
      <c r="AY1024" s="55"/>
    </row>
    <row r="1025" spans="21:51">
      <c r="U1025" s="55"/>
      <c r="V1025" s="55"/>
      <c r="W1025" s="55"/>
      <c r="X1025" s="55"/>
      <c r="Y1025" s="55"/>
      <c r="Z1025" s="55"/>
      <c r="AA1025" s="55"/>
      <c r="AB1025" s="55"/>
      <c r="AC1025" s="55"/>
      <c r="AD1025" s="55"/>
      <c r="AE1025" s="55"/>
      <c r="AF1025" s="55"/>
      <c r="AG1025" s="55"/>
      <c r="AH1025" s="55"/>
      <c r="AI1025" s="55"/>
      <c r="AJ1025" s="55"/>
      <c r="AK1025" s="55"/>
      <c r="AL1025" s="55"/>
      <c r="AM1025" s="55"/>
      <c r="AN1025" s="55"/>
      <c r="AO1025" s="55"/>
      <c r="AP1025" s="55"/>
      <c r="AQ1025" s="55"/>
      <c r="AR1025" s="55"/>
      <c r="AS1025" s="55"/>
      <c r="AT1025" s="55"/>
      <c r="AU1025" s="55"/>
      <c r="AV1025" s="55"/>
      <c r="AW1025" s="55"/>
      <c r="AX1025" s="55"/>
      <c r="AY1025" s="55"/>
    </row>
    <row r="1026" spans="21:51">
      <c r="U1026" s="55"/>
      <c r="V1026" s="55"/>
      <c r="W1026" s="55"/>
      <c r="X1026" s="55"/>
      <c r="Y1026" s="55"/>
      <c r="Z1026" s="55"/>
      <c r="AA1026" s="55"/>
      <c r="AB1026" s="55"/>
      <c r="AC1026" s="55"/>
      <c r="AD1026" s="55"/>
      <c r="AE1026" s="55"/>
      <c r="AF1026" s="55"/>
      <c r="AG1026" s="55"/>
      <c r="AH1026" s="55"/>
      <c r="AI1026" s="55"/>
      <c r="AJ1026" s="55"/>
      <c r="AK1026" s="55"/>
      <c r="AL1026" s="55"/>
      <c r="AM1026" s="55"/>
      <c r="AN1026" s="55"/>
      <c r="AO1026" s="55"/>
      <c r="AP1026" s="55"/>
      <c r="AQ1026" s="55"/>
      <c r="AR1026" s="55"/>
      <c r="AS1026" s="55"/>
      <c r="AT1026" s="55"/>
      <c r="AU1026" s="55"/>
      <c r="AV1026" s="55"/>
      <c r="AW1026" s="55"/>
      <c r="AX1026" s="55"/>
      <c r="AY1026" s="55"/>
    </row>
    <row r="1027" spans="21:51">
      <c r="U1027" s="55"/>
      <c r="V1027" s="55"/>
      <c r="W1027" s="55"/>
      <c r="X1027" s="55"/>
      <c r="Y1027" s="55"/>
      <c r="Z1027" s="55"/>
      <c r="AA1027" s="55"/>
      <c r="AB1027" s="55"/>
      <c r="AC1027" s="55"/>
      <c r="AD1027" s="55"/>
      <c r="AE1027" s="55"/>
      <c r="AF1027" s="55"/>
      <c r="AG1027" s="55"/>
      <c r="AH1027" s="55"/>
      <c r="AI1027" s="55"/>
      <c r="AJ1027" s="55"/>
      <c r="AK1027" s="55"/>
      <c r="AL1027" s="55"/>
      <c r="AM1027" s="55"/>
      <c r="AN1027" s="55"/>
      <c r="AO1027" s="55"/>
      <c r="AP1027" s="55"/>
      <c r="AQ1027" s="55"/>
      <c r="AR1027" s="55"/>
      <c r="AS1027" s="55"/>
      <c r="AT1027" s="55"/>
      <c r="AU1027" s="55"/>
      <c r="AV1027" s="55"/>
      <c r="AW1027" s="55"/>
      <c r="AX1027" s="55"/>
      <c r="AY1027" s="55"/>
    </row>
    <row r="1028" spans="21:51">
      <c r="U1028" s="55"/>
      <c r="V1028" s="55"/>
      <c r="W1028" s="55"/>
      <c r="X1028" s="55"/>
      <c r="Y1028" s="55"/>
      <c r="Z1028" s="55"/>
      <c r="AA1028" s="55"/>
      <c r="AB1028" s="55"/>
      <c r="AC1028" s="55"/>
      <c r="AD1028" s="55"/>
      <c r="AE1028" s="55"/>
      <c r="AF1028" s="55"/>
      <c r="AG1028" s="55"/>
      <c r="AH1028" s="55"/>
      <c r="AI1028" s="55"/>
      <c r="AJ1028" s="55"/>
      <c r="AK1028" s="55"/>
      <c r="AL1028" s="55"/>
      <c r="AM1028" s="55"/>
      <c r="AN1028" s="55"/>
      <c r="AO1028" s="55"/>
      <c r="AP1028" s="55"/>
      <c r="AQ1028" s="55"/>
      <c r="AR1028" s="55"/>
      <c r="AS1028" s="55"/>
      <c r="AT1028" s="55"/>
      <c r="AU1028" s="55"/>
      <c r="AV1028" s="55"/>
      <c r="AW1028" s="55"/>
      <c r="AX1028" s="55"/>
      <c r="AY1028" s="55"/>
    </row>
    <row r="1029" spans="21:51">
      <c r="U1029" s="55"/>
      <c r="V1029" s="55"/>
      <c r="W1029" s="55"/>
      <c r="X1029" s="55"/>
      <c r="Y1029" s="55"/>
      <c r="Z1029" s="55"/>
      <c r="AA1029" s="55"/>
      <c r="AB1029" s="55"/>
      <c r="AC1029" s="55"/>
      <c r="AD1029" s="55"/>
      <c r="AE1029" s="55"/>
      <c r="AF1029" s="55"/>
      <c r="AG1029" s="55"/>
      <c r="AH1029" s="55"/>
      <c r="AI1029" s="55"/>
      <c r="AJ1029" s="55"/>
      <c r="AK1029" s="55"/>
      <c r="AL1029" s="55"/>
      <c r="AM1029" s="55"/>
      <c r="AN1029" s="55"/>
      <c r="AO1029" s="55"/>
      <c r="AP1029" s="55"/>
      <c r="AQ1029" s="55"/>
      <c r="AR1029" s="55"/>
      <c r="AS1029" s="55"/>
      <c r="AT1029" s="55"/>
      <c r="AU1029" s="55"/>
      <c r="AV1029" s="55"/>
      <c r="AW1029" s="55"/>
      <c r="AX1029" s="55"/>
      <c r="AY1029" s="55"/>
    </row>
    <row r="1030" spans="21:51">
      <c r="U1030" s="55"/>
      <c r="V1030" s="55"/>
      <c r="W1030" s="55"/>
      <c r="X1030" s="55"/>
      <c r="Y1030" s="55"/>
      <c r="Z1030" s="55"/>
      <c r="AA1030" s="55"/>
      <c r="AB1030" s="55"/>
      <c r="AC1030" s="55"/>
      <c r="AD1030" s="55"/>
      <c r="AE1030" s="55"/>
      <c r="AF1030" s="55"/>
      <c r="AG1030" s="55"/>
      <c r="AH1030" s="55"/>
      <c r="AI1030" s="55"/>
      <c r="AJ1030" s="55"/>
      <c r="AK1030" s="55"/>
      <c r="AL1030" s="55"/>
      <c r="AM1030" s="55"/>
      <c r="AN1030" s="55"/>
      <c r="AO1030" s="55"/>
      <c r="AP1030" s="55"/>
      <c r="AQ1030" s="55"/>
      <c r="AR1030" s="55"/>
      <c r="AS1030" s="55"/>
      <c r="AT1030" s="55"/>
      <c r="AU1030" s="55"/>
      <c r="AV1030" s="55"/>
      <c r="AW1030" s="55"/>
      <c r="AX1030" s="55"/>
      <c r="AY1030" s="55"/>
    </row>
    <row r="1031" spans="21:51">
      <c r="U1031" s="55"/>
      <c r="V1031" s="55"/>
      <c r="W1031" s="55"/>
      <c r="X1031" s="55"/>
      <c r="Y1031" s="55"/>
      <c r="Z1031" s="55"/>
      <c r="AA1031" s="55"/>
      <c r="AB1031" s="55"/>
      <c r="AC1031" s="55"/>
      <c r="AD1031" s="55"/>
      <c r="AE1031" s="55"/>
      <c r="AF1031" s="55"/>
      <c r="AG1031" s="55"/>
      <c r="AH1031" s="55"/>
      <c r="AI1031" s="55"/>
      <c r="AJ1031" s="55"/>
      <c r="AK1031" s="55"/>
      <c r="AL1031" s="55"/>
      <c r="AM1031" s="55"/>
      <c r="AN1031" s="55"/>
      <c r="AO1031" s="55"/>
      <c r="AP1031" s="55"/>
      <c r="AQ1031" s="55"/>
      <c r="AR1031" s="55"/>
      <c r="AS1031" s="55"/>
      <c r="AT1031" s="55"/>
      <c r="AU1031" s="55"/>
      <c r="AV1031" s="55"/>
      <c r="AW1031" s="55"/>
      <c r="AX1031" s="55"/>
      <c r="AY1031" s="55"/>
    </row>
    <row r="1032" spans="21:51">
      <c r="U1032" s="55"/>
      <c r="V1032" s="55"/>
      <c r="W1032" s="55"/>
      <c r="X1032" s="55"/>
      <c r="Y1032" s="55"/>
      <c r="Z1032" s="55"/>
      <c r="AA1032" s="55"/>
      <c r="AB1032" s="55"/>
      <c r="AC1032" s="55"/>
      <c r="AD1032" s="55"/>
      <c r="AE1032" s="55"/>
      <c r="AF1032" s="55"/>
      <c r="AG1032" s="55"/>
      <c r="AH1032" s="55"/>
      <c r="AI1032" s="55"/>
      <c r="AJ1032" s="55"/>
      <c r="AK1032" s="55"/>
      <c r="AL1032" s="55"/>
      <c r="AM1032" s="55"/>
      <c r="AN1032" s="55"/>
      <c r="AO1032" s="55"/>
      <c r="AP1032" s="55"/>
      <c r="AQ1032" s="55"/>
      <c r="AR1032" s="55"/>
      <c r="AS1032" s="55"/>
      <c r="AT1032" s="55"/>
      <c r="AU1032" s="55"/>
      <c r="AV1032" s="55"/>
      <c r="AW1032" s="55"/>
      <c r="AX1032" s="55"/>
      <c r="AY1032" s="55"/>
    </row>
    <row r="1033" spans="21:51">
      <c r="U1033" s="55"/>
      <c r="V1033" s="55"/>
      <c r="W1033" s="55"/>
      <c r="X1033" s="55"/>
      <c r="Y1033" s="55"/>
      <c r="Z1033" s="55"/>
      <c r="AA1033" s="55"/>
      <c r="AB1033" s="55"/>
      <c r="AC1033" s="55"/>
      <c r="AD1033" s="55"/>
      <c r="AE1033" s="55"/>
      <c r="AF1033" s="55"/>
      <c r="AG1033" s="55"/>
      <c r="AH1033" s="55"/>
      <c r="AI1033" s="55"/>
      <c r="AJ1033" s="55"/>
      <c r="AK1033" s="55"/>
      <c r="AL1033" s="55"/>
      <c r="AM1033" s="55"/>
      <c r="AN1033" s="55"/>
      <c r="AO1033" s="55"/>
      <c r="AP1033" s="55"/>
      <c r="AQ1033" s="55"/>
      <c r="AR1033" s="55"/>
      <c r="AS1033" s="55"/>
      <c r="AT1033" s="55"/>
      <c r="AU1033" s="55"/>
      <c r="AV1033" s="55"/>
      <c r="AW1033" s="55"/>
      <c r="AX1033" s="55"/>
      <c r="AY1033" s="55"/>
    </row>
    <row r="1034" spans="21:51">
      <c r="U1034" s="55"/>
      <c r="V1034" s="55"/>
      <c r="W1034" s="55"/>
      <c r="X1034" s="55"/>
      <c r="Y1034" s="55"/>
      <c r="Z1034" s="55"/>
      <c r="AA1034" s="55"/>
      <c r="AB1034" s="55"/>
      <c r="AC1034" s="55"/>
      <c r="AD1034" s="55"/>
      <c r="AE1034" s="55"/>
      <c r="AF1034" s="55"/>
      <c r="AG1034" s="55"/>
      <c r="AH1034" s="55"/>
      <c r="AI1034" s="55"/>
      <c r="AJ1034" s="55"/>
      <c r="AK1034" s="55"/>
      <c r="AL1034" s="55"/>
      <c r="AM1034" s="55"/>
      <c r="AN1034" s="55"/>
      <c r="AO1034" s="55"/>
      <c r="AP1034" s="55"/>
      <c r="AQ1034" s="55"/>
      <c r="AR1034" s="55"/>
      <c r="AS1034" s="55"/>
      <c r="AT1034" s="55"/>
      <c r="AU1034" s="55"/>
      <c r="AV1034" s="55"/>
      <c r="AW1034" s="55"/>
      <c r="AX1034" s="55"/>
      <c r="AY1034" s="55"/>
    </row>
    <row r="1035" spans="21:51">
      <c r="U1035" s="55"/>
      <c r="V1035" s="55"/>
      <c r="W1035" s="55"/>
      <c r="X1035" s="55"/>
      <c r="Y1035" s="55"/>
      <c r="Z1035" s="55"/>
      <c r="AA1035" s="55"/>
      <c r="AB1035" s="55"/>
      <c r="AC1035" s="55"/>
      <c r="AD1035" s="55"/>
      <c r="AE1035" s="55"/>
      <c r="AF1035" s="55"/>
      <c r="AG1035" s="55"/>
      <c r="AH1035" s="55"/>
      <c r="AI1035" s="55"/>
      <c r="AJ1035" s="55"/>
      <c r="AK1035" s="55"/>
      <c r="AL1035" s="55"/>
      <c r="AM1035" s="55"/>
      <c r="AN1035" s="55"/>
      <c r="AO1035" s="55"/>
      <c r="AP1035" s="55"/>
      <c r="AQ1035" s="55"/>
      <c r="AR1035" s="55"/>
      <c r="AS1035" s="55"/>
      <c r="AT1035" s="55"/>
      <c r="AU1035" s="55"/>
      <c r="AV1035" s="55"/>
      <c r="AW1035" s="55"/>
      <c r="AX1035" s="55"/>
      <c r="AY1035" s="55"/>
    </row>
    <row r="1036" spans="21:51">
      <c r="U1036" s="55"/>
      <c r="V1036" s="55"/>
      <c r="W1036" s="55"/>
      <c r="X1036" s="55"/>
      <c r="Y1036" s="55"/>
      <c r="Z1036" s="55"/>
      <c r="AA1036" s="55"/>
      <c r="AB1036" s="55"/>
      <c r="AC1036" s="55"/>
      <c r="AD1036" s="55"/>
      <c r="AE1036" s="55"/>
      <c r="AF1036" s="55"/>
      <c r="AG1036" s="55"/>
      <c r="AH1036" s="55"/>
      <c r="AI1036" s="55"/>
      <c r="AJ1036" s="55"/>
      <c r="AK1036" s="55"/>
      <c r="AL1036" s="55"/>
      <c r="AM1036" s="55"/>
      <c r="AN1036" s="55"/>
      <c r="AO1036" s="55"/>
      <c r="AP1036" s="55"/>
      <c r="AQ1036" s="55"/>
      <c r="AR1036" s="55"/>
      <c r="AS1036" s="55"/>
      <c r="AT1036" s="55"/>
      <c r="AU1036" s="55"/>
      <c r="AV1036" s="55"/>
      <c r="AW1036" s="55"/>
      <c r="AX1036" s="55"/>
      <c r="AY1036" s="55"/>
    </row>
    <row r="1037" spans="21:51">
      <c r="U1037" s="55"/>
      <c r="V1037" s="55"/>
      <c r="W1037" s="55"/>
      <c r="X1037" s="55"/>
      <c r="Y1037" s="55"/>
      <c r="Z1037" s="55"/>
      <c r="AA1037" s="55"/>
      <c r="AB1037" s="55"/>
      <c r="AC1037" s="55"/>
      <c r="AD1037" s="55"/>
      <c r="AE1037" s="55"/>
      <c r="AF1037" s="55"/>
      <c r="AG1037" s="55"/>
      <c r="AH1037" s="55"/>
      <c r="AI1037" s="55"/>
      <c r="AJ1037" s="55"/>
      <c r="AK1037" s="55"/>
      <c r="AL1037" s="55"/>
      <c r="AM1037" s="55"/>
      <c r="AN1037" s="55"/>
      <c r="AO1037" s="55"/>
      <c r="AP1037" s="55"/>
      <c r="AQ1037" s="55"/>
      <c r="AR1037" s="55"/>
      <c r="AS1037" s="55"/>
      <c r="AT1037" s="55"/>
      <c r="AU1037" s="55"/>
      <c r="AV1037" s="55"/>
      <c r="AW1037" s="55"/>
      <c r="AX1037" s="55"/>
      <c r="AY1037" s="55"/>
    </row>
    <row r="1038" spans="21:51">
      <c r="U1038" s="55"/>
      <c r="V1038" s="55"/>
      <c r="W1038" s="55"/>
      <c r="X1038" s="55"/>
      <c r="Y1038" s="55"/>
      <c r="Z1038" s="55"/>
      <c r="AA1038" s="55"/>
      <c r="AB1038" s="55"/>
      <c r="AC1038" s="55"/>
      <c r="AD1038" s="55"/>
      <c r="AE1038" s="55"/>
      <c r="AF1038" s="55"/>
      <c r="AG1038" s="55"/>
      <c r="AH1038" s="55"/>
      <c r="AI1038" s="55"/>
      <c r="AJ1038" s="55"/>
      <c r="AK1038" s="55"/>
      <c r="AL1038" s="55"/>
      <c r="AM1038" s="55"/>
      <c r="AN1038" s="55"/>
      <c r="AO1038" s="55"/>
      <c r="AP1038" s="55"/>
      <c r="AQ1038" s="55"/>
      <c r="AR1038" s="55"/>
      <c r="AS1038" s="55"/>
      <c r="AT1038" s="55"/>
      <c r="AU1038" s="55"/>
      <c r="AV1038" s="55"/>
      <c r="AW1038" s="55"/>
      <c r="AX1038" s="55"/>
      <c r="AY1038" s="55"/>
    </row>
    <row r="1039" spans="21:51">
      <c r="U1039" s="55"/>
      <c r="V1039" s="55"/>
      <c r="W1039" s="55"/>
      <c r="X1039" s="55"/>
      <c r="Y1039" s="55"/>
      <c r="Z1039" s="55"/>
      <c r="AA1039" s="55"/>
      <c r="AB1039" s="55"/>
      <c r="AC1039" s="55"/>
      <c r="AD1039" s="55"/>
      <c r="AE1039" s="55"/>
      <c r="AF1039" s="55"/>
      <c r="AG1039" s="55"/>
      <c r="AH1039" s="55"/>
      <c r="AI1039" s="55"/>
      <c r="AJ1039" s="55"/>
      <c r="AK1039" s="55"/>
      <c r="AL1039" s="55"/>
      <c r="AM1039" s="55"/>
      <c r="AN1039" s="55"/>
      <c r="AO1039" s="55"/>
      <c r="AP1039" s="55"/>
      <c r="AQ1039" s="55"/>
      <c r="AR1039" s="55"/>
      <c r="AS1039" s="55"/>
      <c r="AT1039" s="55"/>
      <c r="AU1039" s="55"/>
      <c r="AV1039" s="55"/>
      <c r="AW1039" s="55"/>
      <c r="AX1039" s="55"/>
      <c r="AY1039" s="55"/>
    </row>
    <row r="1040" spans="21:51">
      <c r="U1040" s="55"/>
      <c r="V1040" s="55"/>
      <c r="W1040" s="55"/>
      <c r="X1040" s="55"/>
      <c r="Y1040" s="55"/>
      <c r="Z1040" s="55"/>
      <c r="AA1040" s="55"/>
      <c r="AB1040" s="55"/>
      <c r="AC1040" s="55"/>
      <c r="AD1040" s="55"/>
      <c r="AE1040" s="55"/>
      <c r="AF1040" s="55"/>
      <c r="AG1040" s="55"/>
      <c r="AH1040" s="55"/>
      <c r="AI1040" s="55"/>
      <c r="AJ1040" s="55"/>
      <c r="AK1040" s="55"/>
      <c r="AL1040" s="55"/>
      <c r="AM1040" s="55"/>
      <c r="AN1040" s="55"/>
      <c r="AO1040" s="55"/>
      <c r="AP1040" s="55"/>
      <c r="AQ1040" s="55"/>
      <c r="AR1040" s="55"/>
      <c r="AS1040" s="55"/>
      <c r="AT1040" s="55"/>
      <c r="AU1040" s="55"/>
      <c r="AV1040" s="55"/>
      <c r="AW1040" s="55"/>
      <c r="AX1040" s="55"/>
      <c r="AY1040" s="55"/>
    </row>
    <row r="1041" spans="21:51">
      <c r="U1041" s="55"/>
      <c r="V1041" s="55"/>
      <c r="W1041" s="55"/>
      <c r="X1041" s="55"/>
      <c r="Y1041" s="55"/>
      <c r="Z1041" s="55"/>
      <c r="AA1041" s="55"/>
      <c r="AB1041" s="55"/>
      <c r="AC1041" s="55"/>
      <c r="AD1041" s="55"/>
      <c r="AE1041" s="55"/>
      <c r="AF1041" s="55"/>
      <c r="AG1041" s="55"/>
      <c r="AH1041" s="55"/>
      <c r="AI1041" s="55"/>
      <c r="AJ1041" s="55"/>
      <c r="AK1041" s="55"/>
      <c r="AL1041" s="55"/>
      <c r="AM1041" s="55"/>
      <c r="AN1041" s="55"/>
      <c r="AO1041" s="55"/>
      <c r="AP1041" s="55"/>
      <c r="AQ1041" s="55"/>
      <c r="AR1041" s="55"/>
      <c r="AS1041" s="55"/>
      <c r="AT1041" s="55"/>
      <c r="AU1041" s="55"/>
      <c r="AV1041" s="55"/>
      <c r="AW1041" s="55"/>
      <c r="AX1041" s="55"/>
      <c r="AY1041" s="55"/>
    </row>
    <row r="1042" spans="21:51">
      <c r="U1042" s="55"/>
      <c r="V1042" s="55"/>
      <c r="W1042" s="55"/>
      <c r="X1042" s="55"/>
      <c r="Y1042" s="55"/>
      <c r="Z1042" s="55"/>
      <c r="AA1042" s="55"/>
      <c r="AB1042" s="55"/>
      <c r="AC1042" s="55"/>
      <c r="AD1042" s="55"/>
      <c r="AE1042" s="55"/>
      <c r="AF1042" s="55"/>
      <c r="AG1042" s="55"/>
      <c r="AH1042" s="55"/>
      <c r="AI1042" s="55"/>
      <c r="AJ1042" s="55"/>
      <c r="AK1042" s="55"/>
      <c r="AL1042" s="55"/>
      <c r="AM1042" s="55"/>
      <c r="AN1042" s="55"/>
      <c r="AO1042" s="55"/>
      <c r="AP1042" s="55"/>
      <c r="AQ1042" s="55"/>
      <c r="AR1042" s="55"/>
      <c r="AS1042" s="55"/>
      <c r="AT1042" s="55"/>
      <c r="AU1042" s="55"/>
      <c r="AV1042" s="55"/>
      <c r="AW1042" s="55"/>
      <c r="AX1042" s="55"/>
      <c r="AY1042" s="55"/>
    </row>
    <row r="1043" spans="21:51">
      <c r="U1043" s="55"/>
      <c r="V1043" s="55"/>
      <c r="W1043" s="55"/>
      <c r="X1043" s="55"/>
      <c r="Y1043" s="55"/>
      <c r="Z1043" s="55"/>
      <c r="AA1043" s="55"/>
      <c r="AB1043" s="55"/>
      <c r="AC1043" s="55"/>
      <c r="AD1043" s="55"/>
      <c r="AE1043" s="55"/>
      <c r="AF1043" s="55"/>
      <c r="AG1043" s="55"/>
      <c r="AH1043" s="55"/>
      <c r="AI1043" s="55"/>
      <c r="AJ1043" s="55"/>
      <c r="AK1043" s="55"/>
      <c r="AL1043" s="55"/>
      <c r="AM1043" s="55"/>
      <c r="AN1043" s="55"/>
      <c r="AO1043" s="55"/>
      <c r="AP1043" s="55"/>
      <c r="AQ1043" s="55"/>
      <c r="AR1043" s="55"/>
      <c r="AS1043" s="55"/>
      <c r="AT1043" s="55"/>
      <c r="AU1043" s="55"/>
      <c r="AV1043" s="55"/>
      <c r="AW1043" s="55"/>
      <c r="AX1043" s="55"/>
      <c r="AY1043" s="55"/>
    </row>
    <row r="1044" spans="21:51">
      <c r="U1044" s="55"/>
      <c r="V1044" s="55"/>
      <c r="W1044" s="55"/>
      <c r="X1044" s="55"/>
      <c r="Y1044" s="55"/>
      <c r="Z1044" s="55"/>
      <c r="AA1044" s="55"/>
      <c r="AB1044" s="55"/>
      <c r="AC1044" s="55"/>
      <c r="AD1044" s="55"/>
      <c r="AE1044" s="55"/>
      <c r="AF1044" s="55"/>
      <c r="AG1044" s="55"/>
      <c r="AH1044" s="55"/>
      <c r="AI1044" s="55"/>
      <c r="AJ1044" s="55"/>
      <c r="AK1044" s="55"/>
      <c r="AL1044" s="55"/>
      <c r="AM1044" s="55"/>
      <c r="AN1044" s="55"/>
      <c r="AO1044" s="55"/>
      <c r="AP1044" s="55"/>
      <c r="AQ1044" s="55"/>
      <c r="AR1044" s="55"/>
      <c r="AS1044" s="55"/>
      <c r="AT1044" s="55"/>
      <c r="AU1044" s="55"/>
      <c r="AV1044" s="55"/>
      <c r="AW1044" s="55"/>
      <c r="AX1044" s="55"/>
      <c r="AY1044" s="55"/>
    </row>
    <row r="1045" spans="21:51">
      <c r="U1045" s="55"/>
      <c r="V1045" s="55"/>
      <c r="W1045" s="55"/>
      <c r="X1045" s="55"/>
      <c r="Y1045" s="55"/>
      <c r="Z1045" s="55"/>
      <c r="AA1045" s="55"/>
      <c r="AB1045" s="55"/>
      <c r="AC1045" s="55"/>
      <c r="AD1045" s="55"/>
      <c r="AE1045" s="55"/>
      <c r="AF1045" s="55"/>
      <c r="AG1045" s="55"/>
      <c r="AH1045" s="55"/>
      <c r="AI1045" s="55"/>
      <c r="AJ1045" s="55"/>
      <c r="AK1045" s="55"/>
      <c r="AL1045" s="55"/>
      <c r="AM1045" s="55"/>
      <c r="AN1045" s="55"/>
      <c r="AO1045" s="55"/>
      <c r="AP1045" s="55"/>
      <c r="AQ1045" s="55"/>
      <c r="AR1045" s="55"/>
      <c r="AS1045" s="55"/>
      <c r="AT1045" s="55"/>
      <c r="AU1045" s="55"/>
      <c r="AV1045" s="55"/>
      <c r="AW1045" s="55"/>
      <c r="AX1045" s="55"/>
      <c r="AY1045" s="55"/>
    </row>
    <row r="1046" spans="21:51">
      <c r="U1046" s="55"/>
      <c r="V1046" s="55"/>
      <c r="W1046" s="55"/>
      <c r="X1046" s="55"/>
      <c r="Y1046" s="55"/>
      <c r="Z1046" s="55"/>
      <c r="AA1046" s="55"/>
      <c r="AB1046" s="55"/>
      <c r="AC1046" s="55"/>
      <c r="AD1046" s="55"/>
      <c r="AE1046" s="55"/>
      <c r="AF1046" s="55"/>
      <c r="AG1046" s="55"/>
      <c r="AH1046" s="55"/>
      <c r="AI1046" s="55"/>
      <c r="AJ1046" s="55"/>
      <c r="AK1046" s="55"/>
      <c r="AL1046" s="55"/>
      <c r="AM1046" s="55"/>
      <c r="AN1046" s="55"/>
      <c r="AO1046" s="55"/>
      <c r="AP1046" s="55"/>
      <c r="AQ1046" s="55"/>
      <c r="AR1046" s="55"/>
      <c r="AS1046" s="55"/>
      <c r="AT1046" s="55"/>
      <c r="AU1046" s="55"/>
      <c r="AV1046" s="55"/>
      <c r="AW1046" s="55"/>
      <c r="AX1046" s="55"/>
      <c r="AY1046" s="55"/>
    </row>
    <row r="1047" spans="21:51">
      <c r="U1047" s="55"/>
      <c r="V1047" s="55"/>
      <c r="W1047" s="55"/>
      <c r="X1047" s="55"/>
      <c r="Y1047" s="55"/>
      <c r="Z1047" s="55"/>
      <c r="AA1047" s="55"/>
      <c r="AB1047" s="55"/>
      <c r="AC1047" s="55"/>
      <c r="AD1047" s="55"/>
      <c r="AE1047" s="55"/>
      <c r="AF1047" s="55"/>
      <c r="AG1047" s="55"/>
      <c r="AH1047" s="55"/>
      <c r="AI1047" s="55"/>
      <c r="AJ1047" s="55"/>
      <c r="AK1047" s="55"/>
      <c r="AL1047" s="55"/>
      <c r="AM1047" s="55"/>
      <c r="AN1047" s="55"/>
      <c r="AO1047" s="55"/>
      <c r="AP1047" s="55"/>
      <c r="AQ1047" s="55"/>
      <c r="AR1047" s="55"/>
      <c r="AS1047" s="55"/>
      <c r="AT1047" s="55"/>
      <c r="AU1047" s="55"/>
      <c r="AV1047" s="55"/>
      <c r="AW1047" s="55"/>
      <c r="AX1047" s="55"/>
      <c r="AY1047" s="55"/>
    </row>
    <row r="1048" spans="21:51">
      <c r="U1048" s="55"/>
      <c r="V1048" s="55"/>
      <c r="W1048" s="55"/>
      <c r="X1048" s="55"/>
      <c r="Y1048" s="55"/>
      <c r="Z1048" s="55"/>
      <c r="AA1048" s="55"/>
      <c r="AB1048" s="55"/>
      <c r="AC1048" s="55"/>
      <c r="AD1048" s="55"/>
      <c r="AE1048" s="55"/>
      <c r="AF1048" s="55"/>
      <c r="AG1048" s="55"/>
      <c r="AH1048" s="55"/>
      <c r="AI1048" s="55"/>
      <c r="AJ1048" s="55"/>
      <c r="AK1048" s="55"/>
      <c r="AL1048" s="55"/>
      <c r="AM1048" s="55"/>
      <c r="AN1048" s="55"/>
      <c r="AO1048" s="55"/>
      <c r="AP1048" s="55"/>
      <c r="AQ1048" s="55"/>
      <c r="AR1048" s="55"/>
      <c r="AS1048" s="55"/>
      <c r="AT1048" s="55"/>
      <c r="AU1048" s="55"/>
      <c r="AV1048" s="55"/>
      <c r="AW1048" s="55"/>
      <c r="AX1048" s="55"/>
      <c r="AY1048" s="55"/>
    </row>
    <row r="1049" spans="21:51">
      <c r="U1049" s="55"/>
      <c r="V1049" s="55"/>
      <c r="W1049" s="55"/>
      <c r="X1049" s="55"/>
      <c r="Y1049" s="55"/>
      <c r="Z1049" s="55"/>
      <c r="AA1049" s="55"/>
      <c r="AB1049" s="55"/>
      <c r="AC1049" s="55"/>
      <c r="AD1049" s="55"/>
      <c r="AE1049" s="55"/>
      <c r="AF1049" s="55"/>
      <c r="AG1049" s="55"/>
      <c r="AH1049" s="55"/>
      <c r="AI1049" s="55"/>
      <c r="AJ1049" s="55"/>
      <c r="AK1049" s="55"/>
      <c r="AL1049" s="55"/>
      <c r="AM1049" s="55"/>
      <c r="AN1049" s="55"/>
      <c r="AO1049" s="55"/>
      <c r="AP1049" s="55"/>
      <c r="AQ1049" s="55"/>
      <c r="AR1049" s="55"/>
      <c r="AS1049" s="55"/>
      <c r="AT1049" s="55"/>
      <c r="AU1049" s="55"/>
      <c r="AV1049" s="55"/>
      <c r="AW1049" s="55"/>
      <c r="AX1049" s="55"/>
      <c r="AY1049" s="55"/>
    </row>
    <row r="1050" spans="21:51">
      <c r="U1050" s="55"/>
      <c r="V1050" s="55"/>
      <c r="W1050" s="55"/>
      <c r="X1050" s="55"/>
      <c r="Y1050" s="55"/>
      <c r="Z1050" s="55"/>
      <c r="AA1050" s="55"/>
      <c r="AB1050" s="55"/>
      <c r="AC1050" s="55"/>
      <c r="AD1050" s="55"/>
      <c r="AE1050" s="55"/>
      <c r="AF1050" s="55"/>
      <c r="AG1050" s="55"/>
      <c r="AH1050" s="55"/>
      <c r="AI1050" s="55"/>
      <c r="AJ1050" s="55"/>
      <c r="AK1050" s="55"/>
      <c r="AL1050" s="55"/>
      <c r="AM1050" s="55"/>
      <c r="AN1050" s="55"/>
      <c r="AO1050" s="55"/>
      <c r="AP1050" s="55"/>
      <c r="AQ1050" s="55"/>
      <c r="AR1050" s="55"/>
      <c r="AS1050" s="55"/>
      <c r="AT1050" s="55"/>
      <c r="AU1050" s="55"/>
      <c r="AV1050" s="55"/>
      <c r="AW1050" s="55"/>
      <c r="AX1050" s="55"/>
      <c r="AY1050" s="55"/>
    </row>
    <row r="1051" spans="21:51">
      <c r="U1051" s="55"/>
      <c r="V1051" s="55"/>
      <c r="W1051" s="55"/>
      <c r="X1051" s="55"/>
      <c r="Y1051" s="55"/>
      <c r="Z1051" s="55"/>
      <c r="AA1051" s="55"/>
      <c r="AB1051" s="55"/>
      <c r="AC1051" s="55"/>
      <c r="AD1051" s="55"/>
      <c r="AE1051" s="55"/>
      <c r="AF1051" s="55"/>
      <c r="AG1051" s="55"/>
      <c r="AH1051" s="55"/>
      <c r="AI1051" s="55"/>
      <c r="AJ1051" s="55"/>
      <c r="AK1051" s="55"/>
      <c r="AL1051" s="55"/>
      <c r="AM1051" s="55"/>
      <c r="AN1051" s="55"/>
      <c r="AO1051" s="55"/>
      <c r="AP1051" s="55"/>
      <c r="AQ1051" s="55"/>
      <c r="AR1051" s="55"/>
      <c r="AS1051" s="55"/>
      <c r="AT1051" s="55"/>
      <c r="AU1051" s="55"/>
      <c r="AV1051" s="55"/>
      <c r="AW1051" s="55"/>
      <c r="AX1051" s="55"/>
      <c r="AY1051" s="55"/>
    </row>
    <row r="1052" spans="21:51">
      <c r="U1052" s="55"/>
      <c r="V1052" s="55"/>
      <c r="W1052" s="55"/>
      <c r="X1052" s="55"/>
      <c r="Y1052" s="55"/>
      <c r="Z1052" s="55"/>
      <c r="AA1052" s="55"/>
      <c r="AB1052" s="55"/>
      <c r="AC1052" s="55"/>
      <c r="AD1052" s="55"/>
      <c r="AE1052" s="55"/>
      <c r="AF1052" s="55"/>
      <c r="AG1052" s="55"/>
      <c r="AH1052" s="55"/>
      <c r="AI1052" s="55"/>
      <c r="AJ1052" s="55"/>
      <c r="AK1052" s="55"/>
      <c r="AL1052" s="55"/>
      <c r="AM1052" s="55"/>
      <c r="AN1052" s="55"/>
      <c r="AO1052" s="55"/>
      <c r="AP1052" s="55"/>
      <c r="AQ1052" s="55"/>
      <c r="AR1052" s="55"/>
      <c r="AS1052" s="55"/>
      <c r="AT1052" s="55"/>
      <c r="AU1052" s="55"/>
      <c r="AV1052" s="55"/>
      <c r="AW1052" s="55"/>
      <c r="AX1052" s="55"/>
      <c r="AY1052" s="55"/>
    </row>
    <row r="1053" spans="21:51">
      <c r="U1053" s="55"/>
      <c r="V1053" s="55"/>
      <c r="W1053" s="55"/>
      <c r="X1053" s="55"/>
      <c r="Y1053" s="55"/>
      <c r="Z1053" s="55"/>
      <c r="AA1053" s="55"/>
      <c r="AB1053" s="55"/>
      <c r="AC1053" s="55"/>
      <c r="AD1053" s="55"/>
      <c r="AE1053" s="55"/>
      <c r="AF1053" s="55"/>
      <c r="AG1053" s="55"/>
      <c r="AH1053" s="55"/>
      <c r="AI1053" s="55"/>
      <c r="AJ1053" s="55"/>
      <c r="AK1053" s="55"/>
      <c r="AL1053" s="55"/>
      <c r="AM1053" s="55"/>
      <c r="AN1053" s="55"/>
      <c r="AO1053" s="55"/>
      <c r="AP1053" s="55"/>
      <c r="AQ1053" s="55"/>
      <c r="AR1053" s="55"/>
      <c r="AS1053" s="55"/>
      <c r="AT1053" s="55"/>
      <c r="AU1053" s="55"/>
      <c r="AV1053" s="55"/>
      <c r="AW1053" s="55"/>
      <c r="AX1053" s="55"/>
      <c r="AY1053" s="55"/>
    </row>
    <row r="1054" spans="21:51">
      <c r="U1054" s="55"/>
      <c r="V1054" s="55"/>
      <c r="W1054" s="55"/>
      <c r="X1054" s="55"/>
      <c r="Y1054" s="55"/>
      <c r="Z1054" s="55"/>
      <c r="AA1054" s="55"/>
      <c r="AB1054" s="55"/>
      <c r="AC1054" s="55"/>
      <c r="AD1054" s="55"/>
      <c r="AE1054" s="55"/>
      <c r="AF1054" s="55"/>
      <c r="AG1054" s="55"/>
      <c r="AH1054" s="55"/>
      <c r="AI1054" s="55"/>
      <c r="AJ1054" s="55"/>
      <c r="AK1054" s="55"/>
      <c r="AL1054" s="55"/>
      <c r="AM1054" s="55"/>
      <c r="AN1054" s="55"/>
      <c r="AO1054" s="55"/>
      <c r="AP1054" s="55"/>
      <c r="AQ1054" s="55"/>
      <c r="AR1054" s="55"/>
      <c r="AS1054" s="55"/>
      <c r="AT1054" s="55"/>
      <c r="AU1054" s="55"/>
      <c r="AV1054" s="55"/>
      <c r="AW1054" s="55"/>
      <c r="AX1054" s="55"/>
      <c r="AY1054" s="55"/>
    </row>
    <row r="1055" spans="21:51">
      <c r="U1055" s="55"/>
      <c r="V1055" s="55"/>
      <c r="W1055" s="55"/>
      <c r="X1055" s="55"/>
      <c r="Y1055" s="55"/>
      <c r="Z1055" s="55"/>
      <c r="AA1055" s="55"/>
      <c r="AB1055" s="55"/>
      <c r="AC1055" s="55"/>
      <c r="AD1055" s="55"/>
      <c r="AE1055" s="55"/>
      <c r="AF1055" s="55"/>
      <c r="AG1055" s="55"/>
      <c r="AH1055" s="55"/>
      <c r="AI1055" s="55"/>
      <c r="AJ1055" s="55"/>
      <c r="AK1055" s="55"/>
      <c r="AL1055" s="55"/>
      <c r="AM1055" s="55"/>
      <c r="AN1055" s="55"/>
      <c r="AO1055" s="55"/>
      <c r="AP1055" s="55"/>
      <c r="AQ1055" s="55"/>
      <c r="AR1055" s="55"/>
      <c r="AS1055" s="55"/>
      <c r="AT1055" s="55"/>
      <c r="AU1055" s="55"/>
      <c r="AV1055" s="55"/>
      <c r="AW1055" s="55"/>
      <c r="AX1055" s="55"/>
      <c r="AY1055" s="55"/>
    </row>
    <row r="1056" spans="21:51">
      <c r="U1056" s="55"/>
      <c r="V1056" s="55"/>
      <c r="W1056" s="55"/>
      <c r="X1056" s="55"/>
      <c r="Y1056" s="55"/>
      <c r="Z1056" s="55"/>
      <c r="AA1056" s="55"/>
      <c r="AB1056" s="55"/>
      <c r="AC1056" s="55"/>
      <c r="AD1056" s="55"/>
      <c r="AE1056" s="55"/>
      <c r="AF1056" s="55"/>
      <c r="AG1056" s="55"/>
      <c r="AH1056" s="55"/>
      <c r="AI1056" s="55"/>
      <c r="AJ1056" s="55"/>
      <c r="AK1056" s="55"/>
      <c r="AL1056" s="55"/>
      <c r="AM1056" s="55"/>
      <c r="AN1056" s="55"/>
      <c r="AO1056" s="55"/>
      <c r="AP1056" s="55"/>
      <c r="AQ1056" s="55"/>
      <c r="AR1056" s="55"/>
      <c r="AS1056" s="55"/>
      <c r="AT1056" s="55"/>
      <c r="AU1056" s="55"/>
      <c r="AV1056" s="55"/>
      <c r="AW1056" s="55"/>
      <c r="AX1056" s="55"/>
      <c r="AY1056" s="55"/>
    </row>
    <row r="1057" spans="21:51">
      <c r="U1057" s="55"/>
      <c r="V1057" s="55"/>
      <c r="W1057" s="55"/>
      <c r="X1057" s="55"/>
      <c r="Y1057" s="55"/>
      <c r="Z1057" s="55"/>
      <c r="AA1057" s="55"/>
      <c r="AB1057" s="55"/>
      <c r="AC1057" s="55"/>
      <c r="AD1057" s="55"/>
      <c r="AE1057" s="55"/>
      <c r="AF1057" s="55"/>
      <c r="AG1057" s="55"/>
      <c r="AH1057" s="55"/>
      <c r="AI1057" s="55"/>
      <c r="AJ1057" s="55"/>
      <c r="AK1057" s="55"/>
      <c r="AL1057" s="55"/>
      <c r="AM1057" s="55"/>
      <c r="AN1057" s="55"/>
      <c r="AO1057" s="55"/>
      <c r="AP1057" s="55"/>
      <c r="AQ1057" s="55"/>
      <c r="AR1057" s="55"/>
      <c r="AS1057" s="55"/>
      <c r="AT1057" s="55"/>
      <c r="AU1057" s="55"/>
      <c r="AV1057" s="55"/>
      <c r="AW1057" s="55"/>
      <c r="AX1057" s="55"/>
      <c r="AY1057" s="55"/>
    </row>
    <row r="1058" spans="21:51">
      <c r="U1058" s="55"/>
      <c r="V1058" s="55"/>
      <c r="W1058" s="55"/>
      <c r="X1058" s="55"/>
      <c r="Y1058" s="55"/>
      <c r="Z1058" s="55"/>
      <c r="AA1058" s="55"/>
      <c r="AB1058" s="55"/>
      <c r="AC1058" s="55"/>
      <c r="AD1058" s="55"/>
      <c r="AE1058" s="55"/>
      <c r="AF1058" s="55"/>
      <c r="AG1058" s="55"/>
      <c r="AH1058" s="55"/>
      <c r="AI1058" s="55"/>
      <c r="AJ1058" s="55"/>
      <c r="AK1058" s="55"/>
      <c r="AL1058" s="55"/>
      <c r="AM1058" s="55"/>
      <c r="AN1058" s="55"/>
      <c r="AO1058" s="55"/>
      <c r="AP1058" s="55"/>
      <c r="AQ1058" s="55"/>
      <c r="AR1058" s="55"/>
      <c r="AS1058" s="55"/>
      <c r="AT1058" s="55"/>
      <c r="AU1058" s="55"/>
      <c r="AV1058" s="55"/>
      <c r="AW1058" s="55"/>
      <c r="AX1058" s="55"/>
      <c r="AY1058" s="55"/>
    </row>
    <row r="1059" spans="21:51">
      <c r="U1059" s="55"/>
      <c r="V1059" s="55"/>
      <c r="W1059" s="55"/>
      <c r="X1059" s="55"/>
      <c r="Y1059" s="55"/>
      <c r="Z1059" s="55"/>
      <c r="AA1059" s="55"/>
      <c r="AB1059" s="55"/>
      <c r="AC1059" s="55"/>
      <c r="AD1059" s="55"/>
      <c r="AE1059" s="55"/>
      <c r="AF1059" s="55"/>
      <c r="AG1059" s="55"/>
      <c r="AH1059" s="55"/>
      <c r="AI1059" s="55"/>
      <c r="AJ1059" s="55"/>
      <c r="AK1059" s="55"/>
      <c r="AL1059" s="55"/>
      <c r="AM1059" s="55"/>
      <c r="AN1059" s="55"/>
      <c r="AO1059" s="55"/>
      <c r="AP1059" s="55"/>
      <c r="AQ1059" s="55"/>
      <c r="AR1059" s="55"/>
      <c r="AS1059" s="55"/>
      <c r="AT1059" s="55"/>
      <c r="AU1059" s="55"/>
      <c r="AV1059" s="55"/>
      <c r="AW1059" s="55"/>
      <c r="AX1059" s="55"/>
      <c r="AY1059" s="55"/>
    </row>
    <row r="1060" spans="21:51">
      <c r="U1060" s="55"/>
      <c r="V1060" s="55"/>
      <c r="W1060" s="55"/>
      <c r="X1060" s="55"/>
      <c r="Y1060" s="55"/>
      <c r="Z1060" s="55"/>
      <c r="AA1060" s="55"/>
      <c r="AB1060" s="55"/>
      <c r="AC1060" s="55"/>
      <c r="AD1060" s="55"/>
      <c r="AE1060" s="55"/>
      <c r="AF1060" s="55"/>
      <c r="AG1060" s="55"/>
      <c r="AH1060" s="55"/>
      <c r="AI1060" s="55"/>
      <c r="AJ1060" s="55"/>
      <c r="AK1060" s="55"/>
      <c r="AL1060" s="55"/>
      <c r="AM1060" s="55"/>
      <c r="AN1060" s="55"/>
      <c r="AO1060" s="55"/>
      <c r="AP1060" s="55"/>
      <c r="AQ1060" s="55"/>
      <c r="AR1060" s="55"/>
      <c r="AS1060" s="55"/>
      <c r="AT1060" s="55"/>
      <c r="AU1060" s="55"/>
      <c r="AV1060" s="55"/>
      <c r="AW1060" s="55"/>
      <c r="AX1060" s="55"/>
      <c r="AY1060" s="55"/>
    </row>
    <row r="1061" spans="21:51">
      <c r="U1061" s="55"/>
      <c r="V1061" s="55"/>
      <c r="W1061" s="55"/>
      <c r="X1061" s="55"/>
      <c r="Y1061" s="55"/>
      <c r="Z1061" s="55"/>
      <c r="AA1061" s="55"/>
      <c r="AB1061" s="55"/>
      <c r="AC1061" s="55"/>
      <c r="AD1061" s="55"/>
      <c r="AE1061" s="55"/>
      <c r="AF1061" s="55"/>
      <c r="AG1061" s="55"/>
      <c r="AH1061" s="55"/>
      <c r="AI1061" s="55"/>
      <c r="AJ1061" s="55"/>
      <c r="AK1061" s="55"/>
      <c r="AL1061" s="55"/>
      <c r="AM1061" s="55"/>
      <c r="AN1061" s="55"/>
      <c r="AO1061" s="55"/>
      <c r="AP1061" s="55"/>
      <c r="AQ1061" s="55"/>
      <c r="AR1061" s="55"/>
      <c r="AS1061" s="55"/>
      <c r="AT1061" s="55"/>
      <c r="AU1061" s="55"/>
      <c r="AV1061" s="55"/>
      <c r="AW1061" s="55"/>
      <c r="AX1061" s="55"/>
      <c r="AY1061" s="55"/>
    </row>
    <row r="1062" spans="21:51">
      <c r="U1062" s="55"/>
      <c r="V1062" s="55"/>
      <c r="W1062" s="55"/>
      <c r="X1062" s="55"/>
      <c r="Y1062" s="55"/>
      <c r="Z1062" s="55"/>
      <c r="AA1062" s="55"/>
      <c r="AB1062" s="55"/>
      <c r="AC1062" s="55"/>
      <c r="AD1062" s="55"/>
      <c r="AE1062" s="55"/>
      <c r="AF1062" s="55"/>
      <c r="AG1062" s="55"/>
      <c r="AH1062" s="55"/>
      <c r="AI1062" s="55"/>
      <c r="AJ1062" s="55"/>
      <c r="AK1062" s="55"/>
      <c r="AL1062" s="55"/>
      <c r="AM1062" s="55"/>
      <c r="AN1062" s="55"/>
      <c r="AO1062" s="55"/>
      <c r="AP1062" s="55"/>
      <c r="AQ1062" s="55"/>
      <c r="AR1062" s="55"/>
      <c r="AS1062" s="55"/>
      <c r="AT1062" s="55"/>
      <c r="AU1062" s="55"/>
      <c r="AV1062" s="55"/>
      <c r="AW1062" s="55"/>
      <c r="AX1062" s="55"/>
      <c r="AY1062" s="55"/>
    </row>
    <row r="1063" spans="21:51">
      <c r="U1063" s="55"/>
      <c r="V1063" s="55"/>
      <c r="W1063" s="55"/>
      <c r="X1063" s="55"/>
      <c r="Y1063" s="55"/>
      <c r="Z1063" s="55"/>
      <c r="AA1063" s="55"/>
      <c r="AB1063" s="55"/>
      <c r="AC1063" s="55"/>
      <c r="AD1063" s="55"/>
      <c r="AE1063" s="55"/>
      <c r="AF1063" s="55"/>
      <c r="AG1063" s="55"/>
      <c r="AH1063" s="55"/>
      <c r="AI1063" s="55"/>
      <c r="AJ1063" s="55"/>
      <c r="AK1063" s="55"/>
      <c r="AL1063" s="55"/>
      <c r="AM1063" s="55"/>
      <c r="AN1063" s="55"/>
      <c r="AO1063" s="55"/>
      <c r="AP1063" s="55"/>
      <c r="AQ1063" s="55"/>
      <c r="AR1063" s="55"/>
      <c r="AS1063" s="55"/>
      <c r="AT1063" s="55"/>
      <c r="AU1063" s="55"/>
      <c r="AV1063" s="55"/>
      <c r="AW1063" s="55"/>
      <c r="AX1063" s="55"/>
      <c r="AY1063" s="55"/>
    </row>
    <row r="1064" spans="21:51">
      <c r="U1064" s="55"/>
      <c r="V1064" s="55"/>
      <c r="W1064" s="55"/>
      <c r="X1064" s="55"/>
      <c r="Y1064" s="55"/>
      <c r="Z1064" s="55"/>
      <c r="AA1064" s="55"/>
      <c r="AB1064" s="55"/>
      <c r="AC1064" s="55"/>
      <c r="AD1064" s="55"/>
      <c r="AE1064" s="55"/>
      <c r="AF1064" s="55"/>
      <c r="AG1064" s="55"/>
      <c r="AH1064" s="55"/>
      <c r="AI1064" s="55"/>
      <c r="AJ1064" s="55"/>
      <c r="AK1064" s="55"/>
      <c r="AL1064" s="55"/>
      <c r="AM1064" s="55"/>
      <c r="AN1064" s="55"/>
      <c r="AO1064" s="55"/>
      <c r="AP1064" s="55"/>
      <c r="AQ1064" s="55"/>
      <c r="AR1064" s="55"/>
      <c r="AS1064" s="55"/>
      <c r="AT1064" s="55"/>
      <c r="AU1064" s="55"/>
      <c r="AV1064" s="55"/>
      <c r="AW1064" s="55"/>
      <c r="AX1064" s="55"/>
      <c r="AY1064" s="55"/>
    </row>
    <row r="1065" spans="21:51">
      <c r="U1065" s="55"/>
      <c r="V1065" s="55"/>
      <c r="W1065" s="55"/>
      <c r="X1065" s="55"/>
      <c r="Y1065" s="55"/>
      <c r="Z1065" s="55"/>
      <c r="AA1065" s="55"/>
      <c r="AB1065" s="55"/>
      <c r="AC1065" s="55"/>
      <c r="AD1065" s="55"/>
      <c r="AE1065" s="55"/>
      <c r="AF1065" s="55"/>
      <c r="AG1065" s="55"/>
      <c r="AH1065" s="55"/>
      <c r="AI1065" s="55"/>
      <c r="AJ1065" s="55"/>
      <c r="AK1065" s="55"/>
      <c r="AL1065" s="55"/>
      <c r="AM1065" s="55"/>
      <c r="AN1065" s="55"/>
      <c r="AO1065" s="55"/>
      <c r="AP1065" s="55"/>
      <c r="AQ1065" s="55"/>
      <c r="AR1065" s="55"/>
      <c r="AS1065" s="55"/>
      <c r="AT1065" s="55"/>
      <c r="AU1065" s="55"/>
      <c r="AV1065" s="55"/>
      <c r="AW1065" s="55"/>
      <c r="AX1065" s="55"/>
      <c r="AY1065" s="55"/>
    </row>
    <row r="1066" spans="21:51">
      <c r="U1066" s="55"/>
      <c r="V1066" s="55"/>
      <c r="W1066" s="55"/>
      <c r="X1066" s="55"/>
      <c r="Y1066" s="55"/>
      <c r="Z1066" s="55"/>
      <c r="AA1066" s="55"/>
      <c r="AB1066" s="55"/>
      <c r="AC1066" s="55"/>
      <c r="AD1066" s="55"/>
      <c r="AE1066" s="55"/>
      <c r="AF1066" s="55"/>
      <c r="AG1066" s="55"/>
      <c r="AH1066" s="55"/>
      <c r="AI1066" s="55"/>
      <c r="AJ1066" s="55"/>
      <c r="AK1066" s="55"/>
      <c r="AL1066" s="55"/>
      <c r="AM1066" s="55"/>
      <c r="AN1066" s="55"/>
      <c r="AO1066" s="55"/>
      <c r="AP1066" s="55"/>
      <c r="AQ1066" s="55"/>
      <c r="AR1066" s="55"/>
      <c r="AS1066" s="55"/>
      <c r="AT1066" s="55"/>
      <c r="AU1066" s="55"/>
      <c r="AV1066" s="55"/>
      <c r="AW1066" s="55"/>
      <c r="AX1066" s="55"/>
      <c r="AY1066" s="55"/>
    </row>
    <row r="1067" spans="21:51">
      <c r="U1067" s="55"/>
      <c r="V1067" s="55"/>
      <c r="W1067" s="55"/>
      <c r="X1067" s="55"/>
      <c r="Y1067" s="55"/>
      <c r="Z1067" s="55"/>
      <c r="AA1067" s="55"/>
      <c r="AB1067" s="55"/>
      <c r="AC1067" s="55"/>
      <c r="AD1067" s="55"/>
      <c r="AE1067" s="55"/>
      <c r="AF1067" s="55"/>
      <c r="AG1067" s="55"/>
      <c r="AH1067" s="55"/>
      <c r="AI1067" s="55"/>
      <c r="AJ1067" s="55"/>
      <c r="AK1067" s="55"/>
      <c r="AL1067" s="55"/>
      <c r="AM1067" s="55"/>
      <c r="AN1067" s="55"/>
      <c r="AO1067" s="55"/>
      <c r="AP1067" s="55"/>
      <c r="AQ1067" s="55"/>
      <c r="AR1067" s="55"/>
      <c r="AS1067" s="55"/>
      <c r="AT1067" s="55"/>
      <c r="AU1067" s="55"/>
      <c r="AV1067" s="55"/>
      <c r="AW1067" s="55"/>
      <c r="AX1067" s="55"/>
      <c r="AY1067" s="55"/>
    </row>
    <row r="1068" spans="21:51">
      <c r="U1068" s="55"/>
      <c r="V1068" s="55"/>
      <c r="W1068" s="55"/>
      <c r="X1068" s="55"/>
      <c r="Y1068" s="55"/>
      <c r="Z1068" s="55"/>
      <c r="AA1068" s="55"/>
      <c r="AB1068" s="55"/>
      <c r="AC1068" s="55"/>
      <c r="AD1068" s="55"/>
      <c r="AE1068" s="55"/>
      <c r="AF1068" s="55"/>
      <c r="AG1068" s="55"/>
      <c r="AH1068" s="55"/>
      <c r="AI1068" s="55"/>
      <c r="AJ1068" s="55"/>
      <c r="AK1068" s="55"/>
      <c r="AL1068" s="55"/>
      <c r="AM1068" s="55"/>
      <c r="AN1068" s="55"/>
      <c r="AO1068" s="55"/>
      <c r="AP1068" s="55"/>
      <c r="AQ1068" s="55"/>
      <c r="AR1068" s="55"/>
      <c r="AS1068" s="55"/>
      <c r="AT1068" s="55"/>
      <c r="AU1068" s="55"/>
      <c r="AV1068" s="55"/>
      <c r="AW1068" s="55"/>
      <c r="AX1068" s="55"/>
      <c r="AY1068" s="55"/>
    </row>
    <row r="1069" spans="21:51">
      <c r="U1069" s="55"/>
      <c r="V1069" s="55"/>
      <c r="W1069" s="55"/>
      <c r="X1069" s="55"/>
      <c r="Y1069" s="55"/>
      <c r="Z1069" s="55"/>
      <c r="AA1069" s="55"/>
      <c r="AB1069" s="55"/>
      <c r="AC1069" s="55"/>
      <c r="AD1069" s="55"/>
      <c r="AE1069" s="55"/>
      <c r="AF1069" s="55"/>
      <c r="AG1069" s="55"/>
      <c r="AH1069" s="55"/>
      <c r="AI1069" s="55"/>
      <c r="AJ1069" s="55"/>
      <c r="AK1069" s="55"/>
      <c r="AL1069" s="55"/>
      <c r="AM1069" s="55"/>
      <c r="AN1069" s="55"/>
      <c r="AO1069" s="55"/>
      <c r="AP1069" s="55"/>
      <c r="AQ1069" s="55"/>
      <c r="AR1069" s="55"/>
      <c r="AS1069" s="55"/>
      <c r="AT1069" s="55"/>
      <c r="AU1069" s="55"/>
      <c r="AV1069" s="55"/>
      <c r="AW1069" s="55"/>
      <c r="AX1069" s="55"/>
      <c r="AY1069" s="55"/>
    </row>
    <row r="1070" spans="21:51">
      <c r="U1070" s="55"/>
      <c r="V1070" s="55"/>
      <c r="W1070" s="55"/>
      <c r="X1070" s="55"/>
      <c r="Y1070" s="55"/>
      <c r="Z1070" s="55"/>
      <c r="AA1070" s="55"/>
      <c r="AB1070" s="55"/>
      <c r="AC1070" s="55"/>
      <c r="AD1070" s="55"/>
      <c r="AE1070" s="55"/>
      <c r="AF1070" s="55"/>
      <c r="AG1070" s="55"/>
      <c r="AH1070" s="55"/>
      <c r="AI1070" s="55"/>
      <c r="AJ1070" s="55"/>
      <c r="AK1070" s="55"/>
      <c r="AL1070" s="55"/>
      <c r="AM1070" s="55"/>
      <c r="AN1070" s="55"/>
      <c r="AO1070" s="55"/>
      <c r="AP1070" s="55"/>
      <c r="AQ1070" s="55"/>
      <c r="AR1070" s="55"/>
      <c r="AS1070" s="55"/>
      <c r="AT1070" s="55"/>
      <c r="AU1070" s="55"/>
      <c r="AV1070" s="55"/>
      <c r="AW1070" s="55"/>
      <c r="AX1070" s="55"/>
      <c r="AY1070" s="55"/>
    </row>
    <row r="1071" spans="21:51">
      <c r="U1071" s="55"/>
      <c r="V1071" s="55"/>
      <c r="W1071" s="55"/>
      <c r="X1071" s="55"/>
      <c r="Y1071" s="55"/>
      <c r="Z1071" s="55"/>
      <c r="AA1071" s="55"/>
      <c r="AB1071" s="55"/>
      <c r="AC1071" s="55"/>
      <c r="AD1071" s="55"/>
      <c r="AE1071" s="55"/>
      <c r="AF1071" s="55"/>
      <c r="AG1071" s="55"/>
      <c r="AH1071" s="55"/>
      <c r="AI1071" s="55"/>
      <c r="AJ1071" s="55"/>
      <c r="AK1071" s="55"/>
      <c r="AL1071" s="55"/>
      <c r="AM1071" s="55"/>
      <c r="AN1071" s="55"/>
      <c r="AO1071" s="55"/>
      <c r="AP1071" s="55"/>
      <c r="AQ1071" s="55"/>
      <c r="AR1071" s="55"/>
      <c r="AS1071" s="55"/>
      <c r="AT1071" s="55"/>
      <c r="AU1071" s="55"/>
      <c r="AV1071" s="55"/>
      <c r="AW1071" s="55"/>
      <c r="AX1071" s="55"/>
      <c r="AY1071" s="55"/>
    </row>
    <row r="1072" spans="21:51">
      <c r="U1072" s="55"/>
      <c r="V1072" s="55"/>
      <c r="W1072" s="55"/>
      <c r="X1072" s="55"/>
      <c r="Y1072" s="55"/>
      <c r="Z1072" s="55"/>
      <c r="AA1072" s="55"/>
      <c r="AB1072" s="55"/>
      <c r="AC1072" s="55"/>
      <c r="AD1072" s="55"/>
      <c r="AE1072" s="55"/>
      <c r="AF1072" s="55"/>
      <c r="AG1072" s="55"/>
      <c r="AH1072" s="55"/>
      <c r="AI1072" s="55"/>
      <c r="AJ1072" s="55"/>
      <c r="AK1072" s="55"/>
      <c r="AL1072" s="55"/>
      <c r="AM1072" s="55"/>
      <c r="AN1072" s="55"/>
      <c r="AO1072" s="55"/>
      <c r="AP1072" s="55"/>
      <c r="AQ1072" s="55"/>
      <c r="AR1072" s="55"/>
      <c r="AS1072" s="55"/>
      <c r="AT1072" s="55"/>
      <c r="AU1072" s="55"/>
      <c r="AV1072" s="55"/>
      <c r="AW1072" s="55"/>
      <c r="AX1072" s="55"/>
      <c r="AY1072" s="55"/>
    </row>
    <row r="1073" spans="21:51">
      <c r="U1073" s="55"/>
      <c r="V1073" s="55"/>
      <c r="W1073" s="55"/>
      <c r="X1073" s="55"/>
      <c r="Y1073" s="55"/>
      <c r="Z1073" s="55"/>
      <c r="AA1073" s="55"/>
      <c r="AB1073" s="55"/>
      <c r="AC1073" s="55"/>
      <c r="AD1073" s="55"/>
      <c r="AE1073" s="55"/>
      <c r="AF1073" s="55"/>
      <c r="AG1073" s="55"/>
      <c r="AH1073" s="55"/>
      <c r="AI1073" s="55"/>
      <c r="AJ1073" s="55"/>
      <c r="AK1073" s="55"/>
      <c r="AL1073" s="55"/>
      <c r="AM1073" s="55"/>
      <c r="AN1073" s="55"/>
      <c r="AO1073" s="55"/>
      <c r="AP1073" s="55"/>
      <c r="AQ1073" s="55"/>
      <c r="AR1073" s="55"/>
      <c r="AS1073" s="55"/>
      <c r="AT1073" s="55"/>
      <c r="AU1073" s="55"/>
      <c r="AV1073" s="55"/>
      <c r="AW1073" s="55"/>
      <c r="AX1073" s="55"/>
      <c r="AY1073" s="55"/>
    </row>
    <row r="1074" spans="21:51">
      <c r="U1074" s="55"/>
      <c r="V1074" s="55"/>
      <c r="W1074" s="55"/>
      <c r="X1074" s="55"/>
      <c r="Y1074" s="55"/>
      <c r="Z1074" s="55"/>
      <c r="AA1074" s="55"/>
      <c r="AB1074" s="55"/>
      <c r="AC1074" s="55"/>
      <c r="AD1074" s="55"/>
      <c r="AE1074" s="55"/>
      <c r="AF1074" s="55"/>
      <c r="AG1074" s="55"/>
      <c r="AH1074" s="55"/>
      <c r="AI1074" s="55"/>
      <c r="AJ1074" s="55"/>
      <c r="AK1074" s="55"/>
      <c r="AL1074" s="55"/>
      <c r="AM1074" s="55"/>
      <c r="AN1074" s="55"/>
      <c r="AO1074" s="55"/>
      <c r="AP1074" s="55"/>
      <c r="AQ1074" s="55"/>
      <c r="AR1074" s="55"/>
      <c r="AS1074" s="55"/>
      <c r="AT1074" s="55"/>
      <c r="AU1074" s="55"/>
      <c r="AV1074" s="55"/>
      <c r="AW1074" s="55"/>
      <c r="AX1074" s="55"/>
      <c r="AY1074" s="55"/>
    </row>
    <row r="1075" spans="21:51">
      <c r="U1075" s="55"/>
      <c r="V1075" s="55"/>
      <c r="W1075" s="55"/>
      <c r="X1075" s="55"/>
      <c r="Y1075" s="55"/>
      <c r="Z1075" s="55"/>
      <c r="AA1075" s="55"/>
      <c r="AB1075" s="55"/>
      <c r="AC1075" s="55"/>
      <c r="AD1075" s="55"/>
      <c r="AE1075" s="55"/>
      <c r="AF1075" s="55"/>
      <c r="AG1075" s="55"/>
      <c r="AH1075" s="55"/>
      <c r="AI1075" s="55"/>
      <c r="AJ1075" s="55"/>
      <c r="AK1075" s="55"/>
      <c r="AL1075" s="55"/>
      <c r="AM1075" s="55"/>
      <c r="AN1075" s="55"/>
      <c r="AO1075" s="55"/>
      <c r="AP1075" s="55"/>
      <c r="AQ1075" s="55"/>
      <c r="AR1075" s="55"/>
      <c r="AS1075" s="55"/>
      <c r="AT1075" s="55"/>
      <c r="AU1075" s="55"/>
      <c r="AV1075" s="55"/>
      <c r="AW1075" s="55"/>
      <c r="AX1075" s="55"/>
      <c r="AY1075" s="55"/>
    </row>
    <row r="1076" spans="21:51">
      <c r="U1076" s="55"/>
      <c r="V1076" s="55"/>
      <c r="W1076" s="55"/>
      <c r="X1076" s="55"/>
      <c r="Y1076" s="55"/>
      <c r="Z1076" s="55"/>
      <c r="AA1076" s="55"/>
      <c r="AB1076" s="55"/>
      <c r="AC1076" s="55"/>
      <c r="AD1076" s="55"/>
      <c r="AE1076" s="55"/>
      <c r="AF1076" s="55"/>
      <c r="AG1076" s="55"/>
      <c r="AH1076" s="55"/>
      <c r="AI1076" s="55"/>
      <c r="AJ1076" s="55"/>
      <c r="AK1076" s="55"/>
      <c r="AL1076" s="55"/>
      <c r="AM1076" s="55"/>
      <c r="AN1076" s="55"/>
      <c r="AO1076" s="55"/>
      <c r="AP1076" s="55"/>
      <c r="AQ1076" s="55"/>
      <c r="AR1076" s="55"/>
      <c r="AS1076" s="55"/>
      <c r="AT1076" s="55"/>
      <c r="AU1076" s="55"/>
      <c r="AV1076" s="55"/>
      <c r="AW1076" s="55"/>
      <c r="AX1076" s="55"/>
      <c r="AY1076" s="55"/>
    </row>
    <row r="1077" spans="21:51">
      <c r="U1077" s="55"/>
      <c r="V1077" s="55"/>
      <c r="W1077" s="55"/>
      <c r="X1077" s="55"/>
      <c r="Y1077" s="55"/>
      <c r="Z1077" s="55"/>
      <c r="AA1077" s="55"/>
      <c r="AB1077" s="55"/>
      <c r="AC1077" s="55"/>
      <c r="AD1077" s="55"/>
      <c r="AE1077" s="55"/>
      <c r="AF1077" s="55"/>
      <c r="AG1077" s="55"/>
      <c r="AH1077" s="55"/>
      <c r="AI1077" s="55"/>
      <c r="AJ1077" s="55"/>
      <c r="AK1077" s="55"/>
      <c r="AL1077" s="55"/>
      <c r="AM1077" s="55"/>
      <c r="AN1077" s="55"/>
      <c r="AO1077" s="55"/>
      <c r="AP1077" s="55"/>
      <c r="AQ1077" s="55"/>
      <c r="AR1077" s="55"/>
      <c r="AS1077" s="55"/>
      <c r="AT1077" s="55"/>
      <c r="AU1077" s="55"/>
      <c r="AV1077" s="55"/>
      <c r="AW1077" s="55"/>
      <c r="AX1077" s="55"/>
      <c r="AY1077" s="55"/>
    </row>
    <row r="1078" spans="21:51">
      <c r="U1078" s="55"/>
      <c r="V1078" s="55"/>
      <c r="W1078" s="55"/>
      <c r="X1078" s="55"/>
      <c r="Y1078" s="55"/>
      <c r="Z1078" s="55"/>
      <c r="AA1078" s="55"/>
      <c r="AB1078" s="55"/>
      <c r="AC1078" s="55"/>
      <c r="AD1078" s="55"/>
      <c r="AE1078" s="55"/>
      <c r="AF1078" s="55"/>
      <c r="AG1078" s="55"/>
      <c r="AH1078" s="55"/>
      <c r="AI1078" s="55"/>
      <c r="AJ1078" s="55"/>
      <c r="AK1078" s="55"/>
      <c r="AL1078" s="55"/>
      <c r="AM1078" s="55"/>
      <c r="AN1078" s="55"/>
      <c r="AO1078" s="55"/>
      <c r="AP1078" s="55"/>
      <c r="AQ1078" s="55"/>
      <c r="AR1078" s="55"/>
      <c r="AS1078" s="55"/>
      <c r="AT1078" s="55"/>
      <c r="AU1078" s="55"/>
      <c r="AV1078" s="55"/>
      <c r="AW1078" s="55"/>
      <c r="AX1078" s="55"/>
      <c r="AY1078" s="55"/>
    </row>
    <row r="1079" spans="21:51">
      <c r="U1079" s="55"/>
      <c r="V1079" s="55"/>
      <c r="W1079" s="55"/>
      <c r="X1079" s="55"/>
      <c r="Y1079" s="55"/>
      <c r="Z1079" s="55"/>
      <c r="AA1079" s="55"/>
      <c r="AB1079" s="55"/>
      <c r="AC1079" s="55"/>
      <c r="AD1079" s="55"/>
      <c r="AE1079" s="55"/>
      <c r="AF1079" s="55"/>
      <c r="AG1079" s="55"/>
      <c r="AH1079" s="55"/>
      <c r="AI1079" s="55"/>
      <c r="AJ1079" s="55"/>
      <c r="AK1079" s="55"/>
      <c r="AL1079" s="55"/>
      <c r="AM1079" s="55"/>
      <c r="AN1079" s="55"/>
      <c r="AO1079" s="55"/>
      <c r="AP1079" s="55"/>
      <c r="AQ1079" s="55"/>
      <c r="AR1079" s="55"/>
      <c r="AS1079" s="55"/>
      <c r="AT1079" s="55"/>
      <c r="AU1079" s="55"/>
      <c r="AV1079" s="55"/>
      <c r="AW1079" s="55"/>
      <c r="AX1079" s="55"/>
      <c r="AY1079" s="55"/>
    </row>
    <row r="1080" spans="21:51">
      <c r="U1080" s="55"/>
      <c r="V1080" s="55"/>
      <c r="W1080" s="55"/>
      <c r="X1080" s="55"/>
      <c r="Y1080" s="55"/>
      <c r="Z1080" s="55"/>
      <c r="AA1080" s="55"/>
      <c r="AB1080" s="55"/>
      <c r="AC1080" s="55"/>
      <c r="AD1080" s="55"/>
      <c r="AE1080" s="55"/>
      <c r="AF1080" s="55"/>
      <c r="AG1080" s="55"/>
      <c r="AH1080" s="55"/>
      <c r="AI1080" s="55"/>
      <c r="AJ1080" s="55"/>
      <c r="AK1080" s="55"/>
      <c r="AL1080" s="55"/>
      <c r="AM1080" s="55"/>
      <c r="AN1080" s="55"/>
      <c r="AO1080" s="55"/>
      <c r="AP1080" s="55"/>
      <c r="AQ1080" s="55"/>
      <c r="AR1080" s="55"/>
      <c r="AS1080" s="55"/>
      <c r="AT1080" s="55"/>
      <c r="AU1080" s="55"/>
      <c r="AV1080" s="55"/>
      <c r="AW1080" s="55"/>
      <c r="AX1080" s="55"/>
      <c r="AY1080" s="55"/>
    </row>
    <row r="1081" spans="21:51">
      <c r="U1081" s="55"/>
      <c r="V1081" s="55"/>
      <c r="W1081" s="55"/>
      <c r="X1081" s="55"/>
      <c r="Y1081" s="55"/>
      <c r="Z1081" s="55"/>
      <c r="AA1081" s="55"/>
      <c r="AB1081" s="55"/>
      <c r="AC1081" s="55"/>
      <c r="AD1081" s="55"/>
      <c r="AE1081" s="55"/>
      <c r="AF1081" s="55"/>
      <c r="AG1081" s="55"/>
      <c r="AH1081" s="55"/>
      <c r="AI1081" s="55"/>
      <c r="AJ1081" s="55"/>
      <c r="AK1081" s="55"/>
      <c r="AL1081" s="55"/>
      <c r="AM1081" s="55"/>
      <c r="AN1081" s="55"/>
      <c r="AO1081" s="55"/>
      <c r="AP1081" s="55"/>
      <c r="AQ1081" s="55"/>
      <c r="AR1081" s="55"/>
      <c r="AS1081" s="55"/>
      <c r="AT1081" s="55"/>
      <c r="AU1081" s="55"/>
      <c r="AV1081" s="55"/>
      <c r="AW1081" s="55"/>
      <c r="AX1081" s="55"/>
      <c r="AY1081" s="55"/>
    </row>
    <row r="1082" spans="21:51">
      <c r="U1082" s="55"/>
      <c r="V1082" s="55"/>
      <c r="W1082" s="55"/>
      <c r="X1082" s="55"/>
      <c r="Y1082" s="55"/>
      <c r="Z1082" s="55"/>
      <c r="AA1082" s="55"/>
      <c r="AB1082" s="55"/>
      <c r="AC1082" s="55"/>
      <c r="AD1082" s="55"/>
      <c r="AE1082" s="55"/>
      <c r="AF1082" s="55"/>
      <c r="AG1082" s="55"/>
      <c r="AH1082" s="55"/>
      <c r="AI1082" s="55"/>
      <c r="AJ1082" s="55"/>
      <c r="AK1082" s="55"/>
      <c r="AL1082" s="55"/>
      <c r="AM1082" s="55"/>
      <c r="AN1082" s="55"/>
      <c r="AO1082" s="55"/>
      <c r="AP1082" s="55"/>
      <c r="AQ1082" s="55"/>
      <c r="AR1082" s="55"/>
      <c r="AS1082" s="55"/>
      <c r="AT1082" s="55"/>
      <c r="AU1082" s="55"/>
      <c r="AV1082" s="55"/>
      <c r="AW1082" s="55"/>
      <c r="AX1082" s="55"/>
      <c r="AY1082" s="55"/>
    </row>
    <row r="1083" spans="21:51">
      <c r="U1083" s="55"/>
      <c r="V1083" s="55"/>
      <c r="W1083" s="55"/>
      <c r="X1083" s="55"/>
      <c r="Y1083" s="55"/>
      <c r="Z1083" s="55"/>
      <c r="AA1083" s="55"/>
      <c r="AB1083" s="55"/>
      <c r="AC1083" s="55"/>
      <c r="AD1083" s="55"/>
      <c r="AE1083" s="55"/>
      <c r="AF1083" s="55"/>
      <c r="AG1083" s="55"/>
      <c r="AH1083" s="55"/>
      <c r="AI1083" s="55"/>
      <c r="AJ1083" s="55"/>
      <c r="AK1083" s="55"/>
      <c r="AL1083" s="55"/>
      <c r="AM1083" s="55"/>
      <c r="AN1083" s="55"/>
      <c r="AO1083" s="55"/>
      <c r="AP1083" s="55"/>
      <c r="AQ1083" s="55"/>
      <c r="AR1083" s="55"/>
      <c r="AS1083" s="55"/>
      <c r="AT1083" s="55"/>
      <c r="AU1083" s="55"/>
      <c r="AV1083" s="55"/>
      <c r="AW1083" s="55"/>
      <c r="AX1083" s="55"/>
      <c r="AY1083" s="55"/>
    </row>
    <row r="1084" spans="21:51">
      <c r="U1084" s="55"/>
      <c r="V1084" s="55"/>
      <c r="W1084" s="55"/>
      <c r="X1084" s="55"/>
      <c r="Y1084" s="55"/>
      <c r="Z1084" s="55"/>
      <c r="AA1084" s="55"/>
      <c r="AB1084" s="55"/>
      <c r="AC1084" s="55"/>
      <c r="AD1084" s="55"/>
      <c r="AE1084" s="55"/>
      <c r="AF1084" s="55"/>
      <c r="AG1084" s="55"/>
      <c r="AH1084" s="55"/>
      <c r="AI1084" s="55"/>
      <c r="AJ1084" s="55"/>
      <c r="AK1084" s="55"/>
      <c r="AL1084" s="55"/>
      <c r="AM1084" s="55"/>
      <c r="AN1084" s="55"/>
      <c r="AO1084" s="55"/>
      <c r="AP1084" s="55"/>
      <c r="AQ1084" s="55"/>
      <c r="AR1084" s="55"/>
      <c r="AS1084" s="55"/>
      <c r="AT1084" s="55"/>
      <c r="AU1084" s="55"/>
      <c r="AV1084" s="55"/>
      <c r="AW1084" s="55"/>
      <c r="AX1084" s="55"/>
      <c r="AY1084" s="55"/>
    </row>
    <row r="1085" spans="21:51">
      <c r="U1085" s="55"/>
      <c r="V1085" s="55"/>
      <c r="W1085" s="55"/>
      <c r="X1085" s="55"/>
      <c r="Y1085" s="55"/>
      <c r="Z1085" s="55"/>
      <c r="AA1085" s="55"/>
      <c r="AB1085" s="55"/>
      <c r="AC1085" s="55"/>
      <c r="AD1085" s="55"/>
      <c r="AE1085" s="55"/>
      <c r="AF1085" s="55"/>
      <c r="AG1085" s="55"/>
      <c r="AH1085" s="55"/>
      <c r="AI1085" s="55"/>
      <c r="AJ1085" s="55"/>
      <c r="AK1085" s="55"/>
      <c r="AL1085" s="55"/>
      <c r="AM1085" s="55"/>
      <c r="AN1085" s="55"/>
      <c r="AO1085" s="55"/>
      <c r="AP1085" s="55"/>
      <c r="AQ1085" s="55"/>
      <c r="AR1085" s="55"/>
      <c r="AS1085" s="55"/>
      <c r="AT1085" s="55"/>
      <c r="AU1085" s="55"/>
      <c r="AV1085" s="55"/>
      <c r="AW1085" s="55"/>
      <c r="AX1085" s="55"/>
      <c r="AY1085" s="55"/>
    </row>
    <row r="1086" spans="21:51">
      <c r="U1086" s="55"/>
      <c r="V1086" s="55"/>
      <c r="W1086" s="55"/>
      <c r="X1086" s="55"/>
      <c r="Y1086" s="55"/>
      <c r="Z1086" s="55"/>
      <c r="AA1086" s="55"/>
      <c r="AB1086" s="55"/>
      <c r="AC1086" s="55"/>
      <c r="AD1086" s="55"/>
      <c r="AE1086" s="55"/>
      <c r="AF1086" s="55"/>
      <c r="AG1086" s="55"/>
      <c r="AH1086" s="55"/>
      <c r="AI1086" s="55"/>
      <c r="AJ1086" s="55"/>
      <c r="AK1086" s="55"/>
      <c r="AL1086" s="55"/>
      <c r="AM1086" s="55"/>
      <c r="AN1086" s="55"/>
      <c r="AO1086" s="55"/>
      <c r="AP1086" s="55"/>
      <c r="AQ1086" s="55"/>
      <c r="AR1086" s="55"/>
      <c r="AS1086" s="55"/>
      <c r="AT1086" s="55"/>
      <c r="AU1086" s="55"/>
      <c r="AV1086" s="55"/>
      <c r="AW1086" s="55"/>
      <c r="AX1086" s="55"/>
      <c r="AY1086" s="55"/>
    </row>
    <row r="1087" spans="21:51">
      <c r="U1087" s="55"/>
      <c r="V1087" s="55"/>
      <c r="W1087" s="55"/>
      <c r="X1087" s="55"/>
      <c r="Y1087" s="55"/>
      <c r="Z1087" s="55"/>
      <c r="AA1087" s="55"/>
      <c r="AB1087" s="55"/>
      <c r="AC1087" s="55"/>
      <c r="AD1087" s="55"/>
      <c r="AE1087" s="55"/>
      <c r="AF1087" s="55"/>
      <c r="AG1087" s="55"/>
      <c r="AH1087" s="55"/>
      <c r="AI1087" s="55"/>
      <c r="AJ1087" s="55"/>
      <c r="AK1087" s="55"/>
      <c r="AL1087" s="55"/>
      <c r="AM1087" s="55"/>
      <c r="AN1087" s="55"/>
      <c r="AO1087" s="55"/>
      <c r="AP1087" s="55"/>
      <c r="AQ1087" s="55"/>
      <c r="AR1087" s="55"/>
      <c r="AS1087" s="55"/>
      <c r="AT1087" s="55"/>
      <c r="AU1087" s="55"/>
      <c r="AV1087" s="55"/>
      <c r="AW1087" s="55"/>
      <c r="AX1087" s="55"/>
      <c r="AY1087" s="55"/>
    </row>
    <row r="1088" spans="21:51">
      <c r="U1088" s="55"/>
      <c r="V1088" s="55"/>
      <c r="W1088" s="55"/>
      <c r="X1088" s="55"/>
      <c r="Y1088" s="55"/>
      <c r="Z1088" s="55"/>
      <c r="AA1088" s="55"/>
      <c r="AB1088" s="55"/>
      <c r="AC1088" s="55"/>
      <c r="AD1088" s="55"/>
      <c r="AE1088" s="55"/>
      <c r="AF1088" s="55"/>
      <c r="AG1088" s="55"/>
      <c r="AH1088" s="55"/>
      <c r="AI1088" s="55"/>
      <c r="AJ1088" s="55"/>
      <c r="AK1088" s="55"/>
      <c r="AL1088" s="55"/>
      <c r="AM1088" s="55"/>
      <c r="AN1088" s="55"/>
      <c r="AO1088" s="55"/>
      <c r="AP1088" s="55"/>
      <c r="AQ1088" s="55"/>
      <c r="AR1088" s="55"/>
      <c r="AS1088" s="55"/>
      <c r="AT1088" s="55"/>
      <c r="AU1088" s="55"/>
      <c r="AV1088" s="55"/>
      <c r="AW1088" s="55"/>
      <c r="AX1088" s="55"/>
      <c r="AY1088" s="55"/>
    </row>
    <row r="1089" spans="21:51">
      <c r="U1089" s="55"/>
      <c r="V1089" s="55"/>
      <c r="W1089" s="55"/>
      <c r="X1089" s="55"/>
      <c r="Y1089" s="55"/>
      <c r="Z1089" s="55"/>
      <c r="AA1089" s="55"/>
      <c r="AB1089" s="55"/>
      <c r="AC1089" s="55"/>
      <c r="AD1089" s="55"/>
      <c r="AE1089" s="55"/>
      <c r="AF1089" s="55"/>
      <c r="AG1089" s="55"/>
      <c r="AH1089" s="55"/>
      <c r="AI1089" s="55"/>
      <c r="AJ1089" s="55"/>
      <c r="AK1089" s="55"/>
      <c r="AL1089" s="55"/>
      <c r="AM1089" s="55"/>
      <c r="AN1089" s="55"/>
      <c r="AO1089" s="55"/>
      <c r="AP1089" s="55"/>
      <c r="AQ1089" s="55"/>
      <c r="AR1089" s="55"/>
      <c r="AS1089" s="55"/>
      <c r="AT1089" s="55"/>
      <c r="AU1089" s="55"/>
      <c r="AV1089" s="55"/>
      <c r="AW1089" s="55"/>
      <c r="AX1089" s="55"/>
      <c r="AY1089" s="55"/>
    </row>
    <row r="1090" spans="21:51">
      <c r="U1090" s="55"/>
      <c r="V1090" s="55"/>
      <c r="W1090" s="55"/>
      <c r="X1090" s="55"/>
      <c r="Y1090" s="55"/>
      <c r="Z1090" s="55"/>
      <c r="AA1090" s="55"/>
      <c r="AB1090" s="55"/>
      <c r="AC1090" s="55"/>
      <c r="AD1090" s="55"/>
      <c r="AE1090" s="55"/>
      <c r="AF1090" s="55"/>
      <c r="AG1090" s="55"/>
      <c r="AH1090" s="55"/>
      <c r="AI1090" s="55"/>
      <c r="AJ1090" s="55"/>
      <c r="AK1090" s="55"/>
      <c r="AL1090" s="55"/>
      <c r="AM1090" s="55"/>
      <c r="AN1090" s="55"/>
      <c r="AO1090" s="55"/>
      <c r="AP1090" s="55"/>
      <c r="AQ1090" s="55"/>
      <c r="AR1090" s="55"/>
      <c r="AS1090" s="55"/>
      <c r="AT1090" s="55"/>
      <c r="AU1090" s="55"/>
      <c r="AV1090" s="55"/>
      <c r="AW1090" s="55"/>
      <c r="AX1090" s="55"/>
      <c r="AY1090" s="55"/>
    </row>
    <row r="1091" spans="21:51">
      <c r="U1091" s="55"/>
      <c r="V1091" s="55"/>
      <c r="W1091" s="55"/>
      <c r="X1091" s="55"/>
      <c r="Y1091" s="55"/>
      <c r="Z1091" s="55"/>
      <c r="AA1091" s="55"/>
      <c r="AB1091" s="55"/>
      <c r="AC1091" s="55"/>
      <c r="AD1091" s="55"/>
      <c r="AE1091" s="55"/>
      <c r="AF1091" s="55"/>
      <c r="AG1091" s="55"/>
      <c r="AH1091" s="55"/>
      <c r="AI1091" s="55"/>
      <c r="AJ1091" s="55"/>
      <c r="AK1091" s="55"/>
      <c r="AL1091" s="55"/>
      <c r="AM1091" s="55"/>
      <c r="AN1091" s="55"/>
      <c r="AO1091" s="55"/>
      <c r="AP1091" s="55"/>
      <c r="AQ1091" s="55"/>
      <c r="AR1091" s="55"/>
      <c r="AS1091" s="55"/>
      <c r="AT1091" s="55"/>
      <c r="AU1091" s="55"/>
      <c r="AV1091" s="55"/>
      <c r="AW1091" s="55"/>
      <c r="AX1091" s="55"/>
      <c r="AY1091" s="55"/>
    </row>
    <row r="1092" spans="21:51">
      <c r="U1092" s="55"/>
      <c r="V1092" s="55"/>
      <c r="W1092" s="55"/>
      <c r="X1092" s="55"/>
      <c r="Y1092" s="55"/>
      <c r="Z1092" s="55"/>
      <c r="AA1092" s="55"/>
      <c r="AB1092" s="55"/>
      <c r="AC1092" s="55"/>
      <c r="AD1092" s="55"/>
      <c r="AE1092" s="55"/>
      <c r="AF1092" s="55"/>
      <c r="AG1092" s="55"/>
      <c r="AH1092" s="55"/>
      <c r="AI1092" s="55"/>
      <c r="AJ1092" s="55"/>
      <c r="AK1092" s="55"/>
      <c r="AL1092" s="55"/>
      <c r="AM1092" s="55"/>
      <c r="AN1092" s="55"/>
      <c r="AO1092" s="55"/>
      <c r="AP1092" s="55"/>
      <c r="AQ1092" s="55"/>
      <c r="AR1092" s="55"/>
      <c r="AS1092" s="55"/>
      <c r="AT1092" s="55"/>
      <c r="AU1092" s="55"/>
      <c r="AV1092" s="55"/>
      <c r="AW1092" s="55"/>
      <c r="AX1092" s="55"/>
      <c r="AY1092" s="55"/>
    </row>
    <row r="1093" spans="21:51">
      <c r="U1093" s="55"/>
      <c r="V1093" s="55"/>
      <c r="W1093" s="55"/>
      <c r="X1093" s="55"/>
      <c r="Y1093" s="55"/>
      <c r="Z1093" s="55"/>
      <c r="AA1093" s="55"/>
      <c r="AB1093" s="55"/>
      <c r="AC1093" s="55"/>
      <c r="AD1093" s="55"/>
      <c r="AE1093" s="55"/>
      <c r="AF1093" s="55"/>
      <c r="AG1093" s="55"/>
      <c r="AH1093" s="55"/>
      <c r="AI1093" s="55"/>
      <c r="AJ1093" s="55"/>
      <c r="AK1093" s="55"/>
      <c r="AL1093" s="55"/>
      <c r="AM1093" s="55"/>
      <c r="AN1093" s="55"/>
      <c r="AO1093" s="55"/>
      <c r="AP1093" s="55"/>
      <c r="AQ1093" s="55"/>
      <c r="AR1093" s="55"/>
      <c r="AS1093" s="55"/>
      <c r="AT1093" s="55"/>
      <c r="AU1093" s="55"/>
      <c r="AV1093" s="55"/>
      <c r="AW1093" s="55"/>
      <c r="AX1093" s="55"/>
      <c r="AY1093" s="55"/>
    </row>
    <row r="1094" spans="21:51">
      <c r="U1094" s="55"/>
      <c r="V1094" s="55"/>
      <c r="W1094" s="55"/>
      <c r="X1094" s="55"/>
      <c r="Y1094" s="55"/>
      <c r="Z1094" s="55"/>
      <c r="AA1094" s="55"/>
      <c r="AB1094" s="55"/>
      <c r="AC1094" s="55"/>
      <c r="AD1094" s="55"/>
      <c r="AE1094" s="55"/>
      <c r="AF1094" s="55"/>
      <c r="AG1094" s="55"/>
      <c r="AH1094" s="55"/>
      <c r="AI1094" s="55"/>
      <c r="AJ1094" s="55"/>
      <c r="AK1094" s="55"/>
      <c r="AL1094" s="55"/>
      <c r="AM1094" s="55"/>
      <c r="AN1094" s="55"/>
      <c r="AO1094" s="55"/>
      <c r="AP1094" s="55"/>
      <c r="AQ1094" s="55"/>
      <c r="AR1094" s="55"/>
      <c r="AS1094" s="55"/>
      <c r="AT1094" s="55"/>
      <c r="AU1094" s="55"/>
      <c r="AV1094" s="55"/>
      <c r="AW1094" s="55"/>
      <c r="AX1094" s="55"/>
      <c r="AY1094" s="55"/>
    </row>
    <row r="1095" spans="21:51">
      <c r="U1095" s="55"/>
      <c r="V1095" s="55"/>
      <c r="W1095" s="55"/>
      <c r="X1095" s="55"/>
      <c r="Y1095" s="55"/>
      <c r="Z1095" s="55"/>
      <c r="AA1095" s="55"/>
      <c r="AB1095" s="55"/>
      <c r="AC1095" s="55"/>
      <c r="AD1095" s="55"/>
      <c r="AE1095" s="55"/>
      <c r="AF1095" s="55"/>
      <c r="AG1095" s="55"/>
      <c r="AH1095" s="55"/>
      <c r="AI1095" s="55"/>
      <c r="AJ1095" s="55"/>
      <c r="AK1095" s="55"/>
      <c r="AL1095" s="55"/>
      <c r="AM1095" s="55"/>
      <c r="AN1095" s="55"/>
      <c r="AO1095" s="55"/>
      <c r="AP1095" s="55"/>
      <c r="AQ1095" s="55"/>
      <c r="AR1095" s="55"/>
      <c r="AS1095" s="55"/>
      <c r="AT1095" s="55"/>
      <c r="AU1095" s="55"/>
      <c r="AV1095" s="55"/>
      <c r="AW1095" s="55"/>
      <c r="AX1095" s="55"/>
      <c r="AY1095" s="55"/>
    </row>
    <row r="1096" spans="21:51">
      <c r="U1096" s="55"/>
      <c r="V1096" s="55"/>
      <c r="W1096" s="55"/>
      <c r="X1096" s="55"/>
      <c r="Y1096" s="55"/>
      <c r="Z1096" s="55"/>
      <c r="AA1096" s="55"/>
      <c r="AB1096" s="55"/>
      <c r="AC1096" s="55"/>
      <c r="AD1096" s="55"/>
      <c r="AE1096" s="55"/>
      <c r="AF1096" s="55"/>
      <c r="AG1096" s="55"/>
      <c r="AH1096" s="55"/>
      <c r="AI1096" s="55"/>
      <c r="AJ1096" s="55"/>
      <c r="AK1096" s="55"/>
      <c r="AL1096" s="55"/>
      <c r="AM1096" s="55"/>
      <c r="AN1096" s="55"/>
      <c r="AO1096" s="55"/>
      <c r="AP1096" s="55"/>
      <c r="AQ1096" s="55"/>
      <c r="AR1096" s="55"/>
      <c r="AS1096" s="55"/>
      <c r="AT1096" s="55"/>
      <c r="AU1096" s="55"/>
      <c r="AV1096" s="55"/>
      <c r="AW1096" s="55"/>
      <c r="AX1096" s="55"/>
      <c r="AY1096" s="55"/>
    </row>
    <row r="1097" spans="21:51">
      <c r="U1097" s="55"/>
      <c r="V1097" s="55"/>
      <c r="W1097" s="55"/>
      <c r="X1097" s="55"/>
      <c r="Y1097" s="55"/>
      <c r="Z1097" s="55"/>
      <c r="AA1097" s="55"/>
      <c r="AB1097" s="55"/>
      <c r="AC1097" s="55"/>
      <c r="AD1097" s="55"/>
      <c r="AE1097" s="55"/>
      <c r="AF1097" s="55"/>
      <c r="AG1097" s="55"/>
      <c r="AH1097" s="55"/>
      <c r="AI1097" s="55"/>
      <c r="AJ1097" s="55"/>
      <c r="AK1097" s="55"/>
      <c r="AL1097" s="55"/>
      <c r="AM1097" s="55"/>
      <c r="AN1097" s="55"/>
      <c r="AO1097" s="55"/>
      <c r="AP1097" s="55"/>
      <c r="AQ1097" s="55"/>
      <c r="AR1097" s="55"/>
      <c r="AS1097" s="55"/>
      <c r="AT1097" s="55"/>
      <c r="AU1097" s="55"/>
      <c r="AV1097" s="55"/>
      <c r="AW1097" s="55"/>
      <c r="AX1097" s="55"/>
      <c r="AY1097" s="55"/>
    </row>
    <row r="1098" spans="21:51">
      <c r="U1098" s="55"/>
      <c r="V1098" s="55"/>
      <c r="W1098" s="55"/>
      <c r="X1098" s="55"/>
      <c r="Y1098" s="55"/>
      <c r="Z1098" s="55"/>
      <c r="AA1098" s="55"/>
      <c r="AB1098" s="55"/>
      <c r="AC1098" s="55"/>
      <c r="AD1098" s="55"/>
      <c r="AE1098" s="55"/>
      <c r="AF1098" s="55"/>
      <c r="AG1098" s="55"/>
      <c r="AH1098" s="55"/>
      <c r="AI1098" s="55"/>
      <c r="AJ1098" s="55"/>
      <c r="AK1098" s="55"/>
      <c r="AL1098" s="55"/>
      <c r="AM1098" s="55"/>
      <c r="AN1098" s="55"/>
      <c r="AO1098" s="55"/>
      <c r="AP1098" s="55"/>
      <c r="AQ1098" s="55"/>
      <c r="AR1098" s="55"/>
      <c r="AS1098" s="55"/>
      <c r="AT1098" s="55"/>
      <c r="AU1098" s="55"/>
      <c r="AV1098" s="55"/>
      <c r="AW1098" s="55"/>
      <c r="AX1098" s="55"/>
      <c r="AY1098" s="55"/>
    </row>
    <row r="1099" spans="21:51">
      <c r="U1099" s="55"/>
      <c r="V1099" s="55"/>
      <c r="W1099" s="55"/>
      <c r="X1099" s="55"/>
      <c r="Y1099" s="55"/>
      <c r="Z1099" s="55"/>
      <c r="AA1099" s="55"/>
      <c r="AB1099" s="55"/>
      <c r="AC1099" s="55"/>
      <c r="AD1099" s="55"/>
      <c r="AE1099" s="55"/>
      <c r="AF1099" s="55"/>
      <c r="AG1099" s="55"/>
      <c r="AH1099" s="55"/>
      <c r="AI1099" s="55"/>
      <c r="AJ1099" s="55"/>
      <c r="AK1099" s="55"/>
      <c r="AL1099" s="55"/>
      <c r="AM1099" s="55"/>
      <c r="AN1099" s="55"/>
      <c r="AO1099" s="55"/>
      <c r="AP1099" s="55"/>
      <c r="AQ1099" s="55"/>
      <c r="AR1099" s="55"/>
      <c r="AS1099" s="55"/>
      <c r="AT1099" s="55"/>
      <c r="AU1099" s="55"/>
      <c r="AV1099" s="55"/>
      <c r="AW1099" s="55"/>
      <c r="AX1099" s="55"/>
      <c r="AY1099" s="55"/>
    </row>
    <row r="1100" spans="21:51">
      <c r="U1100" s="55"/>
      <c r="V1100" s="55"/>
      <c r="W1100" s="55"/>
      <c r="X1100" s="55"/>
      <c r="Y1100" s="55"/>
      <c r="Z1100" s="55"/>
      <c r="AA1100" s="55"/>
      <c r="AB1100" s="55"/>
      <c r="AC1100" s="55"/>
      <c r="AD1100" s="55"/>
      <c r="AE1100" s="55"/>
      <c r="AF1100" s="55"/>
      <c r="AG1100" s="55"/>
      <c r="AH1100" s="55"/>
      <c r="AI1100" s="55"/>
      <c r="AJ1100" s="55"/>
      <c r="AK1100" s="55"/>
      <c r="AL1100" s="55"/>
      <c r="AM1100" s="55"/>
      <c r="AN1100" s="55"/>
      <c r="AO1100" s="55"/>
      <c r="AP1100" s="55"/>
      <c r="AQ1100" s="55"/>
      <c r="AR1100" s="55"/>
      <c r="AS1100" s="55"/>
      <c r="AT1100" s="55"/>
      <c r="AU1100" s="55"/>
      <c r="AV1100" s="55"/>
      <c r="AW1100" s="55"/>
      <c r="AX1100" s="55"/>
      <c r="AY1100" s="55"/>
    </row>
    <row r="1101" spans="21:51">
      <c r="U1101" s="55"/>
      <c r="V1101" s="55"/>
      <c r="W1101" s="55"/>
      <c r="X1101" s="55"/>
      <c r="Y1101" s="55"/>
      <c r="Z1101" s="55"/>
      <c r="AA1101" s="55"/>
      <c r="AB1101" s="55"/>
      <c r="AC1101" s="55"/>
      <c r="AD1101" s="55"/>
      <c r="AE1101" s="55"/>
      <c r="AF1101" s="55"/>
      <c r="AG1101" s="55"/>
      <c r="AH1101" s="55"/>
      <c r="AI1101" s="55"/>
      <c r="AJ1101" s="55"/>
      <c r="AK1101" s="55"/>
      <c r="AL1101" s="55"/>
      <c r="AM1101" s="55"/>
      <c r="AN1101" s="55"/>
      <c r="AO1101" s="55"/>
      <c r="AP1101" s="55"/>
      <c r="AQ1101" s="55"/>
      <c r="AR1101" s="55"/>
      <c r="AS1101" s="55"/>
      <c r="AT1101" s="55"/>
      <c r="AU1101" s="55"/>
      <c r="AV1101" s="55"/>
      <c r="AW1101" s="55"/>
      <c r="AX1101" s="55"/>
      <c r="AY1101" s="55"/>
    </row>
    <row r="1102" spans="21:51">
      <c r="U1102" s="55"/>
      <c r="V1102" s="55"/>
      <c r="W1102" s="55"/>
      <c r="X1102" s="55"/>
      <c r="Y1102" s="55"/>
      <c r="Z1102" s="55"/>
      <c r="AA1102" s="55"/>
      <c r="AB1102" s="55"/>
      <c r="AC1102" s="55"/>
      <c r="AD1102" s="55"/>
      <c r="AE1102" s="55"/>
      <c r="AF1102" s="55"/>
      <c r="AG1102" s="55"/>
      <c r="AH1102" s="55"/>
      <c r="AI1102" s="55"/>
      <c r="AJ1102" s="55"/>
      <c r="AK1102" s="55"/>
      <c r="AL1102" s="55"/>
      <c r="AM1102" s="55"/>
      <c r="AN1102" s="55"/>
      <c r="AO1102" s="55"/>
      <c r="AP1102" s="55"/>
      <c r="AQ1102" s="55"/>
      <c r="AR1102" s="55"/>
      <c r="AS1102" s="55"/>
      <c r="AT1102" s="55"/>
      <c r="AU1102" s="55"/>
      <c r="AV1102" s="55"/>
      <c r="AW1102" s="55"/>
      <c r="AX1102" s="55"/>
      <c r="AY1102" s="55"/>
    </row>
    <row r="1103" spans="21:51">
      <c r="U1103" s="55"/>
      <c r="V1103" s="55"/>
      <c r="W1103" s="55"/>
      <c r="X1103" s="55"/>
      <c r="Y1103" s="55"/>
      <c r="Z1103" s="55"/>
      <c r="AA1103" s="55"/>
      <c r="AB1103" s="55"/>
      <c r="AC1103" s="55"/>
      <c r="AD1103" s="55"/>
      <c r="AE1103" s="55"/>
      <c r="AF1103" s="55"/>
      <c r="AG1103" s="55"/>
      <c r="AH1103" s="55"/>
      <c r="AI1103" s="55"/>
      <c r="AJ1103" s="55"/>
      <c r="AK1103" s="55"/>
      <c r="AL1103" s="55"/>
      <c r="AM1103" s="55"/>
      <c r="AN1103" s="55"/>
      <c r="AO1103" s="55"/>
      <c r="AP1103" s="55"/>
      <c r="AQ1103" s="55"/>
      <c r="AR1103" s="55"/>
      <c r="AS1103" s="55"/>
      <c r="AT1103" s="55"/>
      <c r="AU1103" s="55"/>
      <c r="AV1103" s="55"/>
      <c r="AW1103" s="55"/>
      <c r="AX1103" s="55"/>
      <c r="AY1103" s="55"/>
    </row>
    <row r="1104" spans="21:51">
      <c r="U1104" s="55"/>
      <c r="V1104" s="55"/>
      <c r="W1104" s="55"/>
      <c r="X1104" s="55"/>
      <c r="Y1104" s="55"/>
      <c r="Z1104" s="55"/>
      <c r="AA1104" s="55"/>
      <c r="AB1104" s="55"/>
      <c r="AC1104" s="55"/>
      <c r="AD1104" s="55"/>
      <c r="AE1104" s="55"/>
      <c r="AF1104" s="55"/>
      <c r="AG1104" s="55"/>
      <c r="AH1104" s="55"/>
      <c r="AI1104" s="55"/>
      <c r="AJ1104" s="55"/>
      <c r="AK1104" s="55"/>
      <c r="AL1104" s="55"/>
      <c r="AM1104" s="55"/>
      <c r="AN1104" s="55"/>
      <c r="AO1104" s="55"/>
      <c r="AP1104" s="55"/>
      <c r="AQ1104" s="55"/>
      <c r="AR1104" s="55"/>
      <c r="AS1104" s="55"/>
      <c r="AT1104" s="55"/>
      <c r="AU1104" s="55"/>
      <c r="AV1104" s="55"/>
      <c r="AW1104" s="55"/>
      <c r="AX1104" s="55"/>
      <c r="AY1104" s="55"/>
    </row>
    <row r="1105" spans="21:51">
      <c r="U1105" s="55"/>
      <c r="V1105" s="55"/>
      <c r="W1105" s="55"/>
      <c r="X1105" s="55"/>
      <c r="Y1105" s="55"/>
      <c r="Z1105" s="55"/>
      <c r="AA1105" s="55"/>
      <c r="AB1105" s="55"/>
      <c r="AC1105" s="55"/>
      <c r="AD1105" s="55"/>
      <c r="AE1105" s="55"/>
      <c r="AF1105" s="55"/>
      <c r="AG1105" s="55"/>
      <c r="AH1105" s="55"/>
      <c r="AI1105" s="55"/>
      <c r="AJ1105" s="55"/>
      <c r="AK1105" s="55"/>
      <c r="AL1105" s="55"/>
      <c r="AM1105" s="55"/>
      <c r="AN1105" s="55"/>
      <c r="AO1105" s="55"/>
      <c r="AP1105" s="55"/>
      <c r="AQ1105" s="55"/>
      <c r="AR1105" s="55"/>
      <c r="AS1105" s="55"/>
      <c r="AT1105" s="55"/>
      <c r="AU1105" s="55"/>
      <c r="AV1105" s="55"/>
      <c r="AW1105" s="55"/>
      <c r="AX1105" s="55"/>
      <c r="AY1105" s="55"/>
    </row>
    <row r="1106" spans="21:51">
      <c r="U1106" s="55"/>
      <c r="V1106" s="55"/>
      <c r="W1106" s="55"/>
      <c r="X1106" s="55"/>
      <c r="Y1106" s="55"/>
      <c r="Z1106" s="55"/>
      <c r="AA1106" s="55"/>
      <c r="AB1106" s="55"/>
      <c r="AC1106" s="55"/>
      <c r="AD1106" s="55"/>
      <c r="AE1106" s="55"/>
      <c r="AF1106" s="55"/>
      <c r="AG1106" s="55"/>
      <c r="AH1106" s="55"/>
      <c r="AI1106" s="55"/>
      <c r="AJ1106" s="55"/>
      <c r="AK1106" s="55"/>
      <c r="AL1106" s="55"/>
      <c r="AM1106" s="55"/>
      <c r="AN1106" s="55"/>
      <c r="AO1106" s="55"/>
      <c r="AP1106" s="55"/>
      <c r="AQ1106" s="55"/>
      <c r="AR1106" s="55"/>
      <c r="AS1106" s="55"/>
      <c r="AT1106" s="55"/>
      <c r="AU1106" s="55"/>
      <c r="AV1106" s="55"/>
      <c r="AW1106" s="55"/>
      <c r="AX1106" s="55"/>
      <c r="AY1106" s="55"/>
    </row>
    <row r="1107" spans="21:51">
      <c r="U1107" s="55"/>
      <c r="V1107" s="55"/>
      <c r="W1107" s="55"/>
      <c r="X1107" s="55"/>
      <c r="Y1107" s="55"/>
      <c r="Z1107" s="55"/>
      <c r="AA1107" s="55"/>
      <c r="AB1107" s="55"/>
      <c r="AC1107" s="55"/>
      <c r="AD1107" s="55"/>
      <c r="AE1107" s="55"/>
      <c r="AF1107" s="55"/>
      <c r="AG1107" s="55"/>
      <c r="AH1107" s="55"/>
      <c r="AI1107" s="55"/>
      <c r="AJ1107" s="55"/>
      <c r="AK1107" s="55"/>
      <c r="AL1107" s="55"/>
      <c r="AM1107" s="55"/>
      <c r="AN1107" s="55"/>
      <c r="AO1107" s="55"/>
      <c r="AP1107" s="55"/>
      <c r="AQ1107" s="55"/>
      <c r="AR1107" s="55"/>
      <c r="AS1107" s="55"/>
      <c r="AT1107" s="55"/>
      <c r="AU1107" s="55"/>
      <c r="AV1107" s="55"/>
      <c r="AW1107" s="55"/>
      <c r="AX1107" s="55"/>
      <c r="AY1107" s="55"/>
    </row>
    <row r="1108" spans="21:51">
      <c r="U1108" s="55"/>
      <c r="V1108" s="55"/>
      <c r="W1108" s="55"/>
      <c r="X1108" s="55"/>
      <c r="Y1108" s="55"/>
      <c r="Z1108" s="55"/>
      <c r="AA1108" s="55"/>
      <c r="AB1108" s="55"/>
      <c r="AC1108" s="55"/>
      <c r="AD1108" s="55"/>
      <c r="AE1108" s="55"/>
      <c r="AF1108" s="55"/>
      <c r="AG1108" s="55"/>
      <c r="AH1108" s="55"/>
      <c r="AI1108" s="55"/>
      <c r="AJ1108" s="55"/>
      <c r="AK1108" s="55"/>
      <c r="AL1108" s="55"/>
      <c r="AM1108" s="55"/>
      <c r="AN1108" s="55"/>
      <c r="AO1108" s="55"/>
      <c r="AP1108" s="55"/>
      <c r="AQ1108" s="55"/>
      <c r="AR1108" s="55"/>
      <c r="AS1108" s="55"/>
      <c r="AT1108" s="55"/>
      <c r="AU1108" s="55"/>
      <c r="AV1108" s="55"/>
      <c r="AW1108" s="55"/>
      <c r="AX1108" s="55"/>
      <c r="AY1108" s="55"/>
    </row>
    <row r="1109" spans="21:51">
      <c r="U1109" s="55"/>
      <c r="V1109" s="55"/>
      <c r="W1109" s="55"/>
      <c r="X1109" s="55"/>
      <c r="Y1109" s="55"/>
      <c r="Z1109" s="55"/>
      <c r="AA1109" s="55"/>
      <c r="AB1109" s="55"/>
      <c r="AC1109" s="55"/>
      <c r="AD1109" s="55"/>
      <c r="AE1109" s="55"/>
      <c r="AF1109" s="55"/>
      <c r="AG1109" s="55"/>
      <c r="AH1109" s="55"/>
      <c r="AI1109" s="55"/>
      <c r="AJ1109" s="55"/>
      <c r="AK1109" s="55"/>
      <c r="AL1109" s="55"/>
      <c r="AM1109" s="55"/>
      <c r="AN1109" s="55"/>
      <c r="AO1109" s="55"/>
      <c r="AP1109" s="55"/>
      <c r="AQ1109" s="55"/>
      <c r="AR1109" s="55"/>
      <c r="AS1109" s="55"/>
      <c r="AT1109" s="55"/>
      <c r="AU1109" s="55"/>
      <c r="AV1109" s="55"/>
      <c r="AW1109" s="55"/>
      <c r="AX1109" s="55"/>
      <c r="AY1109" s="55"/>
    </row>
    <row r="1110" spans="21:51">
      <c r="U1110" s="55"/>
      <c r="V1110" s="55"/>
      <c r="W1110" s="55"/>
      <c r="X1110" s="55"/>
      <c r="Y1110" s="55"/>
      <c r="Z1110" s="55"/>
      <c r="AA1110" s="55"/>
      <c r="AB1110" s="55"/>
      <c r="AC1110" s="55"/>
      <c r="AD1110" s="55"/>
      <c r="AE1110" s="55"/>
      <c r="AF1110" s="55"/>
      <c r="AG1110" s="55"/>
      <c r="AH1110" s="55"/>
      <c r="AI1110" s="55"/>
      <c r="AJ1110" s="55"/>
      <c r="AK1110" s="55"/>
      <c r="AL1110" s="55"/>
      <c r="AM1110" s="55"/>
      <c r="AN1110" s="55"/>
      <c r="AO1110" s="55"/>
      <c r="AP1110" s="55"/>
      <c r="AQ1110" s="55"/>
      <c r="AR1110" s="55"/>
      <c r="AS1110" s="55"/>
      <c r="AT1110" s="55"/>
      <c r="AU1110" s="55"/>
      <c r="AV1110" s="55"/>
      <c r="AW1110" s="55"/>
      <c r="AX1110" s="55"/>
      <c r="AY1110" s="55"/>
    </row>
    <row r="1111" spans="21:51">
      <c r="U1111" s="55"/>
      <c r="V1111" s="55"/>
      <c r="W1111" s="55"/>
      <c r="X1111" s="55"/>
      <c r="Y1111" s="55"/>
      <c r="Z1111" s="55"/>
      <c r="AA1111" s="55"/>
      <c r="AB1111" s="55"/>
      <c r="AC1111" s="55"/>
      <c r="AD1111" s="55"/>
      <c r="AE1111" s="55"/>
      <c r="AF1111" s="55"/>
      <c r="AG1111" s="55"/>
      <c r="AH1111" s="55"/>
      <c r="AI1111" s="55"/>
      <c r="AJ1111" s="55"/>
      <c r="AK1111" s="55"/>
      <c r="AL1111" s="55"/>
      <c r="AM1111" s="55"/>
      <c r="AN1111" s="55"/>
      <c r="AO1111" s="55"/>
      <c r="AP1111" s="55"/>
      <c r="AQ1111" s="55"/>
      <c r="AR1111" s="55"/>
      <c r="AS1111" s="55"/>
      <c r="AT1111" s="55"/>
      <c r="AU1111" s="55"/>
      <c r="AV1111" s="55"/>
      <c r="AW1111" s="55"/>
      <c r="AX1111" s="55"/>
      <c r="AY1111" s="55"/>
    </row>
    <row r="1112" spans="21:51">
      <c r="U1112" s="55"/>
      <c r="V1112" s="55"/>
      <c r="W1112" s="55"/>
      <c r="X1112" s="55"/>
      <c r="Y1112" s="55"/>
      <c r="Z1112" s="55"/>
      <c r="AA1112" s="55"/>
      <c r="AB1112" s="55"/>
      <c r="AC1112" s="55"/>
      <c r="AD1112" s="55"/>
      <c r="AE1112" s="55"/>
      <c r="AF1112" s="55"/>
      <c r="AG1112" s="55"/>
      <c r="AH1112" s="55"/>
      <c r="AI1112" s="55"/>
      <c r="AJ1112" s="55"/>
      <c r="AK1112" s="55"/>
      <c r="AL1112" s="55"/>
      <c r="AM1112" s="55"/>
      <c r="AN1112" s="55"/>
      <c r="AO1112" s="55"/>
      <c r="AP1112" s="55"/>
      <c r="AQ1112" s="55"/>
      <c r="AR1112" s="55"/>
      <c r="AS1112" s="55"/>
      <c r="AT1112" s="55"/>
      <c r="AU1112" s="55"/>
      <c r="AV1112" s="55"/>
      <c r="AW1112" s="55"/>
      <c r="AX1112" s="55"/>
      <c r="AY1112" s="55"/>
    </row>
  </sheetData>
  <sheetProtection algorithmName="SHA-512" hashValue="Z9yMvu76XxCdxHEu5AwMgKuaJl4fBzOxq0Sp+U5saIrOgtpJql0WXuJ2zayjQUq4XY4lX8elDMpZoltB6cOh4g==" saltValue="T9o8NgesWMsqiTUxlQ3sCg==" spinCount="100000" sheet="1" objects="1" scenarios="1"/>
  <mergeCells count="3">
    <mergeCell ref="J1:M1"/>
    <mergeCell ref="F223:U223"/>
    <mergeCell ref="F242:U242"/>
  </mergeCells>
  <pageMargins left="0.39370078740157499" right="0.39370078740157499" top="0.39370078740157499" bottom="0.39370078740157499" header="0.39370078740157499" footer="0.39370078740157499"/>
  <pageSetup fitToHeight="3" orientation="landscape" r:id="rId1"/>
  <headerFooter alignWithMargins="0">
    <oddHeader>&amp;L (Appl'# )</oddHeader>
    <oddFooter>&amp;L&amp;F   &amp;D   (&amp;T)&amp;CProject Manager:  &amp;R&amp;"Arial,Regular"&amp;12&amp;B&amp;K000000Classification: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0B92-AF19-4C23-BF4E-5300954787DE}">
  <sheetPr transitionEntry="1">
    <pageSetUpPr autoPageBreaks="0" fitToPage="1"/>
  </sheetPr>
  <dimension ref="A1:IQ443"/>
  <sheetViews>
    <sheetView showGridLines="0" tabSelected="1" showOutlineSymbols="0" topLeftCell="J220" zoomScale="42" zoomScaleNormal="70" workbookViewId="0">
      <selection activeCell="G194" sqref="G194:K197"/>
    </sheetView>
  </sheetViews>
  <sheetFormatPr defaultColWidth="10.5546875" defaultRowHeight="20.399999999999999"/>
  <cols>
    <col min="1" max="1" width="65.77734375" style="275" bestFit="1" customWidth="1"/>
    <col min="2" max="3" width="17.6640625" style="275" customWidth="1"/>
    <col min="4" max="4" width="19.88671875" style="275" customWidth="1"/>
    <col min="5" max="5" width="21.6640625" style="275" customWidth="1"/>
    <col min="6" max="6" width="20.88671875" style="275" customWidth="1"/>
    <col min="7" max="7" width="18.6640625" style="275" customWidth="1"/>
    <col min="8" max="11" width="17.6640625" style="275" customWidth="1"/>
    <col min="12" max="12" width="17.33203125" style="275" customWidth="1"/>
    <col min="13" max="13" width="19.5546875" style="275" customWidth="1"/>
    <col min="14" max="14" width="20.5546875" style="275" customWidth="1"/>
    <col min="15" max="16" width="17.6640625" style="275" customWidth="1"/>
    <col min="17" max="18" width="18.44140625" style="275" customWidth="1"/>
    <col min="19" max="23" width="19.109375" style="275" bestFit="1" customWidth="1"/>
    <col min="24" max="26" width="19.109375" style="275" customWidth="1"/>
    <col min="27" max="27" width="18.5546875" style="275" customWidth="1"/>
    <col min="28" max="28" width="22.6640625" style="275" customWidth="1"/>
    <col min="29" max="49" width="12.5546875" style="275" customWidth="1"/>
    <col min="50" max="50" width="10.5546875" style="275" customWidth="1"/>
    <col min="51" max="53" width="12.5546875" style="275" customWidth="1"/>
    <col min="54" max="57" width="10.5546875" style="275" customWidth="1"/>
    <col min="58" max="58" width="18.5546875" style="275" customWidth="1"/>
    <col min="59" max="67" width="10.5546875" style="275" customWidth="1"/>
    <col min="68" max="68" width="36.5546875" style="275" customWidth="1"/>
    <col min="69" max="70" width="10.5546875" style="275" customWidth="1"/>
    <col min="71" max="71" width="30.5546875" style="275" customWidth="1"/>
    <col min="72" max="104" width="10.5546875" style="275" customWidth="1"/>
    <col min="105" max="105" width="36.5546875" style="275" customWidth="1"/>
    <col min="106" max="125" width="10.5546875" style="275" customWidth="1"/>
    <col min="126" max="126" width="30.5546875" style="275" customWidth="1"/>
    <col min="127" max="128" width="10.5546875" style="275" customWidth="1"/>
    <col min="129" max="129" width="19.5546875" style="275" customWidth="1"/>
    <col min="130" max="130" width="31.5546875" style="275" customWidth="1"/>
    <col min="131" max="131" width="38.5546875" style="275" customWidth="1"/>
    <col min="132" max="133" width="32.5546875" style="275" customWidth="1"/>
    <col min="134" max="136" width="30.5546875" style="275" customWidth="1"/>
    <col min="137" max="141" width="10.5546875" style="275" customWidth="1"/>
    <col min="142" max="142" width="64.5546875" style="275" customWidth="1"/>
    <col min="143" max="16384" width="10.5546875" style="275"/>
  </cols>
  <sheetData>
    <row r="1" spans="1:22" ht="38.25" customHeight="1" thickTop="1" thickBot="1">
      <c r="F1" s="495"/>
      <c r="K1" s="638" t="s">
        <v>248</v>
      </c>
      <c r="L1" s="639"/>
      <c r="M1" s="640"/>
      <c r="N1" s="313"/>
      <c r="P1" s="522" t="s">
        <v>249</v>
      </c>
      <c r="Q1" s="523"/>
      <c r="R1" s="312"/>
      <c r="U1" s="436"/>
      <c r="V1" s="436"/>
    </row>
    <row r="2" spans="1:22" ht="25.5" customHeight="1" thickTop="1">
      <c r="K2" s="310"/>
      <c r="L2" s="310"/>
      <c r="M2" s="310"/>
      <c r="P2" s="524"/>
      <c r="Q2" s="524"/>
    </row>
    <row r="3" spans="1:22" ht="25.5" customHeight="1"/>
    <row r="4" spans="1:22" ht="25.5" customHeight="1" thickBot="1">
      <c r="L4" s="399"/>
      <c r="R4" s="648" t="s">
        <v>250</v>
      </c>
      <c r="S4" s="648"/>
    </row>
    <row r="5" spans="1:22" ht="34.5" customHeight="1" thickTop="1" thickBot="1">
      <c r="B5" s="435"/>
      <c r="C5" s="434" t="s">
        <v>251</v>
      </c>
      <c r="D5" s="433"/>
      <c r="E5" s="433"/>
      <c r="F5" s="433"/>
      <c r="G5" s="644" t="s">
        <v>252</v>
      </c>
      <c r="H5" s="645"/>
      <c r="I5" s="645"/>
      <c r="J5" s="645"/>
      <c r="K5" s="645"/>
      <c r="L5" s="645"/>
      <c r="M5" s="645"/>
      <c r="N5" s="645"/>
      <c r="O5" s="645"/>
      <c r="P5" s="645"/>
      <c r="Q5" s="645"/>
      <c r="R5" s="645"/>
      <c r="S5" s="645"/>
      <c r="T5" s="645"/>
      <c r="U5" s="645"/>
      <c r="V5" s="646"/>
    </row>
    <row r="6" spans="1:22" ht="35.1" customHeight="1" thickTop="1" thickBot="1">
      <c r="B6" s="431" t="str">
        <f>IF(H_1=0," ",H_1)</f>
        <v xml:space="preserve"> </v>
      </c>
      <c r="C6" s="431" t="str">
        <f>IF(H_2=0," ",H_2)</f>
        <v xml:space="preserve"> </v>
      </c>
      <c r="D6" s="431" t="str">
        <f>IF(H_3=0," ",H_3)</f>
        <v xml:space="preserve"> </v>
      </c>
      <c r="E6" s="431" t="str">
        <f>IF(H_4=0," ",H_4)</f>
        <v xml:space="preserve"> </v>
      </c>
      <c r="F6" s="431" t="str">
        <f>IF(H_5=0," ",H_5)</f>
        <v xml:space="preserve"> </v>
      </c>
      <c r="G6" s="494" t="str">
        <f t="shared" ref="G6:V6" si="0">B318</f>
        <v xml:space="preserve">  2025</v>
      </c>
      <c r="H6" s="431" t="str">
        <f t="shared" si="0"/>
        <v xml:space="preserve">  2026</v>
      </c>
      <c r="I6" s="431" t="str">
        <f t="shared" si="0"/>
        <v xml:space="preserve">  2027</v>
      </c>
      <c r="J6" s="431" t="str">
        <f t="shared" si="0"/>
        <v xml:space="preserve">  2028</v>
      </c>
      <c r="K6" s="431" t="str">
        <f t="shared" si="0"/>
        <v xml:space="preserve">  2029</v>
      </c>
      <c r="L6" s="431" t="str">
        <f t="shared" si="0"/>
        <v xml:space="preserve">  2030</v>
      </c>
      <c r="M6" s="431" t="str">
        <f t="shared" si="0"/>
        <v xml:space="preserve">  2031</v>
      </c>
      <c r="N6" s="431" t="str">
        <f t="shared" si="0"/>
        <v xml:space="preserve">  2032</v>
      </c>
      <c r="O6" s="431" t="str">
        <f t="shared" si="0"/>
        <v xml:space="preserve">  2033</v>
      </c>
      <c r="P6" s="431" t="str">
        <f t="shared" si="0"/>
        <v xml:space="preserve">  2034</v>
      </c>
      <c r="Q6" s="431" t="str">
        <f t="shared" si="0"/>
        <v xml:space="preserve">  2035</v>
      </c>
      <c r="R6" s="431" t="str">
        <f t="shared" si="0"/>
        <v xml:space="preserve">  2036</v>
      </c>
      <c r="S6" s="431" t="str">
        <f t="shared" si="0"/>
        <v xml:space="preserve">  2037</v>
      </c>
      <c r="T6" s="431" t="str">
        <f t="shared" si="0"/>
        <v xml:space="preserve">  2038</v>
      </c>
      <c r="U6" s="431" t="str">
        <f t="shared" si="0"/>
        <v xml:space="preserve">  2039</v>
      </c>
      <c r="V6" s="493" t="str">
        <f t="shared" si="0"/>
        <v xml:space="preserve">  2040</v>
      </c>
    </row>
    <row r="7" spans="1:22" ht="35.1" customHeight="1" thickTop="1">
      <c r="A7" s="492"/>
      <c r="B7" s="491" t="s">
        <v>253</v>
      </c>
      <c r="C7" s="491"/>
      <c r="D7" s="491"/>
      <c r="E7" s="491"/>
      <c r="F7" s="491"/>
      <c r="G7" s="335" t="s">
        <v>70</v>
      </c>
      <c r="H7" s="475" t="s">
        <v>70</v>
      </c>
      <c r="I7" s="475" t="s">
        <v>70</v>
      </c>
      <c r="J7" s="475" t="s">
        <v>70</v>
      </c>
      <c r="K7" s="475" t="s">
        <v>70</v>
      </c>
      <c r="L7" s="475" t="s">
        <v>70</v>
      </c>
      <c r="M7" s="475" t="s">
        <v>70</v>
      </c>
      <c r="N7" s="475" t="s">
        <v>70</v>
      </c>
      <c r="O7" s="475" t="s">
        <v>70</v>
      </c>
      <c r="P7" s="475" t="s">
        <v>70</v>
      </c>
      <c r="Q7" s="475" t="s">
        <v>70</v>
      </c>
      <c r="R7" s="475" t="s">
        <v>70</v>
      </c>
      <c r="S7" s="475" t="s">
        <v>70</v>
      </c>
      <c r="T7" s="475" t="s">
        <v>70</v>
      </c>
      <c r="U7" s="475" t="s">
        <v>70</v>
      </c>
      <c r="V7" s="474" t="s">
        <v>70</v>
      </c>
    </row>
    <row r="8" spans="1:22" ht="35.1" customHeight="1">
      <c r="A8" s="481" t="s">
        <v>47</v>
      </c>
      <c r="B8" s="457"/>
      <c r="C8" s="457"/>
      <c r="D8" s="457"/>
      <c r="E8" s="457"/>
      <c r="F8" s="457"/>
      <c r="G8" s="445">
        <v>19700</v>
      </c>
      <c r="H8" s="416">
        <f>Assumptions!D86</f>
        <v>18219</v>
      </c>
      <c r="I8" s="416">
        <f>Assumptions!E86</f>
        <v>20364</v>
      </c>
      <c r="J8" s="416">
        <f>Assumptions!F86</f>
        <v>22910</v>
      </c>
      <c r="K8" s="416">
        <f>Assumptions!G86</f>
        <v>25912</v>
      </c>
      <c r="L8" s="416">
        <f>Assumptions!H86</f>
        <v>29721</v>
      </c>
      <c r="M8" s="416">
        <f>Assumptions!I86</f>
        <v>29721</v>
      </c>
      <c r="N8" s="416">
        <f>Assumptions!J86</f>
        <v>29721</v>
      </c>
      <c r="O8" s="416">
        <f>Assumptions!K86</f>
        <v>29721</v>
      </c>
      <c r="P8" s="416">
        <f>Assumptions!L86</f>
        <v>29721</v>
      </c>
      <c r="Q8" s="416">
        <f>Assumptions!M86</f>
        <v>29721</v>
      </c>
      <c r="R8" s="416">
        <f>Assumptions!N86</f>
        <v>29721</v>
      </c>
      <c r="S8" s="416">
        <f>Assumptions!O86</f>
        <v>29721</v>
      </c>
      <c r="T8" s="416">
        <f>Assumptions!P86</f>
        <v>29721</v>
      </c>
      <c r="U8" s="416">
        <f>Assumptions!Q86</f>
        <v>29721</v>
      </c>
      <c r="V8" s="415">
        <f>Assumptions!R86</f>
        <v>29721</v>
      </c>
    </row>
    <row r="9" spans="1:22" ht="35.1" customHeight="1">
      <c r="A9" s="490"/>
      <c r="B9" s="487"/>
      <c r="C9" s="487"/>
      <c r="D9" s="487"/>
      <c r="E9" s="487"/>
      <c r="F9" s="486"/>
      <c r="G9" s="489"/>
      <c r="H9" s="487"/>
      <c r="I9" s="487"/>
      <c r="J9" s="487"/>
      <c r="K9" s="487"/>
      <c r="L9" s="487"/>
      <c r="M9" s="487"/>
      <c r="N9" s="487"/>
      <c r="O9" s="487"/>
      <c r="P9" s="487"/>
      <c r="Q9" s="488"/>
      <c r="R9" s="487"/>
      <c r="S9" s="487"/>
      <c r="T9" s="487"/>
      <c r="U9" s="487"/>
      <c r="V9" s="486"/>
    </row>
    <row r="10" spans="1:22" ht="35.1" customHeight="1">
      <c r="A10" s="485" t="s">
        <v>254</v>
      </c>
      <c r="B10" s="472"/>
      <c r="C10" s="472"/>
      <c r="D10" s="472"/>
      <c r="E10" s="472"/>
      <c r="F10" s="472"/>
      <c r="G10" s="332"/>
      <c r="H10" s="416"/>
      <c r="I10" s="416"/>
      <c r="J10" s="416"/>
      <c r="K10" s="416"/>
      <c r="L10" s="416"/>
      <c r="M10" s="416"/>
      <c r="N10" s="416"/>
      <c r="O10" s="416"/>
      <c r="P10" s="416"/>
      <c r="Q10" s="416"/>
      <c r="R10" s="416"/>
      <c r="S10" s="416"/>
      <c r="T10" s="416"/>
      <c r="U10" s="416"/>
      <c r="V10" s="415"/>
    </row>
    <row r="11" spans="1:22" ht="35.1" customHeight="1">
      <c r="A11" s="484" t="s">
        <v>255</v>
      </c>
      <c r="B11" s="457"/>
      <c r="C11" s="457"/>
      <c r="D11" s="457"/>
      <c r="E11" s="457"/>
      <c r="F11" s="457"/>
      <c r="G11" s="445">
        <v>8136</v>
      </c>
      <c r="H11" s="416">
        <f>Assumptions!D129</f>
        <v>9476</v>
      </c>
      <c r="I11" s="416">
        <f>Assumptions!E129</f>
        <v>10626</v>
      </c>
      <c r="J11" s="416">
        <f>Assumptions!F129</f>
        <v>12042</v>
      </c>
      <c r="K11" s="416">
        <f>Assumptions!G129</f>
        <v>13715</v>
      </c>
      <c r="L11" s="416">
        <f>Assumptions!H129</f>
        <v>15821</v>
      </c>
      <c r="M11" s="416">
        <f>Assumptions!I129</f>
        <v>15821</v>
      </c>
      <c r="N11" s="416">
        <f>Assumptions!J129</f>
        <v>15821</v>
      </c>
      <c r="O11" s="416">
        <f>Assumptions!K129</f>
        <v>15821</v>
      </c>
      <c r="P11" s="416">
        <f>Assumptions!L129</f>
        <v>15821</v>
      </c>
      <c r="Q11" s="416">
        <f>Assumptions!M129</f>
        <v>15821</v>
      </c>
      <c r="R11" s="416">
        <f>Assumptions!N129</f>
        <v>15821</v>
      </c>
      <c r="S11" s="416">
        <f>Assumptions!O129</f>
        <v>15821</v>
      </c>
      <c r="T11" s="416">
        <f>Assumptions!P129</f>
        <v>15821</v>
      </c>
      <c r="U11" s="416">
        <f>Assumptions!Q129</f>
        <v>15821</v>
      </c>
      <c r="V11" s="415">
        <f>Assumptions!R129</f>
        <v>15821</v>
      </c>
    </row>
    <row r="12" spans="1:22" ht="35.1" customHeight="1">
      <c r="A12" s="484" t="s">
        <v>256</v>
      </c>
      <c r="B12" s="457"/>
      <c r="C12" s="457"/>
      <c r="D12" s="457"/>
      <c r="E12" s="457"/>
      <c r="F12" s="457"/>
      <c r="G12" s="445">
        <v>2233</v>
      </c>
      <c r="H12" s="416">
        <f>Assumptions!F189</f>
        <v>2233</v>
      </c>
      <c r="I12" s="416">
        <f>Assumptions!G189</f>
        <v>2233</v>
      </c>
      <c r="J12" s="416">
        <f>Assumptions!H189</f>
        <v>2233</v>
      </c>
      <c r="K12" s="416">
        <f>Assumptions!I189</f>
        <v>2233</v>
      </c>
      <c r="L12" s="416">
        <f>Assumptions!J189</f>
        <v>2233</v>
      </c>
      <c r="M12" s="416">
        <f>Assumptions!K189</f>
        <v>2233</v>
      </c>
      <c r="N12" s="416">
        <f>Assumptions!L189</f>
        <v>2233</v>
      </c>
      <c r="O12" s="416">
        <f>Assumptions!M189</f>
        <v>2233</v>
      </c>
      <c r="P12" s="416">
        <f>Assumptions!N189</f>
        <v>2233</v>
      </c>
      <c r="Q12" s="416">
        <f>Assumptions!O189</f>
        <v>2233</v>
      </c>
      <c r="R12" s="416">
        <f>Assumptions!P189</f>
        <v>2233</v>
      </c>
      <c r="S12" s="416">
        <f>Assumptions!Q189</f>
        <v>2233</v>
      </c>
      <c r="T12" s="416">
        <f>Assumptions!R189</f>
        <v>2233</v>
      </c>
      <c r="U12" s="416">
        <f>Assumptions!S189</f>
        <v>2233</v>
      </c>
      <c r="V12" s="415">
        <f>Assumptions!T189</f>
        <v>2233</v>
      </c>
    </row>
    <row r="13" spans="1:22" ht="35.1" customHeight="1">
      <c r="A13" s="481" t="s">
        <v>257</v>
      </c>
      <c r="B13" s="457"/>
      <c r="C13" s="457"/>
      <c r="D13" s="457"/>
      <c r="E13" s="457"/>
      <c r="F13" s="457"/>
      <c r="G13" s="445">
        <v>990</v>
      </c>
      <c r="H13" s="416">
        <f>ROUND(Assumptions!E211,0)</f>
        <v>1150</v>
      </c>
      <c r="I13" s="416">
        <f>ROUND(Assumptions!F211,0)</f>
        <v>1288</v>
      </c>
      <c r="J13" s="416">
        <f>ROUND(Assumptions!G211,0)</f>
        <v>1456</v>
      </c>
      <c r="K13" s="416">
        <f>ROUND(Assumptions!H211,0)</f>
        <v>1655</v>
      </c>
      <c r="L13" s="416">
        <f>ROUND(Assumptions!I211,0)</f>
        <v>1905</v>
      </c>
      <c r="M13" s="416">
        <f>ROUND(Assumptions!J211,0)</f>
        <v>1905</v>
      </c>
      <c r="N13" s="416">
        <f>ROUND(Assumptions!K211,0)</f>
        <v>1905</v>
      </c>
      <c r="O13" s="416">
        <f>ROUND(Assumptions!L211,0)</f>
        <v>1905</v>
      </c>
      <c r="P13" s="416">
        <f>ROUND(Assumptions!M211,0)</f>
        <v>1905</v>
      </c>
      <c r="Q13" s="416">
        <f>ROUND(Assumptions!N211,0)</f>
        <v>1905</v>
      </c>
      <c r="R13" s="416">
        <f>ROUND(Assumptions!O211,0)</f>
        <v>1905</v>
      </c>
      <c r="S13" s="416">
        <f>ROUND(Assumptions!P211,0)</f>
        <v>1905</v>
      </c>
      <c r="T13" s="416">
        <f>ROUND(Assumptions!Q211,0)</f>
        <v>1905</v>
      </c>
      <c r="U13" s="416">
        <f>ROUND(Assumptions!R211,0)</f>
        <v>1905</v>
      </c>
      <c r="V13" s="415">
        <f>ROUND(Assumptions!S211,0)</f>
        <v>1905</v>
      </c>
    </row>
    <row r="14" spans="1:22" ht="35.1" customHeight="1">
      <c r="A14" s="481" t="s">
        <v>135</v>
      </c>
      <c r="B14" s="457"/>
      <c r="C14" s="457"/>
      <c r="D14" s="457"/>
      <c r="E14" s="457"/>
      <c r="F14" s="457"/>
      <c r="G14" s="483">
        <f>Assumptions!G341</f>
        <v>0</v>
      </c>
      <c r="H14" s="416">
        <f>ROUND(Assumptions!E227*G60+Assumptions!E228*G61+Assumptions!E229*G62+Assumptions!E230*G63+Assumptions!E231*G64+Assumptions!E232*G65+Assumptions!E233*G66,0)</f>
        <v>610</v>
      </c>
      <c r="I14" s="416">
        <f>ROUND(Assumptions!E227*H60+Assumptions!E228*H61+Assumptions!E229*H62+Assumptions!E230*H63+Assumptions!E231*H64+Assumptions!E232*H65+Assumptions!E233*H66,0)</f>
        <v>610</v>
      </c>
      <c r="J14" s="416">
        <f>ROUND(Assumptions!E227*I60+Assumptions!E228*I61+Assumptions!E229*I62+Assumptions!E230*I63+Assumptions!E231*I64+Assumptions!E232*I65+Assumptions!E233*I66,0)</f>
        <v>610</v>
      </c>
      <c r="K14" s="416">
        <f>ROUND(Assumptions!E227*J60+Assumptions!E228*J61+Assumptions!E229*J62+Assumptions!E230*J63+Assumptions!E231*J64+Assumptions!E232*J65+Assumptions!E233*J66,0)</f>
        <v>610</v>
      </c>
      <c r="L14" s="416">
        <f>ROUND(Assumptions!E227*K60+Assumptions!E228*K61+Assumptions!E229*K62+Assumptions!E230*K63+Assumptions!E231*K64+Assumptions!E232*K65+Assumptions!E233*K66,0)</f>
        <v>610</v>
      </c>
      <c r="M14" s="416">
        <f>ROUND(Assumptions!E227*L60+Assumptions!E228*L61+Assumptions!E229*L62+Assumptions!E230*L63+Assumptions!E231*L64+Assumptions!E232*L65+Assumptions!E233*L66,0)</f>
        <v>610</v>
      </c>
      <c r="N14" s="416">
        <f>ROUND(Assumptions!E227*M60+Assumptions!E228*M61+Assumptions!E229*M62+Assumptions!E230*M63+Assumptions!E231*M64+Assumptions!E232*M65+Assumptions!E233*M66,0)</f>
        <v>610</v>
      </c>
      <c r="O14" s="416">
        <f>ROUND(Assumptions!E227*N60+Assumptions!E228*N61+Assumptions!E229*N62+Assumptions!E230*N63+Assumptions!E231*N64+Assumptions!E232*N65+Assumptions!E233*N66,0)</f>
        <v>610</v>
      </c>
      <c r="P14" s="416">
        <f>ROUND(Assumptions!E227*O60+Assumptions!E228*O61+Assumptions!E229*O62+Assumptions!E230*O63+Assumptions!E231*O64+Assumptions!E232*O65+Assumptions!E233*O66,0)</f>
        <v>610</v>
      </c>
      <c r="Q14" s="416">
        <f>ROUND(Assumptions!E227*P60+Assumptions!E228*P61+Assumptions!E229*P62+Assumptions!E230*P63+Assumptions!E231*P64+Assumptions!E232*P65+Assumptions!E233*P66,0)</f>
        <v>610</v>
      </c>
      <c r="R14" s="416">
        <f>ROUND(Assumptions!E227*Q60+Assumptions!E228*Q61+Assumptions!E229*Q62+Assumptions!E230*Q63+Assumptions!E231*Q64+Assumptions!E232*Q65+Assumptions!E233*Q66,0)</f>
        <v>610</v>
      </c>
      <c r="S14" s="416">
        <f>ROUND(Assumptions!E227*R60+Assumptions!E228*R61+Assumptions!E229*R62+Assumptions!E230*R63+Assumptions!E231*R64+Assumptions!E232*R65+Assumptions!E233*R66,0)</f>
        <v>610</v>
      </c>
      <c r="T14" s="416">
        <f>ROUND(Assumptions!E227*S60+Assumptions!E228*S61+Assumptions!E229*S62+Assumptions!E230*S63+Assumptions!E231*S64+Assumptions!E232*S65+Assumptions!E233*S66,0)</f>
        <v>610</v>
      </c>
      <c r="U14" s="416">
        <f>ROUND(Assumptions!E227*T60+Assumptions!E228*T61+Assumptions!E229*T62+Assumptions!E230*T63+Assumptions!E231*T64+Assumptions!E232*T65+Assumptions!E233*T66,0)</f>
        <v>610</v>
      </c>
      <c r="V14" s="415">
        <f>ROUND(Assumptions!E227*U60+Assumptions!E228*U61+Assumptions!E229*U62+Assumptions!E230*U63+Assumptions!E231*U64+Assumptions!E232*U65+Assumptions!E233*U66,0)</f>
        <v>610</v>
      </c>
    </row>
    <row r="15" spans="1:22" ht="35.1" customHeight="1">
      <c r="A15" s="481" t="s">
        <v>258</v>
      </c>
      <c r="B15" s="457"/>
      <c r="C15" s="457"/>
      <c r="D15" s="457"/>
      <c r="E15" s="457"/>
      <c r="F15" s="457"/>
      <c r="G15" s="483">
        <f>Assumptions!F252</f>
        <v>0</v>
      </c>
      <c r="H15" s="416">
        <f>Assumptions!G252</f>
        <v>702</v>
      </c>
      <c r="I15" s="416">
        <f>Assumptions!H252</f>
        <v>702</v>
      </c>
      <c r="J15" s="416">
        <f>Assumptions!I252</f>
        <v>702</v>
      </c>
      <c r="K15" s="416">
        <f>Assumptions!J252</f>
        <v>702</v>
      </c>
      <c r="L15" s="416">
        <f>Assumptions!K252</f>
        <v>702</v>
      </c>
      <c r="M15" s="416">
        <f>Assumptions!L252</f>
        <v>630</v>
      </c>
      <c r="N15" s="416">
        <f>Assumptions!M252</f>
        <v>630</v>
      </c>
      <c r="O15" s="416">
        <f>Assumptions!N252</f>
        <v>630</v>
      </c>
      <c r="P15" s="416">
        <f>Assumptions!O252</f>
        <v>630</v>
      </c>
      <c r="Q15" s="416">
        <f>Assumptions!P252</f>
        <v>630</v>
      </c>
      <c r="R15" s="416">
        <f>Assumptions!Q252</f>
        <v>630</v>
      </c>
      <c r="S15" s="416">
        <f>Assumptions!R252</f>
        <v>630</v>
      </c>
      <c r="T15" s="416">
        <f>Assumptions!S252</f>
        <v>630</v>
      </c>
      <c r="U15" s="416">
        <f>Assumptions!T252</f>
        <v>630</v>
      </c>
      <c r="V15" s="415">
        <f>Assumptions!U252</f>
        <v>630</v>
      </c>
    </row>
    <row r="16" spans="1:22" ht="35.1" customHeight="1">
      <c r="A16" s="481" t="s">
        <v>259</v>
      </c>
      <c r="B16" s="457"/>
      <c r="C16" s="457"/>
      <c r="D16" s="457"/>
      <c r="E16" s="457"/>
      <c r="F16" s="457"/>
      <c r="G16" s="445">
        <f>610+702</f>
        <v>1312</v>
      </c>
      <c r="H16" s="416">
        <f>Assumptions!G255</f>
        <v>399</v>
      </c>
      <c r="I16" s="416">
        <f>Assumptions!H255</f>
        <v>0</v>
      </c>
      <c r="J16" s="416">
        <f>Assumptions!I255</f>
        <v>0</v>
      </c>
      <c r="K16" s="416">
        <f>Assumptions!J255</f>
        <v>0</v>
      </c>
      <c r="L16" s="416">
        <f>Assumptions!K255</f>
        <v>0</v>
      </c>
      <c r="M16" s="416">
        <f>Assumptions!L255</f>
        <v>0</v>
      </c>
      <c r="N16" s="416">
        <f>Assumptions!M255</f>
        <v>0</v>
      </c>
      <c r="O16" s="416">
        <f>Assumptions!N255</f>
        <v>0</v>
      </c>
      <c r="P16" s="416">
        <f>Assumptions!O255</f>
        <v>0</v>
      </c>
      <c r="Q16" s="416">
        <f>Assumptions!P255</f>
        <v>0</v>
      </c>
      <c r="R16" s="416">
        <f>Assumptions!Q255</f>
        <v>0</v>
      </c>
      <c r="S16" s="416">
        <f>Assumptions!R255</f>
        <v>0</v>
      </c>
      <c r="T16" s="416">
        <f>Assumptions!S255</f>
        <v>0</v>
      </c>
      <c r="U16" s="416">
        <f>Assumptions!T255</f>
        <v>0</v>
      </c>
      <c r="V16" s="415">
        <f>Assumptions!U255</f>
        <v>0</v>
      </c>
    </row>
    <row r="17" spans="1:22" ht="35.1" customHeight="1">
      <c r="A17" s="482" t="s">
        <v>534</v>
      </c>
      <c r="B17" s="457"/>
      <c r="C17" s="457"/>
      <c r="D17" s="457"/>
      <c r="E17" s="457"/>
      <c r="F17" s="457"/>
      <c r="G17" s="445"/>
      <c r="H17" s="444"/>
      <c r="I17" s="444"/>
      <c r="J17" s="444"/>
      <c r="K17" s="444"/>
      <c r="L17" s="444"/>
      <c r="M17" s="444"/>
      <c r="N17" s="444"/>
      <c r="O17" s="444"/>
      <c r="P17" s="444"/>
      <c r="Q17" s="444"/>
      <c r="R17" s="444"/>
      <c r="S17" s="444"/>
      <c r="T17" s="444"/>
      <c r="U17" s="444"/>
      <c r="V17" s="444"/>
    </row>
    <row r="18" spans="1:22" ht="35.1" hidden="1" customHeight="1">
      <c r="A18" s="482" t="s">
        <v>123</v>
      </c>
      <c r="B18" s="457">
        <v>0</v>
      </c>
      <c r="C18" s="457">
        <v>0</v>
      </c>
      <c r="D18" s="457">
        <v>0</v>
      </c>
      <c r="E18" s="457">
        <v>0</v>
      </c>
      <c r="F18" s="457">
        <v>0</v>
      </c>
      <c r="G18" s="445">
        <v>0</v>
      </c>
      <c r="H18" s="444">
        <v>0</v>
      </c>
      <c r="I18" s="444">
        <v>0</v>
      </c>
      <c r="J18" s="444">
        <v>0</v>
      </c>
      <c r="K18" s="444">
        <v>0</v>
      </c>
      <c r="L18" s="444">
        <v>0</v>
      </c>
      <c r="M18" s="444">
        <v>0</v>
      </c>
      <c r="N18" s="444">
        <v>0</v>
      </c>
      <c r="O18" s="444">
        <v>0</v>
      </c>
      <c r="P18" s="444">
        <v>0</v>
      </c>
      <c r="Q18" s="444">
        <v>0</v>
      </c>
      <c r="R18" s="444">
        <v>0</v>
      </c>
      <c r="S18" s="444">
        <v>0</v>
      </c>
      <c r="T18" s="444">
        <v>0</v>
      </c>
      <c r="U18" s="444">
        <v>0</v>
      </c>
      <c r="V18" s="443">
        <v>0</v>
      </c>
    </row>
    <row r="19" spans="1:22" ht="35.1" customHeight="1">
      <c r="A19" s="481"/>
      <c r="B19" s="416"/>
      <c r="C19" s="416"/>
      <c r="D19" s="416"/>
      <c r="E19" s="416"/>
      <c r="F19" s="416"/>
      <c r="G19" s="332" t="s">
        <v>70</v>
      </c>
      <c r="H19" s="416" t="s">
        <v>70</v>
      </c>
      <c r="I19" s="416" t="s">
        <v>70</v>
      </c>
      <c r="J19" s="416" t="s">
        <v>70</v>
      </c>
      <c r="K19" s="416" t="s">
        <v>70</v>
      </c>
      <c r="L19" s="416" t="s">
        <v>70</v>
      </c>
      <c r="M19" s="416" t="s">
        <v>70</v>
      </c>
      <c r="N19" s="416" t="s">
        <v>70</v>
      </c>
      <c r="O19" s="416" t="s">
        <v>70</v>
      </c>
      <c r="P19" s="416" t="s">
        <v>70</v>
      </c>
      <c r="Q19" s="416" t="s">
        <v>70</v>
      </c>
      <c r="R19" s="416" t="s">
        <v>70</v>
      </c>
      <c r="S19" s="416" t="s">
        <v>70</v>
      </c>
      <c r="T19" s="416" t="s">
        <v>70</v>
      </c>
      <c r="U19" s="416" t="s">
        <v>70</v>
      </c>
      <c r="V19" s="415" t="s">
        <v>70</v>
      </c>
    </row>
    <row r="20" spans="1:22" ht="35.1" customHeight="1">
      <c r="A20" s="525" t="s">
        <v>260</v>
      </c>
      <c r="B20" s="526">
        <f t="shared" ref="B20:V20" si="1">ROUND(SUM(B10:B18),0)</f>
        <v>0</v>
      </c>
      <c r="C20" s="526">
        <f t="shared" si="1"/>
        <v>0</v>
      </c>
      <c r="D20" s="526">
        <f t="shared" si="1"/>
        <v>0</v>
      </c>
      <c r="E20" s="526">
        <f t="shared" si="1"/>
        <v>0</v>
      </c>
      <c r="F20" s="526">
        <f t="shared" si="1"/>
        <v>0</v>
      </c>
      <c r="G20" s="527">
        <f t="shared" si="1"/>
        <v>12671</v>
      </c>
      <c r="H20" s="526">
        <f t="shared" si="1"/>
        <v>14570</v>
      </c>
      <c r="I20" s="526">
        <f t="shared" si="1"/>
        <v>15459</v>
      </c>
      <c r="J20" s="526">
        <f t="shared" si="1"/>
        <v>17043</v>
      </c>
      <c r="K20" s="526">
        <f t="shared" si="1"/>
        <v>18915</v>
      </c>
      <c r="L20" s="526">
        <f t="shared" si="1"/>
        <v>21271</v>
      </c>
      <c r="M20" s="526">
        <f t="shared" si="1"/>
        <v>21199</v>
      </c>
      <c r="N20" s="526">
        <f t="shared" si="1"/>
        <v>21199</v>
      </c>
      <c r="O20" s="526">
        <f t="shared" si="1"/>
        <v>21199</v>
      </c>
      <c r="P20" s="526">
        <f t="shared" si="1"/>
        <v>21199</v>
      </c>
      <c r="Q20" s="526">
        <f t="shared" si="1"/>
        <v>21199</v>
      </c>
      <c r="R20" s="526">
        <f t="shared" si="1"/>
        <v>21199</v>
      </c>
      <c r="S20" s="526">
        <f t="shared" si="1"/>
        <v>21199</v>
      </c>
      <c r="T20" s="526">
        <f t="shared" si="1"/>
        <v>21199</v>
      </c>
      <c r="U20" s="526">
        <f t="shared" si="1"/>
        <v>21199</v>
      </c>
      <c r="V20" s="528">
        <f t="shared" si="1"/>
        <v>21199</v>
      </c>
    </row>
    <row r="21" spans="1:22" ht="35.1" customHeight="1">
      <c r="A21" s="529"/>
      <c r="B21" s="530"/>
      <c r="C21" s="530"/>
      <c r="D21" s="530"/>
      <c r="E21" s="530"/>
      <c r="F21" s="530"/>
      <c r="G21" s="531"/>
      <c r="H21" s="530"/>
      <c r="I21" s="530"/>
      <c r="J21" s="530"/>
      <c r="K21" s="530"/>
      <c r="L21" s="530"/>
      <c r="M21" s="530"/>
      <c r="N21" s="530"/>
      <c r="O21" s="530"/>
      <c r="P21" s="530"/>
      <c r="Q21" s="530"/>
      <c r="R21" s="530"/>
      <c r="S21" s="530"/>
      <c r="T21" s="530"/>
      <c r="U21" s="530"/>
      <c r="V21" s="532"/>
    </row>
    <row r="22" spans="1:22" ht="35.1" customHeight="1">
      <c r="A22" s="385" t="s">
        <v>261</v>
      </c>
      <c r="B22" s="416">
        <f t="shared" ref="B22:V22" si="2">B8-B20</f>
        <v>0</v>
      </c>
      <c r="C22" s="416">
        <f t="shared" si="2"/>
        <v>0</v>
      </c>
      <c r="D22" s="416">
        <f t="shared" si="2"/>
        <v>0</v>
      </c>
      <c r="E22" s="416">
        <f t="shared" si="2"/>
        <v>0</v>
      </c>
      <c r="F22" s="416">
        <f t="shared" si="2"/>
        <v>0</v>
      </c>
      <c r="G22" s="332">
        <f t="shared" si="2"/>
        <v>7029</v>
      </c>
      <c r="H22" s="416">
        <f t="shared" si="2"/>
        <v>3649</v>
      </c>
      <c r="I22" s="416">
        <f t="shared" si="2"/>
        <v>4905</v>
      </c>
      <c r="J22" s="416">
        <f t="shared" si="2"/>
        <v>5867</v>
      </c>
      <c r="K22" s="416">
        <f t="shared" si="2"/>
        <v>6997</v>
      </c>
      <c r="L22" s="416">
        <f t="shared" si="2"/>
        <v>8450</v>
      </c>
      <c r="M22" s="416">
        <f t="shared" si="2"/>
        <v>8522</v>
      </c>
      <c r="N22" s="416">
        <f t="shared" si="2"/>
        <v>8522</v>
      </c>
      <c r="O22" s="416">
        <f t="shared" si="2"/>
        <v>8522</v>
      </c>
      <c r="P22" s="416">
        <f t="shared" si="2"/>
        <v>8522</v>
      </c>
      <c r="Q22" s="416">
        <f t="shared" si="2"/>
        <v>8522</v>
      </c>
      <c r="R22" s="416">
        <f t="shared" si="2"/>
        <v>8522</v>
      </c>
      <c r="S22" s="416">
        <f t="shared" si="2"/>
        <v>8522</v>
      </c>
      <c r="T22" s="416">
        <f t="shared" si="2"/>
        <v>8522</v>
      </c>
      <c r="U22" s="416">
        <f t="shared" si="2"/>
        <v>8522</v>
      </c>
      <c r="V22" s="415">
        <f t="shared" si="2"/>
        <v>8522</v>
      </c>
    </row>
    <row r="23" spans="1:22" ht="35.1" customHeight="1">
      <c r="A23" s="385"/>
      <c r="B23" s="416"/>
      <c r="C23" s="416"/>
      <c r="D23" s="416"/>
      <c r="E23" s="416"/>
      <c r="F23" s="416"/>
      <c r="G23" s="473"/>
      <c r="H23" s="416"/>
      <c r="I23" s="416"/>
      <c r="J23" s="416"/>
      <c r="K23" s="416"/>
      <c r="L23" s="416"/>
      <c r="M23" s="416"/>
      <c r="N23" s="416"/>
      <c r="O23" s="416"/>
      <c r="P23" s="416"/>
      <c r="Q23" s="416"/>
      <c r="R23" s="416"/>
      <c r="S23" s="416"/>
      <c r="T23" s="416"/>
      <c r="U23" s="416"/>
      <c r="V23" s="415"/>
    </row>
    <row r="24" spans="1:22" ht="34.5" customHeight="1">
      <c r="A24" s="389" t="s">
        <v>262</v>
      </c>
      <c r="B24" s="416"/>
      <c r="C24" s="416"/>
      <c r="D24" s="416"/>
      <c r="E24" s="416"/>
      <c r="F24" s="416"/>
      <c r="G24" s="473"/>
      <c r="H24" s="416"/>
      <c r="I24" s="416"/>
      <c r="J24" s="416"/>
      <c r="K24" s="416"/>
      <c r="L24" s="416"/>
      <c r="M24" s="416"/>
      <c r="N24" s="416"/>
      <c r="O24" s="416"/>
      <c r="P24" s="416"/>
      <c r="Q24" s="416"/>
      <c r="R24" s="416"/>
      <c r="S24" s="416"/>
      <c r="T24" s="416"/>
      <c r="U24" s="416"/>
      <c r="V24" s="415"/>
    </row>
    <row r="25" spans="1:22" ht="35.1" customHeight="1">
      <c r="A25" s="385" t="s">
        <v>263</v>
      </c>
      <c r="B25" s="457"/>
      <c r="C25" s="457"/>
      <c r="D25" s="457"/>
      <c r="E25" s="457"/>
      <c r="F25" s="457"/>
      <c r="G25" s="445">
        <f>H25</f>
        <v>1912.9949999999999</v>
      </c>
      <c r="H25" s="416">
        <f>IF(H8*Assumptions!E268&lt;Assumptions!E267,Assumptions!E267,H8*Assumptions!E268)</f>
        <v>1912.9949999999999</v>
      </c>
      <c r="I25" s="416">
        <f>IF(I8*Assumptions!F268&lt;Assumptions!F267,Assumptions!F267,I8*Assumptions!F268)</f>
        <v>2443.6799999999998</v>
      </c>
      <c r="J25" s="416">
        <f>IF(J8*Assumptions!G268&lt;Assumptions!G267,Assumptions!G267,J8*Assumptions!G268)</f>
        <v>2978.3</v>
      </c>
      <c r="K25" s="416">
        <f>IF(K8*Assumptions!H268&lt;Assumptions!H267,Assumptions!H267,K8*Assumptions!H268)</f>
        <v>3627.6800000000003</v>
      </c>
      <c r="L25" s="416">
        <f>IF(L8*Assumptions!I268&lt;Assumptions!I267,Assumptions!I267,L8*Assumptions!I268)</f>
        <v>4160.9400000000005</v>
      </c>
      <c r="M25" s="416">
        <f>IF(M8*Assumptions!I268&lt;Assumptions!I267,Assumptions!I267,M8*Assumptions!I268)</f>
        <v>4160.9400000000005</v>
      </c>
      <c r="N25" s="416">
        <f>IF(N8*Assumptions!I268&lt;Assumptions!I267,Assumptions!I267,N8*Assumptions!I268)</f>
        <v>4160.9400000000005</v>
      </c>
      <c r="O25" s="416">
        <f>IF(O8*Assumptions!I268&lt;Assumptions!I267,Assumptions!I267,O8*Assumptions!I268)</f>
        <v>4160.9400000000005</v>
      </c>
      <c r="P25" s="416">
        <f>IF(P8*Assumptions!I268&lt;Assumptions!I267,Assumptions!I267,P8*Assumptions!I268)</f>
        <v>4160.9400000000005</v>
      </c>
      <c r="Q25" s="416">
        <f>IF(Q8*Assumptions!I268&lt;Assumptions!I267,Assumptions!I267,Q8*Assumptions!I268)</f>
        <v>4160.9400000000005</v>
      </c>
      <c r="R25" s="416">
        <f>IF(R8*Assumptions!N268&lt;Assumptions!N267,Assumptions!N267,R8*Assumptions!N268)</f>
        <v>4160.9400000000005</v>
      </c>
      <c r="S25" s="416">
        <f>IF(S8*Assumptions!N268&lt;Assumptions!N267,Assumptions!N267,S8*Assumptions!N268)</f>
        <v>4160.9400000000005</v>
      </c>
      <c r="T25" s="416">
        <f>IF(T8*Assumptions!N268&lt;Assumptions!N267,Assumptions!N267,T8*Assumptions!N268)</f>
        <v>4160.9400000000005</v>
      </c>
      <c r="U25" s="416">
        <f>IF(U8*Assumptions!N268&lt;Assumptions!N267,Assumptions!N267,U8*Assumptions!N268)</f>
        <v>4160.9400000000005</v>
      </c>
      <c r="V25" s="415">
        <f>IF(V8*Assumptions!N268&lt;Assumptions!N267,Assumptions!N267,V8*Assumptions!N268)</f>
        <v>4160.9400000000005</v>
      </c>
    </row>
    <row r="26" spans="1:22" ht="35.1" customHeight="1">
      <c r="A26" s="385" t="s">
        <v>264</v>
      </c>
      <c r="B26" s="457"/>
      <c r="C26" s="457"/>
      <c r="D26" s="457"/>
      <c r="E26" s="457"/>
      <c r="F26" s="457"/>
      <c r="G26" s="445">
        <f>F26</f>
        <v>0</v>
      </c>
      <c r="H26" s="416">
        <f>Assumptions!F162</f>
        <v>0</v>
      </c>
      <c r="I26" s="416">
        <f>Assumptions!G162</f>
        <v>0</v>
      </c>
      <c r="J26" s="416">
        <f>Assumptions!H162</f>
        <v>0</v>
      </c>
      <c r="K26" s="416">
        <f>Assumptions!I162</f>
        <v>0</v>
      </c>
      <c r="L26" s="416">
        <f>Assumptions!J162</f>
        <v>0</v>
      </c>
      <c r="M26" s="416">
        <f>Assumptions!K162</f>
        <v>0</v>
      </c>
      <c r="N26" s="416">
        <f>Assumptions!L162</f>
        <v>0</v>
      </c>
      <c r="O26" s="416">
        <f>Assumptions!M162</f>
        <v>0</v>
      </c>
      <c r="P26" s="416">
        <f>Assumptions!N162</f>
        <v>0</v>
      </c>
      <c r="Q26" s="416">
        <f>Assumptions!O162</f>
        <v>0</v>
      </c>
      <c r="R26" s="416">
        <f>Assumptions!P162</f>
        <v>0</v>
      </c>
      <c r="S26" s="416">
        <f>Assumptions!Q162</f>
        <v>0</v>
      </c>
      <c r="T26" s="416">
        <f>Assumptions!R162</f>
        <v>0</v>
      </c>
      <c r="U26" s="416">
        <f>Assumptions!S162</f>
        <v>0</v>
      </c>
      <c r="V26" s="415">
        <f>Assumptions!T162</f>
        <v>0</v>
      </c>
    </row>
    <row r="27" spans="1:22" ht="35.1" customHeight="1">
      <c r="A27" s="385" t="s">
        <v>265</v>
      </c>
      <c r="B27" s="457"/>
      <c r="C27" s="457"/>
      <c r="D27" s="457"/>
      <c r="E27" s="457"/>
      <c r="F27" s="457"/>
      <c r="G27" s="332">
        <f>ROUND(Assumptions!E280*(F91+G135/2-G151/2)+Assumptions!E281*(F103+F94/2+G132/2)+Assumptions!E282*(F104+G133/2-G149/2)+IF(G93+G102+G147=0,0,Assumptions!F279),0)</f>
        <v>0</v>
      </c>
      <c r="H27" s="416">
        <f>ROUND(Assumptions!E280*(G91+H135/2-H151/2)+Assumptions!E281*(G103+G94/2+H132/2)+Assumptions!E282*(G104+H133/2-H149/2)+IF(H93+H102+H147=0,0,Assumptions!G279),0)</f>
        <v>83</v>
      </c>
      <c r="I27" s="416">
        <f>ROUND(Assumptions!E280*(H91+I135/2-I151/2)+Assumptions!E281*(H103+H94/2+I132/2)+Assumptions!E282*(H104+I133/2-I149/2)+IF(I93+I102+I147=0,0,Assumptions!H279),0)</f>
        <v>83</v>
      </c>
      <c r="J27" s="416">
        <f>ROUND(Assumptions!E280*(I91+J135/2-J151/2)+Assumptions!E281*(I103+I94/2+J132/2)+Assumptions!E282*(I104+J133/2-J149/2)+IF(J93+J102+J147=0,0,Assumptions!H279),0)</f>
        <v>83</v>
      </c>
      <c r="K27" s="416">
        <f>ROUND(Assumptions!E280*(J91+K135/2-K151/2)+Assumptions!E281*(J103+J94/2+K132/2)+Assumptions!E282*(J104+K133/2-K149/2)+IF(K93+K102+K147=0,0,Assumptions!H279),0)</f>
        <v>83</v>
      </c>
      <c r="L27" s="416">
        <f>ROUND(Assumptions!E280*(K91+L135/2-L151/2)+Assumptions!E281*(K103+K94/2+L132/2)+Assumptions!E282*(K104+L133/2-L149/2)+IF(L93+L102+L147=0,0,Assumptions!H279),0)</f>
        <v>83</v>
      </c>
      <c r="M27" s="416">
        <f>ROUND(Assumptions!E280*(L91+M135/2-M151/2)+Assumptions!E281*(L103+L94/2+M132/2)+Assumptions!E282*(L104+M133/2-M149/2)+IF(M93+M102+M147=0,0,Assumptions!H279),0)</f>
        <v>83</v>
      </c>
      <c r="N27" s="416">
        <f>ROUND(Assumptions!E280*(M91+N135/2-N151/2)+Assumptions!E281*(M103+M94/2+N132/2)+Assumptions!E282*(M104+N133/2-N149/2)+IF(N93+N102+N147=0,0,Assumptions!H279),0)</f>
        <v>83</v>
      </c>
      <c r="O27" s="416">
        <f>ROUND(Assumptions!E280*(N91+O135/2-O151/2)+Assumptions!E281*(N103+N94/2+O132/2)+Assumptions!E282*(N104+O133/2-O149/2)+IF(O93+O102+O147=0,0,Assumptions!H279),0)</f>
        <v>0</v>
      </c>
      <c r="P27" s="416">
        <f>ROUND(Assumptions!E280*(O91+P135/2-P151/2)+Assumptions!E281*(O103+O94/2+P132/2)+Assumptions!E282*(O104+P133/2-P149/2)+IF(P93+P102+P147=0,0,Assumptions!H279),0)</f>
        <v>0</v>
      </c>
      <c r="Q27" s="416">
        <f>ROUND(Assumptions!E280*(P91+Q135/2-Q151/2)+Assumptions!E281*(P103+P94/2+Q132/2)+Assumptions!E282*(P104+Q133/2-Q149/2)+IF(Q93+Q102+Q147=0,0,Assumptions!H279),0)</f>
        <v>0</v>
      </c>
      <c r="R27" s="416">
        <f>ROUND(Assumptions!E280*(Q91+R135/2-R151/2)+Assumptions!E281*(Q103+Q94/2+R132/2)+Assumptions!E282*(Q104+R133/2-R149/2)+IF(R93+R102+R147=0,0,Assumptions!H279),0)</f>
        <v>0</v>
      </c>
      <c r="S27" s="416">
        <f>ROUND(Assumptions!E280*(R91+S135/2-S151/2)+Assumptions!E281*(R103+R94/2+S132/2)+Assumptions!E282*(R104+S133/2-S149/2)+IF(S93+S102+S147=0,0,Assumptions!H279),0)</f>
        <v>0</v>
      </c>
      <c r="T27" s="416">
        <f>ROUND(Assumptions!E280*(S91+T135/2-T151/2)+Assumptions!E281*(S103+S94/2+T132/2)+Assumptions!E282*(S104+T133/2-T149/2)+IF(T93+T102+T147=0,0,Assumptions!H279),0)</f>
        <v>0</v>
      </c>
      <c r="U27" s="416">
        <f>ROUND(Assumptions!E280*(T91+U135/2-U151/2)+Assumptions!E281*(T103+T94/2+U132/2)+Assumptions!E282*(T104+U133/2-U149/2)+IF(U93+U102+U147=0,0,Assumptions!H279),0)</f>
        <v>0</v>
      </c>
      <c r="V27" s="415">
        <f>ROUND(Assumptions!E280*(U91+V135/2-V151/2)+Assumptions!E281*(U103+U94/2+V132/2)+Assumptions!E282*(U104+V133/2-V149/2)+IF(V93+V102+V147=0,0,Assumptions!H279),0)</f>
        <v>0</v>
      </c>
    </row>
    <row r="28" spans="1:22" ht="35.1" customHeight="1">
      <c r="A28" s="458" t="s">
        <v>266</v>
      </c>
      <c r="B28" s="457"/>
      <c r="C28" s="457"/>
      <c r="D28" s="457"/>
      <c r="E28" s="457"/>
      <c r="F28" s="457"/>
      <c r="G28" s="445"/>
      <c r="H28" s="444"/>
      <c r="I28" s="444"/>
      <c r="J28" s="444"/>
      <c r="K28" s="444"/>
      <c r="L28" s="444"/>
      <c r="M28" s="444"/>
      <c r="N28" s="444"/>
      <c r="O28" s="444"/>
      <c r="P28" s="444"/>
      <c r="Q28" s="444"/>
      <c r="R28" s="444"/>
      <c r="S28" s="444"/>
      <c r="T28" s="444"/>
      <c r="U28" s="444"/>
      <c r="V28" s="444"/>
    </row>
    <row r="29" spans="1:22" ht="35.1" hidden="1" customHeight="1">
      <c r="A29" s="458" t="s">
        <v>266</v>
      </c>
      <c r="B29" s="457">
        <v>0</v>
      </c>
      <c r="C29" s="457">
        <v>0</v>
      </c>
      <c r="D29" s="457">
        <v>0</v>
      </c>
      <c r="E29" s="457">
        <v>0</v>
      </c>
      <c r="F29" s="457">
        <v>0</v>
      </c>
      <c r="G29" s="445">
        <v>0</v>
      </c>
      <c r="H29" s="444">
        <v>0</v>
      </c>
      <c r="I29" s="444">
        <v>0</v>
      </c>
      <c r="J29" s="444">
        <v>0</v>
      </c>
      <c r="K29" s="444">
        <v>0</v>
      </c>
      <c r="L29" s="444">
        <v>0</v>
      </c>
      <c r="M29" s="444">
        <v>0</v>
      </c>
      <c r="N29" s="444">
        <v>0</v>
      </c>
      <c r="O29" s="444">
        <v>0</v>
      </c>
      <c r="P29" s="444">
        <v>0</v>
      </c>
      <c r="Q29" s="444">
        <v>0</v>
      </c>
      <c r="R29" s="444">
        <v>0</v>
      </c>
      <c r="S29" s="444">
        <v>0</v>
      </c>
      <c r="T29" s="444">
        <v>0</v>
      </c>
      <c r="U29" s="444">
        <v>0</v>
      </c>
      <c r="V29" s="443">
        <v>0</v>
      </c>
    </row>
    <row r="30" spans="1:22" ht="35.1" customHeight="1">
      <c r="A30" s="385"/>
      <c r="B30" s="416"/>
      <c r="C30" s="416"/>
      <c r="D30" s="416"/>
      <c r="E30" s="416"/>
      <c r="F30" s="416"/>
      <c r="G30" s="332" t="s">
        <v>70</v>
      </c>
      <c r="H30" s="416" t="s">
        <v>70</v>
      </c>
      <c r="I30" s="416" t="s">
        <v>70</v>
      </c>
      <c r="J30" s="416" t="s">
        <v>70</v>
      </c>
      <c r="K30" s="416" t="s">
        <v>70</v>
      </c>
      <c r="L30" s="416" t="s">
        <v>70</v>
      </c>
      <c r="M30" s="416" t="s">
        <v>70</v>
      </c>
      <c r="N30" s="416" t="s">
        <v>70</v>
      </c>
      <c r="O30" s="416" t="s">
        <v>70</v>
      </c>
      <c r="P30" s="416" t="s">
        <v>70</v>
      </c>
      <c r="Q30" s="416" t="s">
        <v>70</v>
      </c>
      <c r="R30" s="416" t="s">
        <v>70</v>
      </c>
      <c r="S30" s="416" t="s">
        <v>70</v>
      </c>
      <c r="T30" s="416" t="s">
        <v>70</v>
      </c>
      <c r="U30" s="416" t="s">
        <v>70</v>
      </c>
      <c r="V30" s="415" t="s">
        <v>70</v>
      </c>
    </row>
    <row r="31" spans="1:22" ht="35.1" customHeight="1">
      <c r="A31" s="533" t="s">
        <v>267</v>
      </c>
      <c r="B31" s="526">
        <f t="shared" ref="B31:V31" si="3">ROUND(SUM(B25:B29),0)</f>
        <v>0</v>
      </c>
      <c r="C31" s="526">
        <f t="shared" si="3"/>
        <v>0</v>
      </c>
      <c r="D31" s="526">
        <f t="shared" si="3"/>
        <v>0</v>
      </c>
      <c r="E31" s="526">
        <f t="shared" si="3"/>
        <v>0</v>
      </c>
      <c r="F31" s="526">
        <f t="shared" si="3"/>
        <v>0</v>
      </c>
      <c r="G31" s="527">
        <f t="shared" si="3"/>
        <v>1913</v>
      </c>
      <c r="H31" s="526">
        <f t="shared" si="3"/>
        <v>1996</v>
      </c>
      <c r="I31" s="526">
        <f t="shared" si="3"/>
        <v>2527</v>
      </c>
      <c r="J31" s="526">
        <f t="shared" si="3"/>
        <v>3061</v>
      </c>
      <c r="K31" s="526">
        <f t="shared" si="3"/>
        <v>3711</v>
      </c>
      <c r="L31" s="526">
        <f t="shared" si="3"/>
        <v>4244</v>
      </c>
      <c r="M31" s="526">
        <f t="shared" si="3"/>
        <v>4244</v>
      </c>
      <c r="N31" s="526">
        <f t="shared" si="3"/>
        <v>4244</v>
      </c>
      <c r="O31" s="526">
        <f t="shared" si="3"/>
        <v>4161</v>
      </c>
      <c r="P31" s="526">
        <f t="shared" si="3"/>
        <v>4161</v>
      </c>
      <c r="Q31" s="526">
        <f t="shared" si="3"/>
        <v>4161</v>
      </c>
      <c r="R31" s="526">
        <f t="shared" si="3"/>
        <v>4161</v>
      </c>
      <c r="S31" s="526">
        <f t="shared" si="3"/>
        <v>4161</v>
      </c>
      <c r="T31" s="526">
        <f t="shared" si="3"/>
        <v>4161</v>
      </c>
      <c r="U31" s="526">
        <f t="shared" si="3"/>
        <v>4161</v>
      </c>
      <c r="V31" s="528">
        <f t="shared" si="3"/>
        <v>4161</v>
      </c>
    </row>
    <row r="32" spans="1:22" ht="35.1" customHeight="1">
      <c r="A32" s="529"/>
      <c r="B32" s="530"/>
      <c r="C32" s="530"/>
      <c r="D32" s="530"/>
      <c r="E32" s="530"/>
      <c r="F32" s="530"/>
      <c r="G32" s="531"/>
      <c r="H32" s="530"/>
      <c r="I32" s="530"/>
      <c r="J32" s="530"/>
      <c r="K32" s="530"/>
      <c r="L32" s="530"/>
      <c r="M32" s="530"/>
      <c r="N32" s="530"/>
      <c r="O32" s="530"/>
      <c r="P32" s="530"/>
      <c r="Q32" s="530"/>
      <c r="R32" s="530"/>
      <c r="S32" s="530"/>
      <c r="T32" s="530"/>
      <c r="U32" s="530"/>
      <c r="V32" s="532"/>
    </row>
    <row r="33" spans="1:25" ht="35.1" customHeight="1">
      <c r="A33" s="385" t="s">
        <v>268</v>
      </c>
      <c r="B33" s="416">
        <f t="shared" ref="B33:V33" si="4">B22-B31</f>
        <v>0</v>
      </c>
      <c r="C33" s="416">
        <f t="shared" si="4"/>
        <v>0</v>
      </c>
      <c r="D33" s="416">
        <f t="shared" si="4"/>
        <v>0</v>
      </c>
      <c r="E33" s="416">
        <f t="shared" si="4"/>
        <v>0</v>
      </c>
      <c r="F33" s="416">
        <f t="shared" si="4"/>
        <v>0</v>
      </c>
      <c r="G33" s="332">
        <f t="shared" si="4"/>
        <v>5116</v>
      </c>
      <c r="H33" s="416">
        <f t="shared" si="4"/>
        <v>1653</v>
      </c>
      <c r="I33" s="416">
        <f t="shared" si="4"/>
        <v>2378</v>
      </c>
      <c r="J33" s="416">
        <f t="shared" si="4"/>
        <v>2806</v>
      </c>
      <c r="K33" s="416">
        <f t="shared" si="4"/>
        <v>3286</v>
      </c>
      <c r="L33" s="416">
        <f t="shared" si="4"/>
        <v>4206</v>
      </c>
      <c r="M33" s="416">
        <f t="shared" si="4"/>
        <v>4278</v>
      </c>
      <c r="N33" s="416">
        <f t="shared" si="4"/>
        <v>4278</v>
      </c>
      <c r="O33" s="416">
        <f t="shared" si="4"/>
        <v>4361</v>
      </c>
      <c r="P33" s="416">
        <f t="shared" si="4"/>
        <v>4361</v>
      </c>
      <c r="Q33" s="416">
        <f t="shared" si="4"/>
        <v>4361</v>
      </c>
      <c r="R33" s="416">
        <f t="shared" si="4"/>
        <v>4361</v>
      </c>
      <c r="S33" s="416">
        <f t="shared" si="4"/>
        <v>4361</v>
      </c>
      <c r="T33" s="416">
        <f t="shared" si="4"/>
        <v>4361</v>
      </c>
      <c r="U33" s="416">
        <f t="shared" si="4"/>
        <v>4361</v>
      </c>
      <c r="V33" s="415">
        <f t="shared" si="4"/>
        <v>4361</v>
      </c>
    </row>
    <row r="34" spans="1:25" ht="35.1" customHeight="1">
      <c r="A34" s="385" t="s">
        <v>269</v>
      </c>
      <c r="B34" s="457"/>
      <c r="C34" s="457"/>
      <c r="D34" s="457"/>
      <c r="E34" s="457"/>
      <c r="F34" s="457"/>
      <c r="G34" s="332">
        <f t="shared" ref="G34:V34" si="5">ROUND(IF(G33&gt;0,0.025*G33,0),0)</f>
        <v>128</v>
      </c>
      <c r="H34" s="416">
        <f t="shared" si="5"/>
        <v>41</v>
      </c>
      <c r="I34" s="416">
        <f t="shared" si="5"/>
        <v>59</v>
      </c>
      <c r="J34" s="416">
        <f t="shared" si="5"/>
        <v>70</v>
      </c>
      <c r="K34" s="416">
        <f t="shared" si="5"/>
        <v>82</v>
      </c>
      <c r="L34" s="416">
        <f t="shared" si="5"/>
        <v>105</v>
      </c>
      <c r="M34" s="416">
        <f t="shared" si="5"/>
        <v>107</v>
      </c>
      <c r="N34" s="416">
        <f t="shared" si="5"/>
        <v>107</v>
      </c>
      <c r="O34" s="416">
        <f t="shared" si="5"/>
        <v>109</v>
      </c>
      <c r="P34" s="416">
        <f t="shared" si="5"/>
        <v>109</v>
      </c>
      <c r="Q34" s="416">
        <f t="shared" si="5"/>
        <v>109</v>
      </c>
      <c r="R34" s="416">
        <f t="shared" si="5"/>
        <v>109</v>
      </c>
      <c r="S34" s="416">
        <f t="shared" si="5"/>
        <v>109</v>
      </c>
      <c r="T34" s="416">
        <f t="shared" si="5"/>
        <v>109</v>
      </c>
      <c r="U34" s="416">
        <f t="shared" si="5"/>
        <v>109</v>
      </c>
      <c r="V34" s="415">
        <f t="shared" si="5"/>
        <v>109</v>
      </c>
    </row>
    <row r="35" spans="1:25" ht="35.1" customHeight="1" thickBot="1">
      <c r="A35" s="385"/>
      <c r="B35" s="416"/>
      <c r="C35" s="416"/>
      <c r="D35" s="416"/>
      <c r="E35" s="416"/>
      <c r="F35" s="416"/>
      <c r="G35" s="332" t="s">
        <v>70</v>
      </c>
      <c r="H35" s="416" t="s">
        <v>70</v>
      </c>
      <c r="I35" s="416" t="s">
        <v>70</v>
      </c>
      <c r="J35" s="416" t="s">
        <v>70</v>
      </c>
      <c r="K35" s="416" t="s">
        <v>70</v>
      </c>
      <c r="L35" s="416" t="s">
        <v>70</v>
      </c>
      <c r="M35" s="416" t="s">
        <v>70</v>
      </c>
      <c r="N35" s="416" t="s">
        <v>70</v>
      </c>
      <c r="O35" s="416" t="s">
        <v>70</v>
      </c>
      <c r="P35" s="416" t="s">
        <v>70</v>
      </c>
      <c r="Q35" s="416" t="s">
        <v>70</v>
      </c>
      <c r="R35" s="416" t="s">
        <v>70</v>
      </c>
      <c r="S35" s="416" t="s">
        <v>70</v>
      </c>
      <c r="T35" s="416" t="s">
        <v>70</v>
      </c>
      <c r="U35" s="416" t="s">
        <v>70</v>
      </c>
      <c r="V35" s="480" t="s">
        <v>70</v>
      </c>
    </row>
    <row r="36" spans="1:25" ht="35.1" customHeight="1" thickTop="1" thickBot="1">
      <c r="A36" s="331" t="s">
        <v>270</v>
      </c>
      <c r="B36" s="439">
        <f t="shared" ref="B36:V36" si="6">B33-B34</f>
        <v>0</v>
      </c>
      <c r="C36" s="439">
        <f t="shared" si="6"/>
        <v>0</v>
      </c>
      <c r="D36" s="439">
        <f t="shared" si="6"/>
        <v>0</v>
      </c>
      <c r="E36" s="439">
        <f t="shared" si="6"/>
        <v>0</v>
      </c>
      <c r="F36" s="439">
        <f t="shared" si="6"/>
        <v>0</v>
      </c>
      <c r="G36" s="441">
        <f t="shared" si="6"/>
        <v>4988</v>
      </c>
      <c r="H36" s="439">
        <f t="shared" si="6"/>
        <v>1612</v>
      </c>
      <c r="I36" s="439">
        <f t="shared" si="6"/>
        <v>2319</v>
      </c>
      <c r="J36" s="439">
        <f t="shared" si="6"/>
        <v>2736</v>
      </c>
      <c r="K36" s="439">
        <f t="shared" si="6"/>
        <v>3204</v>
      </c>
      <c r="L36" s="439">
        <f t="shared" si="6"/>
        <v>4101</v>
      </c>
      <c r="M36" s="439">
        <f t="shared" si="6"/>
        <v>4171</v>
      </c>
      <c r="N36" s="439">
        <f t="shared" si="6"/>
        <v>4171</v>
      </c>
      <c r="O36" s="439">
        <f t="shared" si="6"/>
        <v>4252</v>
      </c>
      <c r="P36" s="439">
        <f t="shared" si="6"/>
        <v>4252</v>
      </c>
      <c r="Q36" s="439">
        <f t="shared" si="6"/>
        <v>4252</v>
      </c>
      <c r="R36" s="439">
        <f t="shared" si="6"/>
        <v>4252</v>
      </c>
      <c r="S36" s="439">
        <f t="shared" si="6"/>
        <v>4252</v>
      </c>
      <c r="T36" s="439">
        <f t="shared" si="6"/>
        <v>4252</v>
      </c>
      <c r="U36" s="439">
        <f t="shared" si="6"/>
        <v>4252</v>
      </c>
      <c r="V36" s="479">
        <f t="shared" si="6"/>
        <v>4252</v>
      </c>
    </row>
    <row r="37" spans="1:25" ht="35.1" customHeight="1" thickTop="1">
      <c r="A37" s="337" t="s">
        <v>271</v>
      </c>
      <c r="B37" s="478"/>
      <c r="C37" s="478"/>
      <c r="D37" s="478"/>
      <c r="E37" s="478"/>
      <c r="F37" s="478"/>
      <c r="G37" s="477">
        <f t="shared" ref="G37:V37" si="7">IF(G121&lt;G122,0.1*G185,G121-F115)</f>
        <v>498.8</v>
      </c>
      <c r="H37" s="477">
        <f t="shared" si="7"/>
        <v>161.19999999999999</v>
      </c>
      <c r="I37" s="477">
        <f t="shared" si="7"/>
        <v>231.89999999999998</v>
      </c>
      <c r="J37" s="477">
        <f t="shared" si="7"/>
        <v>273.60000000000002</v>
      </c>
      <c r="K37" s="477">
        <f t="shared" si="7"/>
        <v>320.40000000000009</v>
      </c>
      <c r="L37" s="477">
        <f t="shared" si="7"/>
        <v>214.09999999999991</v>
      </c>
      <c r="M37" s="477">
        <f t="shared" si="7"/>
        <v>0</v>
      </c>
      <c r="N37" s="477">
        <f t="shared" si="7"/>
        <v>0</v>
      </c>
      <c r="O37" s="477">
        <f t="shared" si="7"/>
        <v>0</v>
      </c>
      <c r="P37" s="477">
        <f t="shared" si="7"/>
        <v>0</v>
      </c>
      <c r="Q37" s="477">
        <f t="shared" si="7"/>
        <v>0</v>
      </c>
      <c r="R37" s="477">
        <f t="shared" si="7"/>
        <v>0</v>
      </c>
      <c r="S37" s="477">
        <f t="shared" si="7"/>
        <v>0</v>
      </c>
      <c r="T37" s="477">
        <f t="shared" si="7"/>
        <v>0</v>
      </c>
      <c r="U37" s="477">
        <f t="shared" si="7"/>
        <v>0</v>
      </c>
      <c r="V37" s="476">
        <f t="shared" si="7"/>
        <v>0</v>
      </c>
    </row>
    <row r="38" spans="1:25" ht="35.1" customHeight="1">
      <c r="A38" s="385" t="s">
        <v>272</v>
      </c>
      <c r="B38" s="457"/>
      <c r="C38" s="457"/>
      <c r="D38" s="457"/>
      <c r="E38" s="457"/>
      <c r="F38" s="457"/>
      <c r="G38" s="332">
        <f t="shared" ref="G38:V38" si="8">ROUND(G152,0)</f>
        <v>0</v>
      </c>
      <c r="H38" s="416">
        <f t="shared" si="8"/>
        <v>0</v>
      </c>
      <c r="I38" s="416">
        <f t="shared" si="8"/>
        <v>0</v>
      </c>
      <c r="J38" s="416">
        <f t="shared" si="8"/>
        <v>0</v>
      </c>
      <c r="K38" s="416">
        <f t="shared" si="8"/>
        <v>0</v>
      </c>
      <c r="L38" s="416">
        <f t="shared" si="8"/>
        <v>0</v>
      </c>
      <c r="M38" s="416">
        <f t="shared" si="8"/>
        <v>5000</v>
      </c>
      <c r="N38" s="416">
        <f t="shared" si="8"/>
        <v>5000</v>
      </c>
      <c r="O38" s="416">
        <f t="shared" si="8"/>
        <v>5000</v>
      </c>
      <c r="P38" s="416">
        <f t="shared" si="8"/>
        <v>5000</v>
      </c>
      <c r="Q38" s="416">
        <f t="shared" si="8"/>
        <v>5000</v>
      </c>
      <c r="R38" s="416">
        <f t="shared" si="8"/>
        <v>5000</v>
      </c>
      <c r="S38" s="416">
        <f t="shared" si="8"/>
        <v>5000</v>
      </c>
      <c r="T38" s="416">
        <f t="shared" si="8"/>
        <v>5000</v>
      </c>
      <c r="U38" s="416">
        <f t="shared" si="8"/>
        <v>5000</v>
      </c>
      <c r="V38" s="415">
        <f t="shared" si="8"/>
        <v>8000</v>
      </c>
    </row>
    <row r="39" spans="1:25" ht="35.1" customHeight="1" thickBot="1">
      <c r="A39" s="533" t="s">
        <v>245</v>
      </c>
      <c r="B39" s="526">
        <f t="shared" ref="B39:V39" si="9">B36-B38-B37</f>
        <v>0</v>
      </c>
      <c r="C39" s="526">
        <f t="shared" si="9"/>
        <v>0</v>
      </c>
      <c r="D39" s="526">
        <f t="shared" si="9"/>
        <v>0</v>
      </c>
      <c r="E39" s="526">
        <f t="shared" si="9"/>
        <v>0</v>
      </c>
      <c r="F39" s="534">
        <f t="shared" si="9"/>
        <v>0</v>
      </c>
      <c r="G39" s="535">
        <f t="shared" si="9"/>
        <v>4489.2</v>
      </c>
      <c r="H39" s="526">
        <f t="shared" si="9"/>
        <v>1450.8</v>
      </c>
      <c r="I39" s="526">
        <f t="shared" si="9"/>
        <v>2087.1</v>
      </c>
      <c r="J39" s="526">
        <f t="shared" si="9"/>
        <v>2462.4</v>
      </c>
      <c r="K39" s="526">
        <f t="shared" si="9"/>
        <v>2883.6</v>
      </c>
      <c r="L39" s="526">
        <f t="shared" si="9"/>
        <v>3886.9</v>
      </c>
      <c r="M39" s="526">
        <f t="shared" si="9"/>
        <v>-829</v>
      </c>
      <c r="N39" s="526">
        <f t="shared" si="9"/>
        <v>-829</v>
      </c>
      <c r="O39" s="526">
        <f t="shared" si="9"/>
        <v>-748</v>
      </c>
      <c r="P39" s="526">
        <f t="shared" si="9"/>
        <v>-748</v>
      </c>
      <c r="Q39" s="526">
        <f t="shared" si="9"/>
        <v>-748</v>
      </c>
      <c r="R39" s="526">
        <f t="shared" si="9"/>
        <v>-748</v>
      </c>
      <c r="S39" s="526">
        <f t="shared" si="9"/>
        <v>-748</v>
      </c>
      <c r="T39" s="526">
        <f t="shared" si="9"/>
        <v>-748</v>
      </c>
      <c r="U39" s="526">
        <f t="shared" si="9"/>
        <v>-748</v>
      </c>
      <c r="V39" s="536">
        <f t="shared" si="9"/>
        <v>-3748</v>
      </c>
    </row>
    <row r="40" spans="1:25" ht="25.5" customHeight="1" thickTop="1">
      <c r="A40" s="400"/>
      <c r="B40" s="310"/>
      <c r="C40" s="310"/>
      <c r="D40" s="310"/>
      <c r="E40" s="310"/>
      <c r="F40" s="310"/>
      <c r="G40" s="310"/>
      <c r="H40" s="310"/>
      <c r="I40" s="310"/>
      <c r="J40" s="310"/>
      <c r="K40" s="310"/>
      <c r="L40" s="310"/>
      <c r="M40" s="310"/>
      <c r="N40" s="310"/>
      <c r="O40" s="310"/>
      <c r="P40" s="310"/>
      <c r="Q40" s="310"/>
      <c r="R40" s="310"/>
      <c r="S40" s="310"/>
      <c r="T40" s="310"/>
      <c r="U40" s="310"/>
      <c r="V40" s="310"/>
    </row>
    <row r="41" spans="1:25" ht="20.25" customHeight="1">
      <c r="A41" s="399"/>
    </row>
    <row r="42" spans="1:25" ht="26.25" customHeight="1" thickBot="1">
      <c r="A42" s="399"/>
    </row>
    <row r="43" spans="1:25" ht="33" customHeight="1" thickTop="1" thickBot="1">
      <c r="A43" s="399"/>
      <c r="K43" s="638" t="s">
        <v>273</v>
      </c>
      <c r="L43" s="639"/>
      <c r="M43" s="640"/>
      <c r="N43" s="313"/>
      <c r="P43" s="522" t="s">
        <v>274</v>
      </c>
      <c r="Q43" s="523"/>
      <c r="R43" s="312"/>
      <c r="U43" s="436"/>
      <c r="V43" s="436"/>
    </row>
    <row r="44" spans="1:25" ht="33" customHeight="1" thickTop="1">
      <c r="A44" s="399"/>
      <c r="K44" s="310"/>
      <c r="L44" s="310"/>
      <c r="M44" s="310"/>
      <c r="P44" s="524"/>
      <c r="Q44" s="524"/>
    </row>
    <row r="45" spans="1:25" ht="33" customHeight="1">
      <c r="A45" s="399"/>
    </row>
    <row r="46" spans="1:25" ht="33" customHeight="1" thickBot="1">
      <c r="A46" s="399"/>
      <c r="R46" s="647" t="s">
        <v>250</v>
      </c>
      <c r="S46" s="647"/>
      <c r="Y46" s="275" t="s">
        <v>70</v>
      </c>
    </row>
    <row r="47" spans="1:25" ht="33" customHeight="1" thickTop="1" thickBot="1">
      <c r="A47" s="399"/>
      <c r="B47" s="435"/>
      <c r="C47" s="434" t="s">
        <v>251</v>
      </c>
      <c r="D47" s="433"/>
      <c r="E47" s="433"/>
      <c r="F47" s="433"/>
      <c r="G47" s="644" t="s">
        <v>252</v>
      </c>
      <c r="H47" s="645"/>
      <c r="I47" s="645"/>
      <c r="J47" s="645"/>
      <c r="K47" s="645"/>
      <c r="L47" s="645"/>
      <c r="M47" s="645"/>
      <c r="N47" s="645"/>
      <c r="O47" s="645"/>
      <c r="P47" s="645"/>
      <c r="Q47" s="645"/>
      <c r="R47" s="645"/>
      <c r="S47" s="645"/>
      <c r="T47" s="645"/>
      <c r="U47" s="645"/>
      <c r="V47" s="646"/>
    </row>
    <row r="48" spans="1:25" ht="33" customHeight="1" thickTop="1" thickBot="1">
      <c r="A48" s="399"/>
      <c r="B48" s="432" t="str">
        <f>IF(B$6=0," ",B$6)</f>
        <v xml:space="preserve"> </v>
      </c>
      <c r="C48" s="431" t="str">
        <f>IF(C$6=0," ",C$6)</f>
        <v xml:space="preserve"> </v>
      </c>
      <c r="D48" s="431" t="str">
        <f>IF(D$6=0," ",D$6)</f>
        <v xml:space="preserve"> </v>
      </c>
      <c r="E48" s="431" t="str">
        <f>IF(E$6=0," ",E$6)</f>
        <v xml:space="preserve"> </v>
      </c>
      <c r="F48" s="431" t="str">
        <f>IF(F$6=0," ",F$6)</f>
        <v xml:space="preserve"> </v>
      </c>
      <c r="G48" s="430" t="str">
        <f t="shared" ref="G48:V48" si="10">B318</f>
        <v xml:space="preserve">  2025</v>
      </c>
      <c r="H48" s="429" t="str">
        <f t="shared" si="10"/>
        <v xml:space="preserve">  2026</v>
      </c>
      <c r="I48" s="429" t="str">
        <f t="shared" si="10"/>
        <v xml:space="preserve">  2027</v>
      </c>
      <c r="J48" s="429" t="str">
        <f t="shared" si="10"/>
        <v xml:space="preserve">  2028</v>
      </c>
      <c r="K48" s="429" t="str">
        <f t="shared" si="10"/>
        <v xml:space="preserve">  2029</v>
      </c>
      <c r="L48" s="429" t="str">
        <f t="shared" si="10"/>
        <v xml:space="preserve">  2030</v>
      </c>
      <c r="M48" s="429" t="str">
        <f t="shared" si="10"/>
        <v xml:space="preserve">  2031</v>
      </c>
      <c r="N48" s="429" t="str">
        <f t="shared" si="10"/>
        <v xml:space="preserve">  2032</v>
      </c>
      <c r="O48" s="429" t="str">
        <f t="shared" si="10"/>
        <v xml:space="preserve">  2033</v>
      </c>
      <c r="P48" s="429" t="str">
        <f t="shared" si="10"/>
        <v xml:space="preserve">  2034</v>
      </c>
      <c r="Q48" s="429" t="str">
        <f t="shared" si="10"/>
        <v xml:space="preserve">  2035</v>
      </c>
      <c r="R48" s="429" t="str">
        <f t="shared" si="10"/>
        <v xml:space="preserve">  2036</v>
      </c>
      <c r="S48" s="429" t="str">
        <f t="shared" si="10"/>
        <v xml:space="preserve">  2037</v>
      </c>
      <c r="T48" s="429" t="str">
        <f t="shared" si="10"/>
        <v xml:space="preserve">  2038</v>
      </c>
      <c r="U48" s="429" t="str">
        <f t="shared" si="10"/>
        <v xml:space="preserve">  2039</v>
      </c>
      <c r="V48" s="428" t="str">
        <f t="shared" si="10"/>
        <v xml:space="preserve">  2040</v>
      </c>
    </row>
    <row r="49" spans="1:22" ht="33" customHeight="1" thickTop="1">
      <c r="A49" s="337"/>
      <c r="B49" s="335"/>
      <c r="C49" s="475"/>
      <c r="D49" s="475"/>
      <c r="E49" s="475"/>
      <c r="F49" s="475"/>
      <c r="G49" s="335" t="s">
        <v>70</v>
      </c>
      <c r="H49" s="475" t="s">
        <v>70</v>
      </c>
      <c r="I49" s="475" t="s">
        <v>70</v>
      </c>
      <c r="J49" s="475" t="s">
        <v>70</v>
      </c>
      <c r="K49" s="475" t="s">
        <v>70</v>
      </c>
      <c r="L49" s="475" t="s">
        <v>70</v>
      </c>
      <c r="M49" s="475" t="s">
        <v>70</v>
      </c>
      <c r="N49" s="475" t="s">
        <v>70</v>
      </c>
      <c r="O49" s="475" t="s">
        <v>70</v>
      </c>
      <c r="P49" s="475" t="s">
        <v>70</v>
      </c>
      <c r="Q49" s="475" t="s">
        <v>70</v>
      </c>
      <c r="R49" s="475" t="s">
        <v>70</v>
      </c>
      <c r="S49" s="475" t="s">
        <v>70</v>
      </c>
      <c r="T49" s="475" t="s">
        <v>70</v>
      </c>
      <c r="U49" s="475" t="s">
        <v>70</v>
      </c>
      <c r="V49" s="474" t="s">
        <v>70</v>
      </c>
    </row>
    <row r="50" spans="1:22" ht="33" customHeight="1">
      <c r="A50" s="385" t="s">
        <v>227</v>
      </c>
      <c r="B50" s="469"/>
      <c r="C50" s="457"/>
      <c r="D50" s="457"/>
      <c r="E50" s="457"/>
      <c r="F50" s="457"/>
      <c r="G50" s="332">
        <f t="shared" ref="G50:V50" si="11">ROUND(F50+G159,0)</f>
        <v>149</v>
      </c>
      <c r="H50" s="416">
        <f t="shared" si="11"/>
        <v>2649</v>
      </c>
      <c r="I50" s="416">
        <f t="shared" si="11"/>
        <v>4872</v>
      </c>
      <c r="J50" s="416">
        <f t="shared" si="11"/>
        <v>6748</v>
      </c>
      <c r="K50" s="416">
        <f t="shared" si="11"/>
        <v>8719</v>
      </c>
      <c r="L50" s="416">
        <f t="shared" si="11"/>
        <v>11087</v>
      </c>
      <c r="M50" s="416">
        <f t="shared" si="11"/>
        <v>9688</v>
      </c>
      <c r="N50" s="416">
        <f t="shared" si="11"/>
        <v>8089</v>
      </c>
      <c r="O50" s="416">
        <f t="shared" si="11"/>
        <v>7971</v>
      </c>
      <c r="P50" s="416">
        <f t="shared" si="11"/>
        <v>7853</v>
      </c>
      <c r="Q50" s="416">
        <f t="shared" si="11"/>
        <v>7735</v>
      </c>
      <c r="R50" s="416">
        <f t="shared" si="11"/>
        <v>7617</v>
      </c>
      <c r="S50" s="416">
        <f t="shared" si="11"/>
        <v>7499</v>
      </c>
      <c r="T50" s="416">
        <f t="shared" si="11"/>
        <v>7381</v>
      </c>
      <c r="U50" s="416">
        <f t="shared" si="11"/>
        <v>7263</v>
      </c>
      <c r="V50" s="415">
        <f t="shared" si="11"/>
        <v>4145</v>
      </c>
    </row>
    <row r="51" spans="1:22" ht="33" customHeight="1">
      <c r="A51" s="385" t="s">
        <v>228</v>
      </c>
      <c r="B51" s="469"/>
      <c r="C51" s="457"/>
      <c r="D51" s="457"/>
      <c r="E51" s="457"/>
      <c r="F51" s="457"/>
      <c r="G51" s="332">
        <f>ROUND(G8*Assumptions!F293/365,0)</f>
        <v>4318</v>
      </c>
      <c r="H51" s="416">
        <f>ROUND(H8*Assumptions!F293/365,0)</f>
        <v>3993</v>
      </c>
      <c r="I51" s="416">
        <f>ROUND(I8*Assumptions!G293/365,0)</f>
        <v>4463</v>
      </c>
      <c r="J51" s="416">
        <f>ROUND(J8*Assumptions!H293/365,0)</f>
        <v>5021</v>
      </c>
      <c r="K51" s="416">
        <f>ROUND(K8*Assumptions!I293/365,0)</f>
        <v>5679</v>
      </c>
      <c r="L51" s="416">
        <f>ROUND(L8*Assumptions!J293/365,0)</f>
        <v>6514</v>
      </c>
      <c r="M51" s="416">
        <f>ROUND(M8*Assumptions!J293/365,0)</f>
        <v>6514</v>
      </c>
      <c r="N51" s="416">
        <f>ROUND(N8*Assumptions!J293/365,0)</f>
        <v>6514</v>
      </c>
      <c r="O51" s="416">
        <f>ROUND(O8*Assumptions!J293/365,0)</f>
        <v>6514</v>
      </c>
      <c r="P51" s="416">
        <f>ROUND(P8*Assumptions!J293/365,0)</f>
        <v>6514</v>
      </c>
      <c r="Q51" s="416">
        <f>ROUND(Q8*Assumptions!J293/365,0)</f>
        <v>6514</v>
      </c>
      <c r="R51" s="416">
        <f>ROUND(R8*Assumptions!J293/365,0)</f>
        <v>6514</v>
      </c>
      <c r="S51" s="416">
        <f>ROUND(S8*Assumptions!J293/365,0)</f>
        <v>6514</v>
      </c>
      <c r="T51" s="416">
        <f>ROUND(T8*Assumptions!J293/365,0)</f>
        <v>6514</v>
      </c>
      <c r="U51" s="416">
        <f>ROUND(U8*Assumptions!J293/365,0)</f>
        <v>6514</v>
      </c>
      <c r="V51" s="415">
        <f>ROUND(V8*Assumptions!J293/365,0)</f>
        <v>6514</v>
      </c>
    </row>
    <row r="52" spans="1:22" ht="33" customHeight="1">
      <c r="A52" s="385" t="s">
        <v>26</v>
      </c>
      <c r="B52" s="469"/>
      <c r="C52" s="457"/>
      <c r="D52" s="457"/>
      <c r="E52" s="457"/>
      <c r="F52" s="457"/>
      <c r="G52" s="332">
        <f>ROUND((G20-G15-G16)*Assumptions!F295/365,0)</f>
        <v>3423</v>
      </c>
      <c r="H52" s="416">
        <f>ROUND((H20-H15-H16)*Assumptions!F295/365,0)</f>
        <v>4059</v>
      </c>
      <c r="I52" s="416">
        <f>ROUND((I20-I15-I16)*Assumptions!G295/365,0)</f>
        <v>4447</v>
      </c>
      <c r="J52" s="416">
        <f>ROUND((J20-J15-J16)*Assumptions!H295/365,0)</f>
        <v>4925</v>
      </c>
      <c r="K52" s="416">
        <f>ROUND((K20-K15-K16)*Assumptions!I295/365,0)</f>
        <v>5489</v>
      </c>
      <c r="L52" s="416">
        <f>ROUND((L20-L15-L16)*Assumptions!J295/365,0)</f>
        <v>6199</v>
      </c>
      <c r="M52" s="416">
        <f>ROUND((M20-M15-M16)*Assumptions!J295/365,0)</f>
        <v>6199</v>
      </c>
      <c r="N52" s="416">
        <f>ROUND((N20-N15-N16)*Assumptions!J295/365,0)</f>
        <v>6199</v>
      </c>
      <c r="O52" s="416">
        <f>ROUND((O20-O15-O16)*Assumptions!J295/365,0)</f>
        <v>6199</v>
      </c>
      <c r="P52" s="416">
        <f>ROUND((P20-P15-P16)*Assumptions!J295/365,0)</f>
        <v>6199</v>
      </c>
      <c r="Q52" s="416">
        <f>ROUND((Q20-Q15-Q16)*Assumptions!J295/365,0)</f>
        <v>6199</v>
      </c>
      <c r="R52" s="416">
        <f>ROUND((R20-R15-R16)*Assumptions!J295/365,0)</f>
        <v>6199</v>
      </c>
      <c r="S52" s="416">
        <f>ROUND((S20-S15-S16)*Assumptions!J295/365,0)</f>
        <v>6199</v>
      </c>
      <c r="T52" s="416">
        <f>ROUND((T20-T15-T16)*Assumptions!J295/365,0)</f>
        <v>6199</v>
      </c>
      <c r="U52" s="416">
        <f>ROUND((U20-U15-U16)*Assumptions!J295/365,0)</f>
        <v>6199</v>
      </c>
      <c r="V52" s="415">
        <f>ROUND((V20-V15-V16)*Assumptions!J295/365,0)</f>
        <v>6199</v>
      </c>
    </row>
    <row r="53" spans="1:22" ht="33" customHeight="1">
      <c r="A53" s="385" t="s">
        <v>172</v>
      </c>
      <c r="B53" s="469"/>
      <c r="C53" s="457"/>
      <c r="D53" s="457"/>
      <c r="E53" s="457"/>
      <c r="F53" s="457"/>
      <c r="G53" s="332">
        <f>ROUND(G11*Assumptions!F294/365,0)</f>
        <v>0</v>
      </c>
      <c r="H53" s="416">
        <f>ROUND(H11*Assumptions!F294/365,0)</f>
        <v>0</v>
      </c>
      <c r="I53" s="416">
        <f>ROUND(I11*Assumptions!G294/365,0)</f>
        <v>0</v>
      </c>
      <c r="J53" s="416">
        <f>ROUND(J11*Assumptions!H294/365,0)</f>
        <v>0</v>
      </c>
      <c r="K53" s="416">
        <f>ROUND(K11*Assumptions!I294/365,0)</f>
        <v>0</v>
      </c>
      <c r="L53" s="416">
        <f>ROUND(L11*Assumptions!J294/365,0)</f>
        <v>0</v>
      </c>
      <c r="M53" s="416">
        <f>ROUND(M11*Assumptions!J294/365,0)</f>
        <v>0</v>
      </c>
      <c r="N53" s="416">
        <f>ROUND(N11*Assumptions!J294/365,0)</f>
        <v>0</v>
      </c>
      <c r="O53" s="416">
        <f>ROUND(O11*Assumptions!J294/365,0)</f>
        <v>0</v>
      </c>
      <c r="P53" s="416">
        <f>ROUND(P11*Assumptions!J294/365,0)</f>
        <v>0</v>
      </c>
      <c r="Q53" s="416">
        <f>ROUND(Q11*Assumptions!J294/365,0)</f>
        <v>0</v>
      </c>
      <c r="R53" s="416">
        <f>ROUND(R11*Assumptions!J294/365,0)</f>
        <v>0</v>
      </c>
      <c r="S53" s="416">
        <f>ROUND(S11*Assumptions!J294/365,0)</f>
        <v>0</v>
      </c>
      <c r="T53" s="416">
        <f>ROUND(T11*Assumptions!J294/365,0)</f>
        <v>0</v>
      </c>
      <c r="U53" s="416">
        <f>ROUND(U11*Assumptions!J294/365,0)</f>
        <v>0</v>
      </c>
      <c r="V53" s="415">
        <f>ROUND(V11*Assumptions!J294/365,0)</f>
        <v>0</v>
      </c>
    </row>
    <row r="54" spans="1:22" ht="33" customHeight="1">
      <c r="A54" s="458" t="s">
        <v>535</v>
      </c>
      <c r="B54" s="469"/>
      <c r="C54" s="457"/>
      <c r="D54" s="457"/>
      <c r="E54" s="457"/>
      <c r="F54" s="457"/>
      <c r="G54" s="445"/>
      <c r="H54" s="445"/>
      <c r="I54" s="445"/>
      <c r="J54" s="445"/>
      <c r="K54" s="445"/>
      <c r="L54" s="445"/>
      <c r="M54" s="445"/>
      <c r="N54" s="445"/>
      <c r="O54" s="445"/>
      <c r="P54" s="445"/>
      <c r="Q54" s="445"/>
      <c r="R54" s="445"/>
      <c r="S54" s="445"/>
      <c r="T54" s="445"/>
      <c r="U54" s="445"/>
      <c r="V54" s="445"/>
    </row>
    <row r="55" spans="1:22" ht="33" customHeight="1">
      <c r="A55" s="458" t="s">
        <v>536</v>
      </c>
      <c r="B55" s="469"/>
      <c r="C55" s="457"/>
      <c r="D55" s="457"/>
      <c r="E55" s="457"/>
      <c r="F55" s="457"/>
      <c r="G55" s="445"/>
      <c r="H55" s="445"/>
      <c r="I55" s="445"/>
      <c r="J55" s="445"/>
      <c r="K55" s="445"/>
      <c r="L55" s="445"/>
      <c r="M55" s="445"/>
      <c r="N55" s="445"/>
      <c r="O55" s="445"/>
      <c r="P55" s="445"/>
      <c r="Q55" s="445"/>
      <c r="R55" s="445"/>
      <c r="S55" s="445"/>
      <c r="T55" s="445"/>
      <c r="U55" s="445"/>
      <c r="V55" s="445"/>
    </row>
    <row r="56" spans="1:22" ht="33" customHeight="1">
      <c r="A56" s="385"/>
      <c r="B56" s="473"/>
      <c r="C56" s="472"/>
      <c r="D56" s="472"/>
      <c r="E56" s="472"/>
      <c r="F56" s="472"/>
      <c r="G56" s="332" t="s">
        <v>70</v>
      </c>
      <c r="H56" s="416" t="s">
        <v>70</v>
      </c>
      <c r="I56" s="416" t="s">
        <v>70</v>
      </c>
      <c r="J56" s="416" t="s">
        <v>198</v>
      </c>
      <c r="K56" s="416" t="s">
        <v>70</v>
      </c>
      <c r="L56" s="416" t="s">
        <v>70</v>
      </c>
      <c r="M56" s="416" t="s">
        <v>70</v>
      </c>
      <c r="N56" s="416"/>
      <c r="O56" s="416" t="s">
        <v>70</v>
      </c>
      <c r="P56" s="416" t="s">
        <v>70</v>
      </c>
      <c r="Q56" s="416" t="s">
        <v>70</v>
      </c>
      <c r="R56" s="416" t="s">
        <v>70</v>
      </c>
      <c r="S56" s="416"/>
      <c r="T56" s="416" t="s">
        <v>70</v>
      </c>
      <c r="U56" s="416" t="s">
        <v>70</v>
      </c>
      <c r="V56" s="415" t="s">
        <v>70</v>
      </c>
    </row>
    <row r="57" spans="1:22" ht="33" customHeight="1">
      <c r="A57" s="533" t="s">
        <v>229</v>
      </c>
      <c r="B57" s="527">
        <f t="shared" ref="B57:V57" si="12">ROUND(SUM(B50:B55),0)</f>
        <v>0</v>
      </c>
      <c r="C57" s="526">
        <f t="shared" si="12"/>
        <v>0</v>
      </c>
      <c r="D57" s="526">
        <f t="shared" si="12"/>
        <v>0</v>
      </c>
      <c r="E57" s="526">
        <f t="shared" si="12"/>
        <v>0</v>
      </c>
      <c r="F57" s="526">
        <f t="shared" si="12"/>
        <v>0</v>
      </c>
      <c r="G57" s="527">
        <f t="shared" si="12"/>
        <v>7890</v>
      </c>
      <c r="H57" s="526">
        <f t="shared" si="12"/>
        <v>10701</v>
      </c>
      <c r="I57" s="526">
        <f t="shared" si="12"/>
        <v>13782</v>
      </c>
      <c r="J57" s="526">
        <f t="shared" si="12"/>
        <v>16694</v>
      </c>
      <c r="K57" s="526">
        <f t="shared" si="12"/>
        <v>19887</v>
      </c>
      <c r="L57" s="526">
        <f t="shared" si="12"/>
        <v>23800</v>
      </c>
      <c r="M57" s="526">
        <f t="shared" si="12"/>
        <v>22401</v>
      </c>
      <c r="N57" s="526">
        <f t="shared" si="12"/>
        <v>20802</v>
      </c>
      <c r="O57" s="526">
        <f t="shared" si="12"/>
        <v>20684</v>
      </c>
      <c r="P57" s="526">
        <f t="shared" si="12"/>
        <v>20566</v>
      </c>
      <c r="Q57" s="526">
        <f t="shared" si="12"/>
        <v>20448</v>
      </c>
      <c r="R57" s="526">
        <f t="shared" si="12"/>
        <v>20330</v>
      </c>
      <c r="S57" s="526">
        <f t="shared" si="12"/>
        <v>20212</v>
      </c>
      <c r="T57" s="526">
        <f t="shared" si="12"/>
        <v>20094</v>
      </c>
      <c r="U57" s="526">
        <f t="shared" si="12"/>
        <v>19976</v>
      </c>
      <c r="V57" s="528">
        <f t="shared" si="12"/>
        <v>16858</v>
      </c>
    </row>
    <row r="58" spans="1:22" ht="33" customHeight="1">
      <c r="A58" s="529"/>
      <c r="B58" s="531"/>
      <c r="C58" s="530"/>
      <c r="D58" s="530"/>
      <c r="E58" s="530"/>
      <c r="F58" s="530"/>
      <c r="G58" s="531"/>
      <c r="H58" s="530"/>
      <c r="I58" s="530"/>
      <c r="J58" s="530"/>
      <c r="K58" s="530"/>
      <c r="L58" s="530"/>
      <c r="M58" s="530"/>
      <c r="N58" s="530"/>
      <c r="O58" s="530"/>
      <c r="P58" s="530"/>
      <c r="Q58" s="530"/>
      <c r="R58" s="530"/>
      <c r="S58" s="530"/>
      <c r="T58" s="530"/>
      <c r="U58" s="530"/>
      <c r="V58" s="532"/>
    </row>
    <row r="59" spans="1:22" ht="33" customHeight="1">
      <c r="A59" s="385" t="s">
        <v>30</v>
      </c>
      <c r="B59" s="469"/>
      <c r="C59" s="457"/>
      <c r="D59" s="457"/>
      <c r="E59" s="457"/>
      <c r="F59" s="416">
        <f>Assumptions!D333</f>
        <v>0</v>
      </c>
      <c r="G59" s="332">
        <f>Assumptions!F226+Assumptions!D333</f>
        <v>0</v>
      </c>
      <c r="H59" s="416">
        <f>G59+Assumptions!G226</f>
        <v>0</v>
      </c>
      <c r="I59" s="416">
        <f>H59+Assumptions!H226</f>
        <v>0</v>
      </c>
      <c r="J59" s="416">
        <f>I59+Assumptions!I226</f>
        <v>0</v>
      </c>
      <c r="K59" s="416">
        <f>J59+Assumptions!J226</f>
        <v>0</v>
      </c>
      <c r="L59" s="416">
        <f>K59+Assumptions!K226</f>
        <v>0</v>
      </c>
      <c r="M59" s="416">
        <f>L59+Assumptions!L226</f>
        <v>0</v>
      </c>
      <c r="N59" s="416">
        <f>M59+Assumptions!M226</f>
        <v>0</v>
      </c>
      <c r="O59" s="416">
        <f>N59+Assumptions!N226</f>
        <v>0</v>
      </c>
      <c r="P59" s="416">
        <f>O59+Assumptions!O226</f>
        <v>0</v>
      </c>
      <c r="Q59" s="416">
        <f>P59+Assumptions!P226</f>
        <v>0</v>
      </c>
      <c r="R59" s="416">
        <f>Q59+Assumptions!Q226</f>
        <v>0</v>
      </c>
      <c r="S59" s="416">
        <f>R59+Assumptions!R226</f>
        <v>0</v>
      </c>
      <c r="T59" s="416">
        <f>S59+Assumptions!S226</f>
        <v>0</v>
      </c>
      <c r="U59" s="416">
        <f>T59+Assumptions!T226</f>
        <v>0</v>
      </c>
      <c r="V59" s="415">
        <f>U59+Assumptions!U226</f>
        <v>0</v>
      </c>
    </row>
    <row r="60" spans="1:22" ht="33" customHeight="1">
      <c r="A60" s="385" t="s">
        <v>31</v>
      </c>
      <c r="B60" s="469"/>
      <c r="C60" s="457"/>
      <c r="D60" s="457"/>
      <c r="E60" s="457"/>
      <c r="F60" s="416">
        <f>Assumptions!D334</f>
        <v>0</v>
      </c>
      <c r="G60" s="332">
        <f>Assumptions!F227+Assumptions!D334</f>
        <v>770</v>
      </c>
      <c r="H60" s="416">
        <f>G60+Assumptions!G227</f>
        <v>770</v>
      </c>
      <c r="I60" s="416">
        <f>H60+Assumptions!H227</f>
        <v>770</v>
      </c>
      <c r="J60" s="416">
        <f>I60+Assumptions!I227</f>
        <v>770</v>
      </c>
      <c r="K60" s="416">
        <f>J60+Assumptions!J227</f>
        <v>770</v>
      </c>
      <c r="L60" s="416">
        <f>K60+Assumptions!K227</f>
        <v>770</v>
      </c>
      <c r="M60" s="416">
        <f>L60+Assumptions!L227</f>
        <v>770</v>
      </c>
      <c r="N60" s="416">
        <f>M60+Assumptions!M227</f>
        <v>770</v>
      </c>
      <c r="O60" s="416">
        <f>N60+Assumptions!N227</f>
        <v>770</v>
      </c>
      <c r="P60" s="416">
        <f>O60+Assumptions!O227</f>
        <v>770</v>
      </c>
      <c r="Q60" s="416">
        <f>P60+Assumptions!P227</f>
        <v>770</v>
      </c>
      <c r="R60" s="416">
        <f>Q60+Assumptions!Q227</f>
        <v>770</v>
      </c>
      <c r="S60" s="416">
        <f>R60+Assumptions!R227</f>
        <v>770</v>
      </c>
      <c r="T60" s="416">
        <f>S60+Assumptions!S227</f>
        <v>770</v>
      </c>
      <c r="U60" s="416">
        <f>T60+Assumptions!T227</f>
        <v>770</v>
      </c>
      <c r="V60" s="415">
        <f>U60+Assumptions!U227</f>
        <v>770</v>
      </c>
    </row>
    <row r="61" spans="1:22" ht="33" customHeight="1">
      <c r="A61" s="385" t="s">
        <v>32</v>
      </c>
      <c r="B61" s="469"/>
      <c r="C61" s="457"/>
      <c r="D61" s="457"/>
      <c r="E61" s="457"/>
      <c r="F61" s="416">
        <f>Assumptions!D335</f>
        <v>0</v>
      </c>
      <c r="G61" s="332">
        <f>Assumptions!F228+Assumptions!D335</f>
        <v>11353</v>
      </c>
      <c r="H61" s="416">
        <f>G61+Assumptions!G228</f>
        <v>11353</v>
      </c>
      <c r="I61" s="416">
        <f>H61+Assumptions!H228</f>
        <v>11353</v>
      </c>
      <c r="J61" s="416">
        <f>I61+Assumptions!I228</f>
        <v>11353</v>
      </c>
      <c r="K61" s="416">
        <f>J61+Assumptions!J228</f>
        <v>11353</v>
      </c>
      <c r="L61" s="416">
        <f>K61+Assumptions!K228</f>
        <v>11353</v>
      </c>
      <c r="M61" s="416">
        <f>L61+Assumptions!L228</f>
        <v>11353</v>
      </c>
      <c r="N61" s="416">
        <f>M61+Assumptions!M228</f>
        <v>11353</v>
      </c>
      <c r="O61" s="416">
        <f>N61+Assumptions!N228</f>
        <v>11353</v>
      </c>
      <c r="P61" s="416">
        <f>O61+Assumptions!O228</f>
        <v>11353</v>
      </c>
      <c r="Q61" s="416">
        <f>P61+Assumptions!P228</f>
        <v>11353</v>
      </c>
      <c r="R61" s="416">
        <f>Q61+Assumptions!Q228</f>
        <v>11353</v>
      </c>
      <c r="S61" s="416">
        <f>R61+Assumptions!R228</f>
        <v>11353</v>
      </c>
      <c r="T61" s="416">
        <f>S61+Assumptions!S228</f>
        <v>11353</v>
      </c>
      <c r="U61" s="416">
        <f>T61+Assumptions!T228</f>
        <v>11353</v>
      </c>
      <c r="V61" s="415">
        <f>U61+Assumptions!U228</f>
        <v>11353</v>
      </c>
    </row>
    <row r="62" spans="1:22" ht="33" customHeight="1">
      <c r="A62" s="385" t="s">
        <v>33</v>
      </c>
      <c r="B62" s="469"/>
      <c r="C62" s="457"/>
      <c r="D62" s="457"/>
      <c r="E62" s="457"/>
      <c r="F62" s="416">
        <f>Assumptions!D336</f>
        <v>0</v>
      </c>
      <c r="G62" s="332">
        <f>Assumptions!F229+Assumptions!D336</f>
        <v>0</v>
      </c>
      <c r="H62" s="416">
        <f>G62+Assumptions!G229</f>
        <v>0</v>
      </c>
      <c r="I62" s="416">
        <f>H62+Assumptions!H229</f>
        <v>0</v>
      </c>
      <c r="J62" s="416">
        <f>I62+Assumptions!I229</f>
        <v>0</v>
      </c>
      <c r="K62" s="416">
        <f>J62+Assumptions!J229</f>
        <v>0</v>
      </c>
      <c r="L62" s="416">
        <f>K62+Assumptions!K229</f>
        <v>0</v>
      </c>
      <c r="M62" s="416">
        <f>L62+Assumptions!L229</f>
        <v>0</v>
      </c>
      <c r="N62" s="416">
        <f>M62+Assumptions!M229</f>
        <v>0</v>
      </c>
      <c r="O62" s="416">
        <f>N62+Assumptions!N229</f>
        <v>0</v>
      </c>
      <c r="P62" s="416">
        <f>O62+Assumptions!O229</f>
        <v>0</v>
      </c>
      <c r="Q62" s="416">
        <f>P62+Assumptions!P229</f>
        <v>0</v>
      </c>
      <c r="R62" s="416">
        <f>Q62+Assumptions!Q229</f>
        <v>0</v>
      </c>
      <c r="S62" s="416">
        <f>R62+Assumptions!R229</f>
        <v>0</v>
      </c>
      <c r="T62" s="416">
        <f>S62+Assumptions!S229</f>
        <v>0</v>
      </c>
      <c r="U62" s="416">
        <f>T62+Assumptions!T229</f>
        <v>0</v>
      </c>
      <c r="V62" s="415">
        <f>U62+Assumptions!U229</f>
        <v>0</v>
      </c>
    </row>
    <row r="63" spans="1:22" ht="33" customHeight="1">
      <c r="A63" s="385" t="s">
        <v>34</v>
      </c>
      <c r="B63" s="469"/>
      <c r="C63" s="457"/>
      <c r="D63" s="457"/>
      <c r="E63" s="457"/>
      <c r="F63" s="416">
        <f>Assumptions!D337</f>
        <v>0</v>
      </c>
      <c r="G63" s="332">
        <f>Assumptions!F230+Assumptions!D337</f>
        <v>359</v>
      </c>
      <c r="H63" s="416">
        <f>G63+Assumptions!G230</f>
        <v>359</v>
      </c>
      <c r="I63" s="416">
        <f>H63+Assumptions!H230</f>
        <v>359</v>
      </c>
      <c r="J63" s="416">
        <f>I63+Assumptions!I230</f>
        <v>359</v>
      </c>
      <c r="K63" s="416">
        <f>J63+Assumptions!J230</f>
        <v>359</v>
      </c>
      <c r="L63" s="416">
        <f>K63+Assumptions!K230</f>
        <v>359</v>
      </c>
      <c r="M63" s="416">
        <f>L63+Assumptions!L230</f>
        <v>359</v>
      </c>
      <c r="N63" s="416">
        <f>M63+Assumptions!M230</f>
        <v>359</v>
      </c>
      <c r="O63" s="416">
        <f>N63+Assumptions!N230</f>
        <v>359</v>
      </c>
      <c r="P63" s="416">
        <f>O63+Assumptions!O230</f>
        <v>359</v>
      </c>
      <c r="Q63" s="416">
        <f>P63+Assumptions!P230</f>
        <v>359</v>
      </c>
      <c r="R63" s="416">
        <f>Q63+Assumptions!Q230</f>
        <v>359</v>
      </c>
      <c r="S63" s="416">
        <f>R63+Assumptions!R230</f>
        <v>359</v>
      </c>
      <c r="T63" s="416">
        <f>S63+Assumptions!S230</f>
        <v>359</v>
      </c>
      <c r="U63" s="416">
        <f>T63+Assumptions!T230</f>
        <v>359</v>
      </c>
      <c r="V63" s="415">
        <f>U63+Assumptions!U230</f>
        <v>359</v>
      </c>
    </row>
    <row r="64" spans="1:22" ht="33" customHeight="1">
      <c r="A64" s="385" t="s">
        <v>124</v>
      </c>
      <c r="B64" s="469"/>
      <c r="C64" s="457"/>
      <c r="D64" s="457"/>
      <c r="E64" s="457"/>
      <c r="F64" s="416">
        <f>Assumptions!D338</f>
        <v>0</v>
      </c>
      <c r="G64" s="471">
        <f>Assumptions!F231+Assumptions!D338</f>
        <v>458</v>
      </c>
      <c r="H64" s="416">
        <f>G64+Assumptions!G231</f>
        <v>458</v>
      </c>
      <c r="I64" s="416">
        <f>H64+Assumptions!H231</f>
        <v>458</v>
      </c>
      <c r="J64" s="416">
        <f>I64+Assumptions!I231</f>
        <v>458</v>
      </c>
      <c r="K64" s="416">
        <f>J64+Assumptions!J231</f>
        <v>458</v>
      </c>
      <c r="L64" s="416">
        <f>K64+Assumptions!K231</f>
        <v>458</v>
      </c>
      <c r="M64" s="416">
        <f>L64+Assumptions!L231</f>
        <v>458</v>
      </c>
      <c r="N64" s="416">
        <f>M64+Assumptions!M231</f>
        <v>458</v>
      </c>
      <c r="O64" s="416">
        <f>N64+Assumptions!N231</f>
        <v>458</v>
      </c>
      <c r="P64" s="416">
        <f>O64+Assumptions!O231</f>
        <v>458</v>
      </c>
      <c r="Q64" s="416">
        <f>P64+Assumptions!P231</f>
        <v>458</v>
      </c>
      <c r="R64" s="416">
        <f>Q64+Assumptions!Q231</f>
        <v>458</v>
      </c>
      <c r="S64" s="416">
        <f>R64+Assumptions!R231</f>
        <v>458</v>
      </c>
      <c r="T64" s="416">
        <f>S64+Assumptions!S231</f>
        <v>458</v>
      </c>
      <c r="U64" s="416">
        <f>T64+Assumptions!T231</f>
        <v>458</v>
      </c>
      <c r="V64" s="415">
        <f>U64+Assumptions!U231</f>
        <v>458</v>
      </c>
    </row>
    <row r="65" spans="1:22" ht="33" customHeight="1">
      <c r="A65" s="458" t="s">
        <v>540</v>
      </c>
      <c r="B65" s="469"/>
      <c r="C65" s="457"/>
      <c r="D65" s="457"/>
      <c r="E65" s="457"/>
      <c r="F65" s="416">
        <f>Assumptions!D339</f>
        <v>0</v>
      </c>
      <c r="G65" s="471">
        <f>Assumptions!F232+Assumptions!D339</f>
        <v>0</v>
      </c>
      <c r="H65" s="468">
        <f>G65+Assumptions!G232</f>
        <v>0</v>
      </c>
      <c r="I65" s="468">
        <f>H65+Assumptions!H232</f>
        <v>0</v>
      </c>
      <c r="J65" s="468">
        <f>I65+Assumptions!I232</f>
        <v>0</v>
      </c>
      <c r="K65" s="468">
        <f>J65+Assumptions!J232</f>
        <v>0</v>
      </c>
      <c r="L65" s="468">
        <f>K65+Assumptions!K232</f>
        <v>0</v>
      </c>
      <c r="M65" s="468">
        <f>L65+Assumptions!L232</f>
        <v>0</v>
      </c>
      <c r="N65" s="468">
        <f>M65+Assumptions!M232</f>
        <v>0</v>
      </c>
      <c r="O65" s="468">
        <f>N65+Assumptions!N232</f>
        <v>0</v>
      </c>
      <c r="P65" s="468">
        <f>O65+Assumptions!O232</f>
        <v>0</v>
      </c>
      <c r="Q65" s="468">
        <f>P65+Assumptions!P232</f>
        <v>0</v>
      </c>
      <c r="R65" s="468">
        <f>Q65+Assumptions!Q232</f>
        <v>0</v>
      </c>
      <c r="S65" s="468">
        <f>R65+Assumptions!R232</f>
        <v>0</v>
      </c>
      <c r="T65" s="468">
        <f>S65+Assumptions!S232</f>
        <v>0</v>
      </c>
      <c r="U65" s="468">
        <f>T65+Assumptions!T232</f>
        <v>0</v>
      </c>
      <c r="V65" s="470">
        <f>U65+Assumptions!U232</f>
        <v>0</v>
      </c>
    </row>
    <row r="66" spans="1:22" ht="33" customHeight="1">
      <c r="A66" s="385" t="s">
        <v>132</v>
      </c>
      <c r="B66" s="340" t="s">
        <v>143</v>
      </c>
      <c r="C66" s="364" t="s">
        <v>143</v>
      </c>
      <c r="D66" s="364" t="s">
        <v>143</v>
      </c>
      <c r="E66" s="364" t="s">
        <v>143</v>
      </c>
      <c r="F66" s="364" t="s">
        <v>143</v>
      </c>
      <c r="G66" s="332">
        <f>Assumptions!F233</f>
        <v>0</v>
      </c>
      <c r="H66" s="416">
        <f>G66+Assumptions!G233</f>
        <v>0</v>
      </c>
      <c r="I66" s="416">
        <f>SUM(Assumptions!F233:H233)</f>
        <v>0</v>
      </c>
      <c r="J66" s="416">
        <f>SUM(Assumptions!F233:I233)</f>
        <v>0</v>
      </c>
      <c r="K66" s="416">
        <f>SUM(Assumptions!F233:J233)</f>
        <v>0</v>
      </c>
      <c r="L66" s="416">
        <f>SUM(Assumptions!F233:K233)</f>
        <v>0</v>
      </c>
      <c r="M66" s="416">
        <f>SUM(Assumptions!F233:L233)</f>
        <v>0</v>
      </c>
      <c r="N66" s="416">
        <f>SUM(Assumptions!F233:M233)</f>
        <v>0</v>
      </c>
      <c r="O66" s="416">
        <f>SUM(Assumptions!F233:N233)</f>
        <v>0</v>
      </c>
      <c r="P66" s="416">
        <f>SUM(Assumptions!F233:O233)</f>
        <v>0</v>
      </c>
      <c r="Q66" s="416">
        <f>SUM(Assumptions!F233:P233)</f>
        <v>0</v>
      </c>
      <c r="R66" s="416">
        <f>SUM(Assumptions!F233:Q233)</f>
        <v>0</v>
      </c>
      <c r="S66" s="416">
        <f>SUM(Assumptions!F233:R233)</f>
        <v>0</v>
      </c>
      <c r="T66" s="416">
        <f>SUM(Assumptions!F233:S233)</f>
        <v>0</v>
      </c>
      <c r="U66" s="416">
        <f>SUM(Assumptions!F233:T233)</f>
        <v>0</v>
      </c>
      <c r="V66" s="415">
        <f>SUM(Assumptions!F233:U233)</f>
        <v>0</v>
      </c>
    </row>
    <row r="67" spans="1:22" ht="33" customHeight="1">
      <c r="A67" s="385"/>
      <c r="B67" s="332"/>
      <c r="C67" s="416"/>
      <c r="D67" s="416"/>
      <c r="E67" s="416"/>
      <c r="F67" s="416"/>
      <c r="G67" s="332" t="s">
        <v>70</v>
      </c>
      <c r="H67" s="416" t="s">
        <v>70</v>
      </c>
      <c r="I67" s="416" t="s">
        <v>70</v>
      </c>
      <c r="J67" s="416" t="s">
        <v>70</v>
      </c>
      <c r="K67" s="416" t="s">
        <v>70</v>
      </c>
      <c r="L67" s="416" t="s">
        <v>70</v>
      </c>
      <c r="M67" s="416" t="s">
        <v>70</v>
      </c>
      <c r="N67" s="416" t="s">
        <v>70</v>
      </c>
      <c r="O67" s="416" t="s">
        <v>70</v>
      </c>
      <c r="P67" s="416" t="s">
        <v>70</v>
      </c>
      <c r="Q67" s="416" t="s">
        <v>70</v>
      </c>
      <c r="R67" s="416" t="s">
        <v>70</v>
      </c>
      <c r="S67" s="416" t="s">
        <v>70</v>
      </c>
      <c r="T67" s="416" t="s">
        <v>70</v>
      </c>
      <c r="U67" s="416" t="s">
        <v>70</v>
      </c>
      <c r="V67" s="415" t="s">
        <v>70</v>
      </c>
    </row>
    <row r="68" spans="1:22" ht="33" customHeight="1">
      <c r="A68" s="529" t="s">
        <v>140</v>
      </c>
      <c r="B68" s="531">
        <f>SUM(B59:B65)</f>
        <v>0</v>
      </c>
      <c r="C68" s="530">
        <f>SUM(C59:C65)</f>
        <v>0</v>
      </c>
      <c r="D68" s="530">
        <f>SUM(D59:D65)</f>
        <v>0</v>
      </c>
      <c r="E68" s="530">
        <f>SUM(E59:E65)</f>
        <v>0</v>
      </c>
      <c r="F68" s="530">
        <f>Assumptions!D341</f>
        <v>0</v>
      </c>
      <c r="G68" s="531">
        <f t="shared" ref="G68:V68" si="13">SUM(G59:G66)</f>
        <v>12940</v>
      </c>
      <c r="H68" s="530">
        <f t="shared" si="13"/>
        <v>12940</v>
      </c>
      <c r="I68" s="530">
        <f t="shared" si="13"/>
        <v>12940</v>
      </c>
      <c r="J68" s="530">
        <f t="shared" si="13"/>
        <v>12940</v>
      </c>
      <c r="K68" s="530">
        <f t="shared" si="13"/>
        <v>12940</v>
      </c>
      <c r="L68" s="530">
        <f t="shared" si="13"/>
        <v>12940</v>
      </c>
      <c r="M68" s="530">
        <f t="shared" si="13"/>
        <v>12940</v>
      </c>
      <c r="N68" s="530">
        <f t="shared" si="13"/>
        <v>12940</v>
      </c>
      <c r="O68" s="530">
        <f t="shared" si="13"/>
        <v>12940</v>
      </c>
      <c r="P68" s="530">
        <f t="shared" si="13"/>
        <v>12940</v>
      </c>
      <c r="Q68" s="530">
        <f t="shared" si="13"/>
        <v>12940</v>
      </c>
      <c r="R68" s="530">
        <f t="shared" si="13"/>
        <v>12940</v>
      </c>
      <c r="S68" s="530">
        <f t="shared" si="13"/>
        <v>12940</v>
      </c>
      <c r="T68" s="530">
        <f t="shared" si="13"/>
        <v>12940</v>
      </c>
      <c r="U68" s="530">
        <f t="shared" si="13"/>
        <v>12940</v>
      </c>
      <c r="V68" s="532">
        <f t="shared" si="13"/>
        <v>12940</v>
      </c>
    </row>
    <row r="69" spans="1:22" ht="33" customHeight="1">
      <c r="A69" s="529" t="s">
        <v>275</v>
      </c>
      <c r="B69" s="537"/>
      <c r="C69" s="538"/>
      <c r="D69" s="538"/>
      <c r="E69" s="538"/>
      <c r="F69" s="530">
        <f>Assumptions!E341</f>
        <v>0</v>
      </c>
      <c r="G69" s="531">
        <f>G15+Assumptions!E341</f>
        <v>0</v>
      </c>
      <c r="H69" s="530">
        <f>H15+G69</f>
        <v>702</v>
      </c>
      <c r="I69" s="530">
        <f>I15+H69</f>
        <v>1404</v>
      </c>
      <c r="J69" s="530">
        <f>J15+I69</f>
        <v>2106</v>
      </c>
      <c r="K69" s="530">
        <f>K15+J69</f>
        <v>2808</v>
      </c>
      <c r="L69" s="530">
        <f t="shared" ref="L69:V69" si="14">K69+L15</f>
        <v>3510</v>
      </c>
      <c r="M69" s="530">
        <f t="shared" si="14"/>
        <v>4140</v>
      </c>
      <c r="N69" s="530">
        <f t="shared" si="14"/>
        <v>4770</v>
      </c>
      <c r="O69" s="530">
        <f t="shared" si="14"/>
        <v>5400</v>
      </c>
      <c r="P69" s="530">
        <f t="shared" si="14"/>
        <v>6030</v>
      </c>
      <c r="Q69" s="530">
        <f t="shared" si="14"/>
        <v>6660</v>
      </c>
      <c r="R69" s="530">
        <f t="shared" si="14"/>
        <v>7290</v>
      </c>
      <c r="S69" s="530">
        <f t="shared" si="14"/>
        <v>7920</v>
      </c>
      <c r="T69" s="530">
        <f t="shared" si="14"/>
        <v>8550</v>
      </c>
      <c r="U69" s="530">
        <f t="shared" si="14"/>
        <v>9180</v>
      </c>
      <c r="V69" s="532">
        <f t="shared" si="14"/>
        <v>9810</v>
      </c>
    </row>
    <row r="70" spans="1:22" ht="33" customHeight="1">
      <c r="A70" s="533" t="s">
        <v>230</v>
      </c>
      <c r="B70" s="527">
        <f>B68-B69</f>
        <v>0</v>
      </c>
      <c r="C70" s="526">
        <f>C68-C69</f>
        <v>0</v>
      </c>
      <c r="D70" s="526">
        <f>D68-D69</f>
        <v>0</v>
      </c>
      <c r="E70" s="526">
        <f>E68-E69</f>
        <v>0</v>
      </c>
      <c r="F70" s="526">
        <f>Assumptions!D341-Assumptions!E341</f>
        <v>0</v>
      </c>
      <c r="G70" s="527">
        <f t="shared" ref="G70:V70" si="15">G68-G69</f>
        <v>12940</v>
      </c>
      <c r="H70" s="526">
        <f t="shared" si="15"/>
        <v>12238</v>
      </c>
      <c r="I70" s="526">
        <f t="shared" si="15"/>
        <v>11536</v>
      </c>
      <c r="J70" s="526">
        <f t="shared" si="15"/>
        <v>10834</v>
      </c>
      <c r="K70" s="526">
        <f t="shared" si="15"/>
        <v>10132</v>
      </c>
      <c r="L70" s="526">
        <f t="shared" si="15"/>
        <v>9430</v>
      </c>
      <c r="M70" s="526">
        <f t="shared" si="15"/>
        <v>8800</v>
      </c>
      <c r="N70" s="526">
        <f t="shared" si="15"/>
        <v>8170</v>
      </c>
      <c r="O70" s="526">
        <f t="shared" si="15"/>
        <v>7540</v>
      </c>
      <c r="P70" s="526">
        <f t="shared" si="15"/>
        <v>6910</v>
      </c>
      <c r="Q70" s="526">
        <f t="shared" si="15"/>
        <v>6280</v>
      </c>
      <c r="R70" s="526">
        <f t="shared" si="15"/>
        <v>5650</v>
      </c>
      <c r="S70" s="526">
        <f t="shared" si="15"/>
        <v>5020</v>
      </c>
      <c r="T70" s="526">
        <f t="shared" si="15"/>
        <v>4390</v>
      </c>
      <c r="U70" s="526">
        <f t="shared" si="15"/>
        <v>3760</v>
      </c>
      <c r="V70" s="528">
        <f t="shared" si="15"/>
        <v>3130</v>
      </c>
    </row>
    <row r="71" spans="1:22" ht="33" customHeight="1">
      <c r="A71" s="529"/>
      <c r="B71" s="531"/>
      <c r="C71" s="530"/>
      <c r="D71" s="530"/>
      <c r="E71" s="530"/>
      <c r="F71" s="530"/>
      <c r="G71" s="531"/>
      <c r="H71" s="530"/>
      <c r="I71" s="530"/>
      <c r="J71" s="530"/>
      <c r="K71" s="530"/>
      <c r="L71" s="530"/>
      <c r="M71" s="530"/>
      <c r="N71" s="530"/>
      <c r="O71" s="530"/>
      <c r="P71" s="530"/>
      <c r="Q71" s="530"/>
      <c r="R71" s="530"/>
      <c r="S71" s="530"/>
      <c r="T71" s="530"/>
      <c r="U71" s="530"/>
      <c r="V71" s="532"/>
    </row>
    <row r="72" spans="1:22" ht="33" customHeight="1">
      <c r="A72" s="458" t="s">
        <v>532</v>
      </c>
      <c r="B72" s="469"/>
      <c r="C72" s="457"/>
      <c r="D72" s="457"/>
      <c r="E72" s="457"/>
      <c r="F72" s="457"/>
      <c r="G72" s="445"/>
      <c r="H72" s="444"/>
      <c r="I72" s="444"/>
      <c r="J72" s="444"/>
      <c r="K72" s="444"/>
      <c r="L72" s="444"/>
      <c r="M72" s="444"/>
      <c r="N72" s="444"/>
      <c r="O72" s="444"/>
      <c r="P72" s="444"/>
      <c r="Q72" s="444"/>
      <c r="R72" s="444"/>
      <c r="S72" s="444"/>
      <c r="T72" s="444"/>
      <c r="U72" s="444"/>
      <c r="V72" s="444"/>
    </row>
    <row r="73" spans="1:22" ht="33" customHeight="1">
      <c r="A73" s="385"/>
      <c r="B73" s="332"/>
      <c r="C73" s="416"/>
      <c r="D73" s="416"/>
      <c r="E73" s="416"/>
      <c r="F73" s="416"/>
      <c r="G73" s="332"/>
      <c r="H73" s="416"/>
      <c r="I73" s="416"/>
      <c r="J73" s="416"/>
      <c r="K73" s="416"/>
      <c r="L73" s="416"/>
      <c r="M73" s="416"/>
      <c r="N73" s="416"/>
      <c r="O73" s="416"/>
      <c r="P73" s="416"/>
      <c r="Q73" s="416"/>
      <c r="R73" s="416"/>
      <c r="S73" s="416"/>
      <c r="T73" s="416"/>
      <c r="U73" s="416"/>
      <c r="V73" s="415"/>
    </row>
    <row r="74" spans="1:22" ht="33" customHeight="1">
      <c r="A74" s="385" t="s">
        <v>125</v>
      </c>
      <c r="B74" s="469"/>
      <c r="C74" s="457"/>
      <c r="D74" s="457"/>
      <c r="E74" s="457"/>
      <c r="F74" s="468">
        <f>Assumptions!D343</f>
        <v>0</v>
      </c>
      <c r="G74" s="332">
        <f>Assumptions!F236+Assumptions!D343</f>
        <v>300</v>
      </c>
      <c r="H74" s="416">
        <f>G74+Assumptions!G236</f>
        <v>300</v>
      </c>
      <c r="I74" s="416">
        <f>H74+Assumptions!H236</f>
        <v>300</v>
      </c>
      <c r="J74" s="416">
        <f>I74+Assumptions!I236</f>
        <v>300</v>
      </c>
      <c r="K74" s="416">
        <f>J74+Assumptions!J236</f>
        <v>300</v>
      </c>
      <c r="L74" s="416">
        <f>K74+Assumptions!K236</f>
        <v>300</v>
      </c>
      <c r="M74" s="416">
        <f>L74+Assumptions!L236</f>
        <v>300</v>
      </c>
      <c r="N74" s="416">
        <f>M74+Assumptions!M236</f>
        <v>300</v>
      </c>
      <c r="O74" s="416">
        <f>N74+Assumptions!N236</f>
        <v>300</v>
      </c>
      <c r="P74" s="416">
        <f>O74+Assumptions!O236</f>
        <v>300</v>
      </c>
      <c r="Q74" s="416">
        <f>P74+Assumptions!P236</f>
        <v>300</v>
      </c>
      <c r="R74" s="416">
        <f>Q74+Assumptions!Q236</f>
        <v>300</v>
      </c>
      <c r="S74" s="416">
        <f>R74+Assumptions!R236</f>
        <v>300</v>
      </c>
      <c r="T74" s="416">
        <f>S74+Assumptions!S236</f>
        <v>300</v>
      </c>
      <c r="U74" s="416">
        <f>T74+Assumptions!T236</f>
        <v>300</v>
      </c>
      <c r="V74" s="415">
        <f>U74+Assumptions!U236</f>
        <v>300</v>
      </c>
    </row>
    <row r="75" spans="1:22" ht="33" customHeight="1">
      <c r="A75" s="385" t="s">
        <v>276</v>
      </c>
      <c r="B75" s="469"/>
      <c r="C75" s="457"/>
      <c r="D75" s="457"/>
      <c r="E75" s="457"/>
      <c r="F75" s="468">
        <f>Assumptions!D344</f>
        <v>0</v>
      </c>
      <c r="G75" s="332">
        <f>Assumptions!F237+Assumptions!D344</f>
        <v>99</v>
      </c>
      <c r="H75" s="416">
        <f>G75+Assumptions!G237</f>
        <v>99</v>
      </c>
      <c r="I75" s="416">
        <f>H75+Assumptions!H237</f>
        <v>99</v>
      </c>
      <c r="J75" s="416">
        <f>I75+Assumptions!I237</f>
        <v>99</v>
      </c>
      <c r="K75" s="416">
        <f>J75+Assumptions!J237</f>
        <v>99</v>
      </c>
      <c r="L75" s="416">
        <f>K75+Assumptions!K237</f>
        <v>99</v>
      </c>
      <c r="M75" s="416">
        <f>L75+Assumptions!L237</f>
        <v>99</v>
      </c>
      <c r="N75" s="416">
        <f>M75+Assumptions!M237</f>
        <v>99</v>
      </c>
      <c r="O75" s="416">
        <f>N75+Assumptions!N237</f>
        <v>99</v>
      </c>
      <c r="P75" s="416">
        <f>O75+Assumptions!O237</f>
        <v>99</v>
      </c>
      <c r="Q75" s="416">
        <f>P75+Assumptions!P237</f>
        <v>99</v>
      </c>
      <c r="R75" s="416">
        <f>Q75+Assumptions!Q237</f>
        <v>99</v>
      </c>
      <c r="S75" s="416">
        <f>R75+Assumptions!R237</f>
        <v>99</v>
      </c>
      <c r="T75" s="416">
        <f>S75+Assumptions!S237</f>
        <v>99</v>
      </c>
      <c r="U75" s="416">
        <f>T75+Assumptions!T237</f>
        <v>99</v>
      </c>
      <c r="V75" s="415">
        <f>U75+Assumptions!U237</f>
        <v>99</v>
      </c>
    </row>
    <row r="76" spans="1:22" ht="33" customHeight="1">
      <c r="A76" s="529" t="s">
        <v>277</v>
      </c>
      <c r="B76" s="531">
        <f>SUM(B74:B75)</f>
        <v>0</v>
      </c>
      <c r="C76" s="530">
        <f>SUM(C74:C75)</f>
        <v>0</v>
      </c>
      <c r="D76" s="530">
        <f>SUM(D74:D75)</f>
        <v>0</v>
      </c>
      <c r="E76" s="530">
        <f>SUM(E74:E75)</f>
        <v>0</v>
      </c>
      <c r="F76" s="530">
        <f>Assumptions!D346</f>
        <v>0</v>
      </c>
      <c r="G76" s="531">
        <f t="shared" ref="G76:V76" si="16">SUM(G74:G75)</f>
        <v>399</v>
      </c>
      <c r="H76" s="530">
        <f t="shared" si="16"/>
        <v>399</v>
      </c>
      <c r="I76" s="530">
        <f t="shared" si="16"/>
        <v>399</v>
      </c>
      <c r="J76" s="530">
        <f t="shared" si="16"/>
        <v>399</v>
      </c>
      <c r="K76" s="530">
        <f t="shared" si="16"/>
        <v>399</v>
      </c>
      <c r="L76" s="530">
        <f t="shared" si="16"/>
        <v>399</v>
      </c>
      <c r="M76" s="530">
        <f t="shared" si="16"/>
        <v>399</v>
      </c>
      <c r="N76" s="530">
        <f t="shared" si="16"/>
        <v>399</v>
      </c>
      <c r="O76" s="530">
        <f t="shared" si="16"/>
        <v>399</v>
      </c>
      <c r="P76" s="530">
        <f t="shared" si="16"/>
        <v>399</v>
      </c>
      <c r="Q76" s="530">
        <f t="shared" si="16"/>
        <v>399</v>
      </c>
      <c r="R76" s="530">
        <f t="shared" si="16"/>
        <v>399</v>
      </c>
      <c r="S76" s="530">
        <f t="shared" si="16"/>
        <v>399</v>
      </c>
      <c r="T76" s="530">
        <f t="shared" si="16"/>
        <v>399</v>
      </c>
      <c r="U76" s="530">
        <f t="shared" si="16"/>
        <v>399</v>
      </c>
      <c r="V76" s="532">
        <f t="shared" si="16"/>
        <v>399</v>
      </c>
    </row>
    <row r="77" spans="1:22" ht="33" customHeight="1">
      <c r="A77" s="529" t="s">
        <v>278</v>
      </c>
      <c r="B77" s="537"/>
      <c r="C77" s="538"/>
      <c r="D77" s="538"/>
      <c r="E77" s="538"/>
      <c r="F77" s="539">
        <f>Assumptions!E346</f>
        <v>0</v>
      </c>
      <c r="G77" s="531">
        <f>Assumptions!E346+G16</f>
        <v>1312</v>
      </c>
      <c r="H77" s="530">
        <f t="shared" ref="H77:V77" si="17">G77+H16</f>
        <v>1711</v>
      </c>
      <c r="I77" s="530">
        <f t="shared" si="17"/>
        <v>1711</v>
      </c>
      <c r="J77" s="530">
        <f t="shared" si="17"/>
        <v>1711</v>
      </c>
      <c r="K77" s="530">
        <f t="shared" si="17"/>
        <v>1711</v>
      </c>
      <c r="L77" s="530">
        <f t="shared" si="17"/>
        <v>1711</v>
      </c>
      <c r="M77" s="530">
        <f t="shared" si="17"/>
        <v>1711</v>
      </c>
      <c r="N77" s="530">
        <f t="shared" si="17"/>
        <v>1711</v>
      </c>
      <c r="O77" s="530">
        <f t="shared" si="17"/>
        <v>1711</v>
      </c>
      <c r="P77" s="530">
        <f t="shared" si="17"/>
        <v>1711</v>
      </c>
      <c r="Q77" s="530">
        <f t="shared" si="17"/>
        <v>1711</v>
      </c>
      <c r="R77" s="530">
        <f t="shared" si="17"/>
        <v>1711</v>
      </c>
      <c r="S77" s="530">
        <f t="shared" si="17"/>
        <v>1711</v>
      </c>
      <c r="T77" s="530">
        <f t="shared" si="17"/>
        <v>1711</v>
      </c>
      <c r="U77" s="530">
        <f t="shared" si="17"/>
        <v>1711</v>
      </c>
      <c r="V77" s="532">
        <f t="shared" si="17"/>
        <v>1711</v>
      </c>
    </row>
    <row r="78" spans="1:22" ht="33" customHeight="1">
      <c r="A78" s="529" t="s">
        <v>279</v>
      </c>
      <c r="B78" s="531">
        <f>B76-B77</f>
        <v>0</v>
      </c>
      <c r="C78" s="530">
        <f>C76-C77</f>
        <v>0</v>
      </c>
      <c r="D78" s="530">
        <f>D76-D77</f>
        <v>0</v>
      </c>
      <c r="E78" s="530">
        <f>E76-E77</f>
        <v>0</v>
      </c>
      <c r="F78" s="530">
        <f>Assumptions!D346-Assumptions!E346</f>
        <v>0</v>
      </c>
      <c r="G78" s="531">
        <f t="shared" ref="G78:V78" si="18">G76-G77</f>
        <v>-913</v>
      </c>
      <c r="H78" s="530">
        <f t="shared" si="18"/>
        <v>-1312</v>
      </c>
      <c r="I78" s="530">
        <f t="shared" si="18"/>
        <v>-1312</v>
      </c>
      <c r="J78" s="530">
        <f t="shared" si="18"/>
        <v>-1312</v>
      </c>
      <c r="K78" s="530">
        <f t="shared" si="18"/>
        <v>-1312</v>
      </c>
      <c r="L78" s="530">
        <f t="shared" si="18"/>
        <v>-1312</v>
      </c>
      <c r="M78" s="530">
        <f t="shared" si="18"/>
        <v>-1312</v>
      </c>
      <c r="N78" s="530">
        <f t="shared" si="18"/>
        <v>-1312</v>
      </c>
      <c r="O78" s="530">
        <f t="shared" si="18"/>
        <v>-1312</v>
      </c>
      <c r="P78" s="530">
        <f t="shared" si="18"/>
        <v>-1312</v>
      </c>
      <c r="Q78" s="530">
        <f t="shared" si="18"/>
        <v>-1312</v>
      </c>
      <c r="R78" s="530">
        <f t="shared" si="18"/>
        <v>-1312</v>
      </c>
      <c r="S78" s="530">
        <f t="shared" si="18"/>
        <v>-1312</v>
      </c>
      <c r="T78" s="530">
        <f t="shared" si="18"/>
        <v>-1312</v>
      </c>
      <c r="U78" s="530">
        <f t="shared" si="18"/>
        <v>-1312</v>
      </c>
      <c r="V78" s="532">
        <f t="shared" si="18"/>
        <v>-1312</v>
      </c>
    </row>
    <row r="79" spans="1:22" ht="33" customHeight="1" thickBot="1">
      <c r="A79" s="529"/>
      <c r="B79" s="531"/>
      <c r="C79" s="530"/>
      <c r="D79" s="530"/>
      <c r="E79" s="530"/>
      <c r="F79" s="530"/>
      <c r="G79" s="531"/>
      <c r="H79" s="530"/>
      <c r="I79" s="530"/>
      <c r="J79" s="530"/>
      <c r="K79" s="530"/>
      <c r="L79" s="530"/>
      <c r="M79" s="530"/>
      <c r="N79" s="530"/>
      <c r="O79" s="530"/>
      <c r="P79" s="530"/>
      <c r="Q79" s="530"/>
      <c r="R79" s="530"/>
      <c r="S79" s="530"/>
      <c r="T79" s="530"/>
      <c r="U79" s="530"/>
      <c r="V79" s="532"/>
    </row>
    <row r="80" spans="1:22" ht="33" customHeight="1" thickTop="1" thickBot="1">
      <c r="A80" s="331" t="s">
        <v>233</v>
      </c>
      <c r="B80" s="441">
        <f>B57+B70+B72+B78</f>
        <v>0</v>
      </c>
      <c r="C80" s="439">
        <f>C57+C70+C72+C78</f>
        <v>0</v>
      </c>
      <c r="D80" s="439">
        <f>D57+D70+D72+D78</f>
        <v>0</v>
      </c>
      <c r="E80" s="439">
        <f>E57+E70+E72+E78</f>
        <v>0</v>
      </c>
      <c r="F80" s="439">
        <f>F57+F70+F72+F78</f>
        <v>0</v>
      </c>
      <c r="G80" s="441">
        <f t="shared" ref="G80:V80" si="19">ROUND(G57+G70+G72+G78,0)</f>
        <v>19917</v>
      </c>
      <c r="H80" s="439">
        <f t="shared" si="19"/>
        <v>21627</v>
      </c>
      <c r="I80" s="439">
        <f t="shared" si="19"/>
        <v>24006</v>
      </c>
      <c r="J80" s="439">
        <f t="shared" si="19"/>
        <v>26216</v>
      </c>
      <c r="K80" s="439">
        <f t="shared" si="19"/>
        <v>28707</v>
      </c>
      <c r="L80" s="439">
        <f t="shared" si="19"/>
        <v>31918</v>
      </c>
      <c r="M80" s="439">
        <f t="shared" si="19"/>
        <v>29889</v>
      </c>
      <c r="N80" s="439">
        <f t="shared" si="19"/>
        <v>27660</v>
      </c>
      <c r="O80" s="439">
        <f t="shared" si="19"/>
        <v>26912</v>
      </c>
      <c r="P80" s="439">
        <f t="shared" si="19"/>
        <v>26164</v>
      </c>
      <c r="Q80" s="439">
        <f t="shared" si="19"/>
        <v>25416</v>
      </c>
      <c r="R80" s="439">
        <f t="shared" si="19"/>
        <v>24668</v>
      </c>
      <c r="S80" s="439">
        <f t="shared" si="19"/>
        <v>23920</v>
      </c>
      <c r="T80" s="439">
        <f t="shared" si="19"/>
        <v>23172</v>
      </c>
      <c r="U80" s="439">
        <f t="shared" si="19"/>
        <v>22424</v>
      </c>
      <c r="V80" s="438">
        <f t="shared" si="19"/>
        <v>18676</v>
      </c>
    </row>
    <row r="81" spans="1:28" ht="27" customHeight="1" thickTop="1">
      <c r="A81" s="400"/>
      <c r="B81" s="310"/>
      <c r="C81" s="310"/>
      <c r="D81" s="310"/>
      <c r="E81" s="310"/>
      <c r="F81" s="310"/>
      <c r="G81" s="310"/>
      <c r="H81" s="310"/>
      <c r="I81" s="310"/>
      <c r="J81" s="310"/>
      <c r="K81" s="310"/>
      <c r="L81" s="310"/>
      <c r="M81" s="310"/>
      <c r="N81" s="310"/>
      <c r="O81" s="310"/>
      <c r="P81" s="310"/>
      <c r="Q81" s="310"/>
      <c r="R81" s="310"/>
      <c r="S81" s="310"/>
      <c r="T81" s="310"/>
      <c r="U81" s="310"/>
      <c r="V81" s="310"/>
      <c r="Y81" s="275" t="s">
        <v>70</v>
      </c>
    </row>
    <row r="82" spans="1:28" ht="21" customHeight="1" thickBot="1">
      <c r="A82" s="399"/>
    </row>
    <row r="83" spans="1:28" ht="34.5" customHeight="1" thickTop="1" thickBot="1">
      <c r="A83" s="399"/>
      <c r="J83" s="638" t="s">
        <v>280</v>
      </c>
      <c r="K83" s="639"/>
      <c r="L83" s="639"/>
      <c r="M83" s="639"/>
      <c r="N83" s="640"/>
      <c r="O83" s="313"/>
      <c r="P83" s="522" t="s">
        <v>281</v>
      </c>
      <c r="Q83" s="523"/>
      <c r="R83" s="312"/>
      <c r="U83" s="436"/>
      <c r="V83" s="436"/>
    </row>
    <row r="84" spans="1:28" ht="33.9" customHeight="1" thickTop="1">
      <c r="A84" s="399" t="s">
        <v>70</v>
      </c>
      <c r="J84" s="310"/>
      <c r="K84" s="310"/>
      <c r="L84" s="310"/>
      <c r="M84" s="310"/>
      <c r="N84" s="310"/>
      <c r="P84" s="524"/>
      <c r="Q84" s="524"/>
    </row>
    <row r="85" spans="1:28" ht="33.9" customHeight="1">
      <c r="A85" s="399"/>
      <c r="S85" s="649" t="s">
        <v>250</v>
      </c>
      <c r="T85" s="649"/>
    </row>
    <row r="86" spans="1:28" ht="33.9" customHeight="1" thickBot="1">
      <c r="A86" s="399"/>
      <c r="G86" s="278">
        <f t="shared" ref="G86:AB86" si="20">IF(G185&gt;0,F115+0.1*G185,F115)</f>
        <v>498.8</v>
      </c>
      <c r="H86" s="278">
        <f t="shared" si="20"/>
        <v>660</v>
      </c>
      <c r="I86" s="278">
        <f t="shared" si="20"/>
        <v>891.9</v>
      </c>
      <c r="J86" s="278">
        <f t="shared" si="20"/>
        <v>1165.5</v>
      </c>
      <c r="K86" s="278">
        <f t="shared" si="20"/>
        <v>1485.9</v>
      </c>
      <c r="L86" s="278">
        <f t="shared" si="20"/>
        <v>1896</v>
      </c>
      <c r="M86" s="278">
        <f t="shared" si="20"/>
        <v>2117.1</v>
      </c>
      <c r="N86" s="278">
        <f t="shared" si="20"/>
        <v>2117.1</v>
      </c>
      <c r="O86" s="278">
        <f t="shared" si="20"/>
        <v>2125.1999999999998</v>
      </c>
      <c r="P86" s="278">
        <f t="shared" si="20"/>
        <v>2125.1999999999998</v>
      </c>
      <c r="Q86" s="278">
        <f t="shared" si="20"/>
        <v>2125.1999999999998</v>
      </c>
      <c r="R86" s="278">
        <f t="shared" si="20"/>
        <v>2125.1999999999998</v>
      </c>
      <c r="S86" s="467">
        <f t="shared" si="20"/>
        <v>2125.1999999999998</v>
      </c>
      <c r="T86" s="467">
        <f t="shared" si="20"/>
        <v>2125.1999999999998</v>
      </c>
      <c r="U86" s="278">
        <f t="shared" si="20"/>
        <v>2125.1999999999998</v>
      </c>
      <c r="V86" s="278">
        <f t="shared" si="20"/>
        <v>2125.1999999999998</v>
      </c>
      <c r="W86" s="278">
        <f t="shared" si="20"/>
        <v>1700</v>
      </c>
      <c r="X86" s="278">
        <f t="shared" si="20"/>
        <v>0</v>
      </c>
      <c r="Y86" s="278">
        <f t="shared" si="20"/>
        <v>0</v>
      </c>
      <c r="Z86" s="278">
        <f t="shared" si="20"/>
        <v>0</v>
      </c>
      <c r="AA86" s="278">
        <f t="shared" si="20"/>
        <v>0</v>
      </c>
      <c r="AB86" s="278">
        <f t="shared" si="20"/>
        <v>0</v>
      </c>
    </row>
    <row r="87" spans="1:28" ht="33.9" customHeight="1" thickTop="1" thickBot="1">
      <c r="A87" s="399" t="s">
        <v>70</v>
      </c>
      <c r="B87" s="435"/>
      <c r="C87" s="434" t="s">
        <v>251</v>
      </c>
      <c r="D87" s="433"/>
      <c r="E87" s="433"/>
      <c r="F87" s="433"/>
      <c r="G87" s="644" t="s">
        <v>252</v>
      </c>
      <c r="H87" s="645"/>
      <c r="I87" s="645"/>
      <c r="J87" s="645"/>
      <c r="K87" s="645"/>
      <c r="L87" s="645"/>
      <c r="M87" s="645"/>
      <c r="N87" s="645"/>
      <c r="O87" s="645"/>
      <c r="P87" s="645"/>
      <c r="Q87" s="645"/>
      <c r="R87" s="645"/>
      <c r="S87" s="645"/>
      <c r="T87" s="645"/>
      <c r="U87" s="645"/>
      <c r="V87" s="646"/>
    </row>
    <row r="88" spans="1:28" ht="33.9" customHeight="1" thickTop="1" thickBot="1">
      <c r="A88" s="399"/>
      <c r="B88" s="431" t="str">
        <f>IF(B$6=0," ",B$6)</f>
        <v xml:space="preserve"> </v>
      </c>
      <c r="C88" s="431" t="str">
        <f>IF(C$6=0," ",C$6)</f>
        <v xml:space="preserve"> </v>
      </c>
      <c r="D88" s="431" t="str">
        <f>IF(D$6=0," ",D$6)</f>
        <v xml:space="preserve"> </v>
      </c>
      <c r="E88" s="431" t="str">
        <f>IF(E$6=0," ",E$6)</f>
        <v xml:space="preserve"> </v>
      </c>
      <c r="F88" s="431" t="str">
        <f>IF(F$6=0," ",F$6)</f>
        <v xml:space="preserve"> </v>
      </c>
      <c r="G88" s="430" t="str">
        <f t="shared" ref="G88:V88" si="21">B318</f>
        <v xml:space="preserve">  2025</v>
      </c>
      <c r="H88" s="429" t="str">
        <f t="shared" si="21"/>
        <v xml:space="preserve">  2026</v>
      </c>
      <c r="I88" s="429" t="str">
        <f t="shared" si="21"/>
        <v xml:space="preserve">  2027</v>
      </c>
      <c r="J88" s="429" t="str">
        <f t="shared" si="21"/>
        <v xml:space="preserve">  2028</v>
      </c>
      <c r="K88" s="429" t="str">
        <f t="shared" si="21"/>
        <v xml:space="preserve">  2029</v>
      </c>
      <c r="L88" s="429" t="str">
        <f t="shared" si="21"/>
        <v xml:space="preserve">  2030</v>
      </c>
      <c r="M88" s="429" t="str">
        <f t="shared" si="21"/>
        <v xml:space="preserve">  2031</v>
      </c>
      <c r="N88" s="429" t="str">
        <f t="shared" si="21"/>
        <v xml:space="preserve">  2032</v>
      </c>
      <c r="O88" s="429" t="str">
        <f t="shared" si="21"/>
        <v xml:space="preserve">  2033</v>
      </c>
      <c r="P88" s="429" t="str">
        <f t="shared" si="21"/>
        <v xml:space="preserve">  2034</v>
      </c>
      <c r="Q88" s="429" t="str">
        <f t="shared" si="21"/>
        <v xml:space="preserve">  2035</v>
      </c>
      <c r="R88" s="429" t="str">
        <f t="shared" si="21"/>
        <v xml:space="preserve">  2036</v>
      </c>
      <c r="S88" s="429" t="str">
        <f t="shared" si="21"/>
        <v xml:space="preserve">  2037</v>
      </c>
      <c r="T88" s="429" t="str">
        <f t="shared" si="21"/>
        <v xml:space="preserve">  2038</v>
      </c>
      <c r="U88" s="429" t="str">
        <f t="shared" si="21"/>
        <v xml:space="preserve">  2039</v>
      </c>
      <c r="V88" s="428" t="str">
        <f t="shared" si="21"/>
        <v xml:space="preserve">  2040</v>
      </c>
    </row>
    <row r="89" spans="1:28" ht="33.9" customHeight="1" thickTop="1">
      <c r="A89" s="466"/>
      <c r="B89" s="463"/>
      <c r="C89" s="463"/>
      <c r="D89" s="463"/>
      <c r="E89" s="463"/>
      <c r="F89" s="464"/>
      <c r="G89" s="465"/>
      <c r="H89" s="463"/>
      <c r="I89" s="463"/>
      <c r="J89" s="463"/>
      <c r="K89" s="463"/>
      <c r="L89" s="463"/>
      <c r="M89" s="463"/>
      <c r="N89" s="463"/>
      <c r="O89" s="463"/>
      <c r="P89" s="463"/>
      <c r="Q89" s="464"/>
      <c r="R89" s="463"/>
      <c r="S89" s="463"/>
      <c r="T89" s="463"/>
      <c r="U89" s="463"/>
      <c r="V89" s="462"/>
    </row>
    <row r="90" spans="1:28" ht="33.9" customHeight="1">
      <c r="A90" s="385" t="s">
        <v>236</v>
      </c>
      <c r="B90" s="457"/>
      <c r="C90" s="457"/>
      <c r="D90" s="457"/>
      <c r="E90" s="457"/>
      <c r="F90" s="457"/>
      <c r="G90" s="332">
        <f>ROUND((G20-G16-G15)*Assumptions!F296/365,0)</f>
        <v>529</v>
      </c>
      <c r="H90" s="416">
        <f>ROUND((H20-H16-H15)*Assumptions!F296/365,0)</f>
        <v>627</v>
      </c>
      <c r="I90" s="416">
        <f>ROUND((I20-I16-I15)*Assumptions!G296/365,0)</f>
        <v>687</v>
      </c>
      <c r="J90" s="416">
        <f>ROUND((J20-J16-J15)*Assumptions!H296/365,0)</f>
        <v>761</v>
      </c>
      <c r="K90" s="416">
        <f>ROUND((K20-K16-K15)*Assumptions!I296/365,0)</f>
        <v>848</v>
      </c>
      <c r="L90" s="416">
        <f>ROUND((L20-L16-L15)*Assumptions!J296/365,0)</f>
        <v>958</v>
      </c>
      <c r="M90" s="416">
        <f>ROUND((M20-M16-M15)*Assumptions!J296/365,0)</f>
        <v>958</v>
      </c>
      <c r="N90" s="416">
        <f>ROUND((N20-N16-N15)*Assumptions!J296/365,0)</f>
        <v>958</v>
      </c>
      <c r="O90" s="416">
        <f>ROUND((O20-O16-O15)*Assumptions!J296/365,0)</f>
        <v>958</v>
      </c>
      <c r="P90" s="416">
        <f>ROUND((P20-P16-P15)*Assumptions!J296/365,0)</f>
        <v>958</v>
      </c>
      <c r="Q90" s="416">
        <f>ROUND((Q20-Q16-Q15)*Assumptions!J296/365,0)</f>
        <v>958</v>
      </c>
      <c r="R90" s="416">
        <f>ROUND((R20-R16-R15)*Assumptions!J296/365,0)</f>
        <v>958</v>
      </c>
      <c r="S90" s="416">
        <f>ROUND((S20-S16-S15)*Assumptions!J296/365,0)</f>
        <v>958</v>
      </c>
      <c r="T90" s="416">
        <f>ROUND((T20-T16-T15)*Assumptions!J296/365,0)</f>
        <v>958</v>
      </c>
      <c r="U90" s="416">
        <f>ROUND((U20-U16-U15)*Assumptions!J296/365,0)</f>
        <v>958</v>
      </c>
      <c r="V90" s="415">
        <f>ROUND((V20-V16-V15)*Assumptions!J296/365,0)</f>
        <v>958</v>
      </c>
    </row>
    <row r="91" spans="1:28" ht="33.9" customHeight="1">
      <c r="A91" s="385" t="s">
        <v>162</v>
      </c>
      <c r="B91" s="457"/>
      <c r="C91" s="457"/>
      <c r="D91" s="457"/>
      <c r="E91" s="457"/>
      <c r="F91" s="457"/>
      <c r="G91" s="332">
        <f t="shared" ref="G91:V91" si="22">ROUND(F91+G135-G151,0)</f>
        <v>0</v>
      </c>
      <c r="H91" s="416">
        <f t="shared" si="22"/>
        <v>0</v>
      </c>
      <c r="I91" s="416">
        <f t="shared" si="22"/>
        <v>0</v>
      </c>
      <c r="J91" s="416">
        <f t="shared" si="22"/>
        <v>0</v>
      </c>
      <c r="K91" s="416">
        <f t="shared" si="22"/>
        <v>0</v>
      </c>
      <c r="L91" s="416">
        <f t="shared" si="22"/>
        <v>0</v>
      </c>
      <c r="M91" s="416">
        <f t="shared" si="22"/>
        <v>0</v>
      </c>
      <c r="N91" s="416">
        <f t="shared" si="22"/>
        <v>0</v>
      </c>
      <c r="O91" s="416">
        <f t="shared" si="22"/>
        <v>0</v>
      </c>
      <c r="P91" s="416">
        <f t="shared" si="22"/>
        <v>0</v>
      </c>
      <c r="Q91" s="416">
        <f t="shared" si="22"/>
        <v>0</v>
      </c>
      <c r="R91" s="416">
        <f t="shared" si="22"/>
        <v>0</v>
      </c>
      <c r="S91" s="416">
        <f t="shared" si="22"/>
        <v>0</v>
      </c>
      <c r="T91" s="416">
        <f t="shared" si="22"/>
        <v>0</v>
      </c>
      <c r="U91" s="416">
        <f t="shared" si="22"/>
        <v>0</v>
      </c>
      <c r="V91" s="415">
        <f t="shared" si="22"/>
        <v>0</v>
      </c>
    </row>
    <row r="92" spans="1:28" ht="33.9" customHeight="1">
      <c r="A92" s="385" t="s">
        <v>3</v>
      </c>
      <c r="B92" s="457"/>
      <c r="C92" s="457"/>
      <c r="D92" s="457"/>
      <c r="E92" s="457"/>
      <c r="F92" s="457"/>
      <c r="G92" s="445"/>
      <c r="H92" s="444"/>
      <c r="I92" s="444"/>
      <c r="J92" s="444"/>
      <c r="K92" s="444"/>
      <c r="L92" s="444"/>
      <c r="M92" s="444"/>
      <c r="N92" s="444"/>
      <c r="O92" s="444"/>
      <c r="P92" s="444"/>
      <c r="Q92" s="444"/>
      <c r="R92" s="444"/>
      <c r="S92" s="444"/>
      <c r="T92" s="444"/>
      <c r="U92" s="444"/>
      <c r="V92" s="443"/>
    </row>
    <row r="93" spans="1:28" ht="33.9" customHeight="1">
      <c r="A93" s="385" t="s">
        <v>282</v>
      </c>
      <c r="B93" s="457"/>
      <c r="C93" s="457"/>
      <c r="D93" s="457"/>
      <c r="E93" s="457"/>
      <c r="F93" s="457"/>
      <c r="G93" s="332">
        <f>Assumptions!D307</f>
        <v>0</v>
      </c>
      <c r="H93" s="416">
        <f>Assumptions!D308</f>
        <v>0</v>
      </c>
      <c r="I93" s="416">
        <f>Assumptions!D309</f>
        <v>600</v>
      </c>
      <c r="J93" s="416">
        <f>Assumptions!D310</f>
        <v>800</v>
      </c>
      <c r="K93" s="416">
        <f t="shared" ref="K93:V93" si="23">L147</f>
        <v>1000</v>
      </c>
      <c r="L93" s="416">
        <f t="shared" si="23"/>
        <v>1200</v>
      </c>
      <c r="M93" s="416">
        <f t="shared" si="23"/>
        <v>1400</v>
      </c>
      <c r="N93" s="416">
        <f t="shared" si="23"/>
        <v>0</v>
      </c>
      <c r="O93" s="416">
        <f t="shared" si="23"/>
        <v>0</v>
      </c>
      <c r="P93" s="416">
        <f t="shared" si="23"/>
        <v>0</v>
      </c>
      <c r="Q93" s="416">
        <f t="shared" si="23"/>
        <v>0</v>
      </c>
      <c r="R93" s="416">
        <f t="shared" si="23"/>
        <v>0</v>
      </c>
      <c r="S93" s="416">
        <f t="shared" si="23"/>
        <v>0</v>
      </c>
      <c r="T93" s="416">
        <f t="shared" si="23"/>
        <v>0</v>
      </c>
      <c r="U93" s="416">
        <f t="shared" si="23"/>
        <v>0</v>
      </c>
      <c r="V93" s="415">
        <f t="shared" si="23"/>
        <v>0</v>
      </c>
    </row>
    <row r="94" spans="1:28" ht="33.9" customHeight="1">
      <c r="A94" s="385" t="s">
        <v>283</v>
      </c>
      <c r="B94" s="457"/>
      <c r="C94" s="457"/>
      <c r="D94" s="457"/>
      <c r="E94" s="457"/>
      <c r="F94" s="457"/>
      <c r="G94" s="332">
        <f>Assumptions!E307</f>
        <v>0</v>
      </c>
      <c r="H94" s="416">
        <f>Assumptions!E308</f>
        <v>0</v>
      </c>
      <c r="I94" s="416">
        <f>Assumptions!E309</f>
        <v>0</v>
      </c>
      <c r="J94" s="416">
        <f>Assumptions!E310</f>
        <v>0</v>
      </c>
      <c r="K94" s="416">
        <f>Assumptions!E311</f>
        <v>0</v>
      </c>
      <c r="L94" s="416">
        <f>Assumptions!E312</f>
        <v>0</v>
      </c>
      <c r="M94" s="416">
        <f>Assumptions!E313</f>
        <v>0</v>
      </c>
      <c r="N94" s="416">
        <f>Assumptions!E314</f>
        <v>0</v>
      </c>
      <c r="O94" s="416">
        <f>Assumptions!E315</f>
        <v>0</v>
      </c>
      <c r="P94" s="416">
        <f>Assumptions!E316</f>
        <v>0</v>
      </c>
      <c r="Q94" s="416">
        <f>Assumptions!H306</f>
        <v>0</v>
      </c>
      <c r="R94" s="416">
        <f>Assumptions!H307</f>
        <v>0</v>
      </c>
      <c r="S94" s="416">
        <f>Assumptions!H308</f>
        <v>0</v>
      </c>
      <c r="T94" s="416">
        <f>Assumptions!H309</f>
        <v>0</v>
      </c>
      <c r="U94" s="416">
        <f>Assumptions!H310</f>
        <v>0</v>
      </c>
      <c r="V94" s="415">
        <v>0</v>
      </c>
    </row>
    <row r="95" spans="1:28" ht="33.9" customHeight="1">
      <c r="A95" s="385" t="str">
        <f>"               - "&amp;A104</f>
        <v xml:space="preserve">               - </v>
      </c>
      <c r="B95" s="457"/>
      <c r="C95" s="457"/>
      <c r="D95" s="457"/>
      <c r="E95" s="457"/>
      <c r="F95" s="457"/>
      <c r="G95" s="332">
        <f t="shared" ref="G95:U95" si="24">H149</f>
        <v>0</v>
      </c>
      <c r="H95" s="416">
        <f t="shared" si="24"/>
        <v>0</v>
      </c>
      <c r="I95" s="416">
        <f t="shared" si="24"/>
        <v>0</v>
      </c>
      <c r="J95" s="416">
        <f t="shared" si="24"/>
        <v>0</v>
      </c>
      <c r="K95" s="416">
        <f t="shared" si="24"/>
        <v>0</v>
      </c>
      <c r="L95" s="416">
        <f t="shared" si="24"/>
        <v>0</v>
      </c>
      <c r="M95" s="416">
        <f t="shared" si="24"/>
        <v>0</v>
      </c>
      <c r="N95" s="416">
        <f t="shared" si="24"/>
        <v>0</v>
      </c>
      <c r="O95" s="416">
        <f t="shared" si="24"/>
        <v>0</v>
      </c>
      <c r="P95" s="416">
        <f t="shared" si="24"/>
        <v>0</v>
      </c>
      <c r="Q95" s="416">
        <f t="shared" si="24"/>
        <v>0</v>
      </c>
      <c r="R95" s="416">
        <f t="shared" si="24"/>
        <v>0</v>
      </c>
      <c r="S95" s="416">
        <f t="shared" si="24"/>
        <v>0</v>
      </c>
      <c r="T95" s="416">
        <f t="shared" si="24"/>
        <v>0</v>
      </c>
      <c r="U95" s="416">
        <f t="shared" si="24"/>
        <v>0</v>
      </c>
      <c r="V95" s="415">
        <v>0</v>
      </c>
    </row>
    <row r="96" spans="1:28" ht="33.9" customHeight="1">
      <c r="A96" s="458"/>
      <c r="B96" s="457"/>
      <c r="C96" s="457"/>
      <c r="D96" s="457"/>
      <c r="E96" s="457"/>
      <c r="F96" s="457"/>
      <c r="G96" s="445"/>
      <c r="H96" s="445"/>
      <c r="I96" s="445"/>
      <c r="J96" s="445"/>
      <c r="K96" s="445"/>
      <c r="L96" s="445"/>
      <c r="M96" s="445"/>
      <c r="N96" s="445"/>
      <c r="O96" s="445"/>
      <c r="P96" s="445"/>
      <c r="Q96" s="445"/>
      <c r="R96" s="445"/>
      <c r="S96" s="445"/>
      <c r="T96" s="445"/>
      <c r="U96" s="445"/>
      <c r="V96" s="445"/>
    </row>
    <row r="97" spans="1:22" ht="33.9" customHeight="1">
      <c r="A97" s="458"/>
      <c r="B97" s="457"/>
      <c r="C97" s="457"/>
      <c r="D97" s="457"/>
      <c r="E97" s="457"/>
      <c r="F97" s="457"/>
      <c r="G97" s="445"/>
      <c r="H97" s="445"/>
      <c r="I97" s="445"/>
      <c r="J97" s="445"/>
      <c r="K97" s="445"/>
      <c r="L97" s="445"/>
      <c r="M97" s="445"/>
      <c r="N97" s="445"/>
      <c r="O97" s="445"/>
      <c r="P97" s="445"/>
      <c r="Q97" s="445"/>
      <c r="R97" s="445"/>
      <c r="S97" s="445"/>
      <c r="T97" s="445"/>
      <c r="U97" s="445"/>
      <c r="V97" s="445"/>
    </row>
    <row r="98" spans="1:22" ht="33.9" customHeight="1">
      <c r="A98" s="385"/>
      <c r="B98" s="416"/>
      <c r="C98" s="416"/>
      <c r="D98" s="416"/>
      <c r="E98" s="416"/>
      <c r="F98" s="416"/>
      <c r="G98" s="332" t="s">
        <v>70</v>
      </c>
      <c r="H98" s="416" t="s">
        <v>70</v>
      </c>
      <c r="I98" s="416" t="s">
        <v>70</v>
      </c>
      <c r="J98" s="416" t="s">
        <v>70</v>
      </c>
      <c r="K98" s="416" t="s">
        <v>70</v>
      </c>
      <c r="L98" s="416" t="s">
        <v>70</v>
      </c>
      <c r="M98" s="416" t="s">
        <v>70</v>
      </c>
      <c r="N98" s="416" t="s">
        <v>70</v>
      </c>
      <c r="O98" s="416" t="s">
        <v>70</v>
      </c>
      <c r="P98" s="416" t="s">
        <v>70</v>
      </c>
      <c r="Q98" s="416" t="s">
        <v>70</v>
      </c>
      <c r="R98" s="416" t="s">
        <v>70</v>
      </c>
      <c r="S98" s="416" t="s">
        <v>70</v>
      </c>
      <c r="T98" s="416" t="s">
        <v>70</v>
      </c>
      <c r="U98" s="416" t="s">
        <v>70</v>
      </c>
      <c r="V98" s="415" t="s">
        <v>70</v>
      </c>
    </row>
    <row r="99" spans="1:22" ht="33.9" customHeight="1">
      <c r="A99" s="533" t="s">
        <v>239</v>
      </c>
      <c r="B99" s="526">
        <f t="shared" ref="B99:P99" si="25">ROUND(SUM(B90:B97),0)</f>
        <v>0</v>
      </c>
      <c r="C99" s="526">
        <f t="shared" si="25"/>
        <v>0</v>
      </c>
      <c r="D99" s="526">
        <f t="shared" si="25"/>
        <v>0</v>
      </c>
      <c r="E99" s="526">
        <f t="shared" si="25"/>
        <v>0</v>
      </c>
      <c r="F99" s="526">
        <f t="shared" si="25"/>
        <v>0</v>
      </c>
      <c r="G99" s="527">
        <f t="shared" si="25"/>
        <v>529</v>
      </c>
      <c r="H99" s="526">
        <f t="shared" si="25"/>
        <v>627</v>
      </c>
      <c r="I99" s="526">
        <f t="shared" si="25"/>
        <v>1287</v>
      </c>
      <c r="J99" s="526">
        <f t="shared" si="25"/>
        <v>1561</v>
      </c>
      <c r="K99" s="526">
        <f t="shared" si="25"/>
        <v>1848</v>
      </c>
      <c r="L99" s="526">
        <f t="shared" si="25"/>
        <v>2158</v>
      </c>
      <c r="M99" s="526">
        <f t="shared" si="25"/>
        <v>2358</v>
      </c>
      <c r="N99" s="526">
        <f t="shared" si="25"/>
        <v>958</v>
      </c>
      <c r="O99" s="526">
        <f t="shared" si="25"/>
        <v>958</v>
      </c>
      <c r="P99" s="526">
        <f t="shared" si="25"/>
        <v>958</v>
      </c>
      <c r="Q99" s="526">
        <f>SUM(Q90:Q97)</f>
        <v>958</v>
      </c>
      <c r="R99" s="526">
        <f>ROUND(SUM(R90:R97),0)</f>
        <v>958</v>
      </c>
      <c r="S99" s="526">
        <f>ROUND(SUM(S90:S97),0)</f>
        <v>958</v>
      </c>
      <c r="T99" s="526">
        <f>ROUND(SUM(T90:T97),0)</f>
        <v>958</v>
      </c>
      <c r="U99" s="526">
        <f>ROUND(SUM(U90:U97),0)</f>
        <v>958</v>
      </c>
      <c r="V99" s="528">
        <f>SUM(V90:V97)</f>
        <v>958</v>
      </c>
    </row>
    <row r="100" spans="1:22" ht="33.9" customHeight="1">
      <c r="A100" s="529"/>
      <c r="B100" s="530"/>
      <c r="C100" s="530"/>
      <c r="D100" s="530"/>
      <c r="E100" s="530"/>
      <c r="F100" s="530"/>
      <c r="G100" s="531"/>
      <c r="H100" s="530"/>
      <c r="I100" s="530"/>
      <c r="J100" s="530"/>
      <c r="K100" s="530"/>
      <c r="L100" s="530"/>
      <c r="M100" s="530"/>
      <c r="N100" s="530"/>
      <c r="O100" s="530"/>
      <c r="P100" s="530"/>
      <c r="Q100" s="530"/>
      <c r="R100" s="530"/>
      <c r="S100" s="530"/>
      <c r="T100" s="530"/>
      <c r="U100" s="530"/>
      <c r="V100" s="532"/>
    </row>
    <row r="101" spans="1:22" ht="33.9" customHeight="1">
      <c r="A101" s="389" t="s">
        <v>284</v>
      </c>
      <c r="B101" s="416"/>
      <c r="C101" s="416"/>
      <c r="D101" s="416"/>
      <c r="E101" s="416"/>
      <c r="F101" s="416"/>
      <c r="G101" s="332"/>
      <c r="H101" s="416"/>
      <c r="I101" s="416"/>
      <c r="J101" s="416"/>
      <c r="K101" s="416"/>
      <c r="L101" s="416"/>
      <c r="M101" s="416"/>
      <c r="N101" s="416"/>
      <c r="O101" s="416"/>
      <c r="P101" s="416"/>
      <c r="Q101" s="416"/>
      <c r="R101" s="416"/>
      <c r="S101" s="416"/>
      <c r="T101" s="416"/>
      <c r="U101" s="416"/>
      <c r="V101" s="415"/>
    </row>
    <row r="102" spans="1:22" ht="33.9" customHeight="1">
      <c r="A102" s="385" t="s">
        <v>182</v>
      </c>
      <c r="B102" s="457"/>
      <c r="C102" s="457"/>
      <c r="D102" s="457"/>
      <c r="E102" s="457"/>
      <c r="F102" s="457"/>
      <c r="G102" s="332">
        <f t="shared" ref="G102:V102" si="26">ROUND(F102+G131-G93,0)</f>
        <v>5000</v>
      </c>
      <c r="H102" s="416">
        <f t="shared" ref="H102:I104" si="27">ROUND(G102+H131-H93,0)</f>
        <v>5000</v>
      </c>
      <c r="I102" s="416">
        <f t="shared" si="27"/>
        <v>4400</v>
      </c>
      <c r="J102" s="416">
        <f t="shared" si="26"/>
        <v>3600</v>
      </c>
      <c r="K102" s="416">
        <f t="shared" si="26"/>
        <v>2600</v>
      </c>
      <c r="L102" s="416">
        <f t="shared" si="26"/>
        <v>1400</v>
      </c>
      <c r="M102" s="416">
        <f t="shared" si="26"/>
        <v>0</v>
      </c>
      <c r="N102" s="416">
        <f t="shared" si="26"/>
        <v>0</v>
      </c>
      <c r="O102" s="416">
        <f t="shared" si="26"/>
        <v>0</v>
      </c>
      <c r="P102" s="416">
        <f t="shared" si="26"/>
        <v>0</v>
      </c>
      <c r="Q102" s="416">
        <f t="shared" si="26"/>
        <v>0</v>
      </c>
      <c r="R102" s="416">
        <f t="shared" si="26"/>
        <v>0</v>
      </c>
      <c r="S102" s="416">
        <f t="shared" si="26"/>
        <v>0</v>
      </c>
      <c r="T102" s="416">
        <f t="shared" si="26"/>
        <v>0</v>
      </c>
      <c r="U102" s="416">
        <f t="shared" si="26"/>
        <v>0</v>
      </c>
      <c r="V102" s="415">
        <f t="shared" si="26"/>
        <v>0</v>
      </c>
    </row>
    <row r="103" spans="1:22" ht="33.9" customHeight="1">
      <c r="A103" s="385" t="s">
        <v>183</v>
      </c>
      <c r="B103" s="457"/>
      <c r="C103" s="457"/>
      <c r="D103" s="457"/>
      <c r="E103" s="457"/>
      <c r="F103" s="457"/>
      <c r="G103" s="332">
        <f t="shared" ref="G103:V103" si="28">ROUND(F103+G132-G94,0)</f>
        <v>0</v>
      </c>
      <c r="H103" s="416">
        <f t="shared" si="27"/>
        <v>0</v>
      </c>
      <c r="I103" s="416">
        <f t="shared" si="27"/>
        <v>0</v>
      </c>
      <c r="J103" s="416">
        <f t="shared" si="28"/>
        <v>0</v>
      </c>
      <c r="K103" s="416">
        <f t="shared" si="28"/>
        <v>0</v>
      </c>
      <c r="L103" s="416">
        <f t="shared" si="28"/>
        <v>0</v>
      </c>
      <c r="M103" s="416">
        <f t="shared" si="28"/>
        <v>0</v>
      </c>
      <c r="N103" s="416">
        <f t="shared" si="28"/>
        <v>0</v>
      </c>
      <c r="O103" s="416">
        <f t="shared" si="28"/>
        <v>0</v>
      </c>
      <c r="P103" s="416">
        <f t="shared" si="28"/>
        <v>0</v>
      </c>
      <c r="Q103" s="416">
        <f t="shared" si="28"/>
        <v>0</v>
      </c>
      <c r="R103" s="416">
        <f t="shared" si="28"/>
        <v>0</v>
      </c>
      <c r="S103" s="416">
        <f t="shared" si="28"/>
        <v>0</v>
      </c>
      <c r="T103" s="416">
        <f t="shared" si="28"/>
        <v>0</v>
      </c>
      <c r="U103" s="416">
        <f t="shared" si="28"/>
        <v>0</v>
      </c>
      <c r="V103" s="415">
        <f t="shared" si="28"/>
        <v>0</v>
      </c>
    </row>
    <row r="104" spans="1:22" ht="33.9" customHeight="1">
      <c r="A104" s="458"/>
      <c r="B104" s="457"/>
      <c r="C104" s="457"/>
      <c r="D104" s="457"/>
      <c r="E104" s="457"/>
      <c r="F104" s="457"/>
      <c r="G104" s="332">
        <f t="shared" ref="G104:V104" si="29">ROUND(F104+G133-G95,0)</f>
        <v>0</v>
      </c>
      <c r="H104" s="416">
        <f t="shared" si="27"/>
        <v>0</v>
      </c>
      <c r="I104" s="416">
        <f t="shared" si="27"/>
        <v>0</v>
      </c>
      <c r="J104" s="416">
        <f t="shared" si="29"/>
        <v>0</v>
      </c>
      <c r="K104" s="416">
        <f t="shared" si="29"/>
        <v>0</v>
      </c>
      <c r="L104" s="416">
        <f t="shared" si="29"/>
        <v>0</v>
      </c>
      <c r="M104" s="416">
        <f t="shared" si="29"/>
        <v>0</v>
      </c>
      <c r="N104" s="416">
        <f t="shared" si="29"/>
        <v>0</v>
      </c>
      <c r="O104" s="416">
        <f t="shared" si="29"/>
        <v>0</v>
      </c>
      <c r="P104" s="416">
        <f t="shared" si="29"/>
        <v>0</v>
      </c>
      <c r="Q104" s="416">
        <f t="shared" si="29"/>
        <v>0</v>
      </c>
      <c r="R104" s="416">
        <f t="shared" si="29"/>
        <v>0</v>
      </c>
      <c r="S104" s="416">
        <f t="shared" si="29"/>
        <v>0</v>
      </c>
      <c r="T104" s="416">
        <f t="shared" si="29"/>
        <v>0</v>
      </c>
      <c r="U104" s="416">
        <f t="shared" si="29"/>
        <v>0</v>
      </c>
      <c r="V104" s="415">
        <f t="shared" si="29"/>
        <v>0</v>
      </c>
    </row>
    <row r="105" spans="1:22" ht="33.9" customHeight="1">
      <c r="A105" s="385"/>
      <c r="B105" s="416"/>
      <c r="C105" s="416"/>
      <c r="D105" s="416"/>
      <c r="E105" s="416"/>
      <c r="F105" s="416"/>
      <c r="G105" s="332" t="s">
        <v>70</v>
      </c>
      <c r="H105" s="416" t="s">
        <v>70</v>
      </c>
      <c r="I105" s="416" t="s">
        <v>70</v>
      </c>
      <c r="J105" s="416" t="s">
        <v>70</v>
      </c>
      <c r="K105" s="416" t="s">
        <v>70</v>
      </c>
      <c r="L105" s="416" t="s">
        <v>70</v>
      </c>
      <c r="M105" s="416" t="s">
        <v>70</v>
      </c>
      <c r="N105" s="416" t="s">
        <v>70</v>
      </c>
      <c r="O105" s="416" t="s">
        <v>70</v>
      </c>
      <c r="P105" s="416" t="s">
        <v>70</v>
      </c>
      <c r="Q105" s="416" t="s">
        <v>70</v>
      </c>
      <c r="R105" s="416" t="s">
        <v>70</v>
      </c>
      <c r="S105" s="416" t="s">
        <v>70</v>
      </c>
      <c r="T105" s="416" t="s">
        <v>70</v>
      </c>
      <c r="U105" s="416" t="s">
        <v>70</v>
      </c>
      <c r="V105" s="415" t="s">
        <v>70</v>
      </c>
    </row>
    <row r="106" spans="1:22" ht="33.9" customHeight="1">
      <c r="A106" s="533" t="s">
        <v>240</v>
      </c>
      <c r="B106" s="526">
        <f>SUM(B102:B104)</f>
        <v>0</v>
      </c>
      <c r="C106" s="526">
        <f>SUM(C102:C104)</f>
        <v>0</v>
      </c>
      <c r="D106" s="526">
        <f>SUM(D102:D104)</f>
        <v>0</v>
      </c>
      <c r="E106" s="526">
        <f>SUM(E102:E104)</f>
        <v>0</v>
      </c>
      <c r="F106" s="526">
        <f>ROUND(SUM(F102:F104),0)</f>
        <v>0</v>
      </c>
      <c r="G106" s="527">
        <f t="shared" ref="G106:V106" si="30">SUM(G102:G104)</f>
        <v>5000</v>
      </c>
      <c r="H106" s="526">
        <f t="shared" si="30"/>
        <v>5000</v>
      </c>
      <c r="I106" s="526">
        <f t="shared" si="30"/>
        <v>4400</v>
      </c>
      <c r="J106" s="526">
        <f t="shared" si="30"/>
        <v>3600</v>
      </c>
      <c r="K106" s="526">
        <f t="shared" si="30"/>
        <v>2600</v>
      </c>
      <c r="L106" s="526">
        <f t="shared" si="30"/>
        <v>1400</v>
      </c>
      <c r="M106" s="526">
        <f t="shared" si="30"/>
        <v>0</v>
      </c>
      <c r="N106" s="526">
        <f t="shared" si="30"/>
        <v>0</v>
      </c>
      <c r="O106" s="526">
        <f t="shared" si="30"/>
        <v>0</v>
      </c>
      <c r="P106" s="526">
        <f t="shared" si="30"/>
        <v>0</v>
      </c>
      <c r="Q106" s="526">
        <f t="shared" si="30"/>
        <v>0</v>
      </c>
      <c r="R106" s="526">
        <f t="shared" si="30"/>
        <v>0</v>
      </c>
      <c r="S106" s="526">
        <f t="shared" si="30"/>
        <v>0</v>
      </c>
      <c r="T106" s="526">
        <f t="shared" si="30"/>
        <v>0</v>
      </c>
      <c r="U106" s="526">
        <f t="shared" si="30"/>
        <v>0</v>
      </c>
      <c r="V106" s="528">
        <f t="shared" si="30"/>
        <v>0</v>
      </c>
    </row>
    <row r="107" spans="1:22" ht="33.9" customHeight="1">
      <c r="A107" s="529"/>
      <c r="B107" s="530"/>
      <c r="C107" s="530"/>
      <c r="D107" s="530"/>
      <c r="E107" s="530"/>
      <c r="F107" s="530"/>
      <c r="G107" s="531"/>
      <c r="H107" s="530"/>
      <c r="I107" s="530"/>
      <c r="J107" s="530"/>
      <c r="K107" s="530"/>
      <c r="L107" s="530"/>
      <c r="M107" s="530"/>
      <c r="N107" s="530"/>
      <c r="O107" s="530"/>
      <c r="P107" s="530"/>
      <c r="Q107" s="530"/>
      <c r="R107" s="530"/>
      <c r="S107" s="530"/>
      <c r="T107" s="530"/>
      <c r="U107" s="530"/>
      <c r="V107" s="532"/>
    </row>
    <row r="108" spans="1:22" ht="33.9" customHeight="1">
      <c r="A108" s="458" t="s">
        <v>533</v>
      </c>
      <c r="B108" s="457"/>
      <c r="C108" s="457"/>
      <c r="D108" s="457"/>
      <c r="E108" s="457"/>
      <c r="F108" s="457"/>
      <c r="G108" s="445"/>
      <c r="H108" s="445"/>
      <c r="I108" s="445"/>
      <c r="J108" s="445"/>
      <c r="K108" s="445"/>
      <c r="L108" s="445"/>
      <c r="M108" s="445"/>
      <c r="N108" s="445"/>
      <c r="O108" s="445"/>
      <c r="P108" s="445"/>
      <c r="Q108" s="445"/>
      <c r="R108" s="445"/>
      <c r="S108" s="445"/>
      <c r="T108" s="445"/>
      <c r="U108" s="445"/>
      <c r="V108" s="445"/>
    </row>
    <row r="109" spans="1:22" ht="33.9" customHeight="1">
      <c r="A109" s="385"/>
      <c r="B109" s="416"/>
      <c r="C109" s="416"/>
      <c r="D109" s="416"/>
      <c r="E109" s="416"/>
      <c r="F109" s="416"/>
      <c r="G109" s="332" t="s">
        <v>70</v>
      </c>
      <c r="H109" s="416" t="s">
        <v>70</v>
      </c>
      <c r="I109" s="416" t="s">
        <v>70</v>
      </c>
      <c r="J109" s="416" t="s">
        <v>70</v>
      </c>
      <c r="K109" s="416" t="s">
        <v>70</v>
      </c>
      <c r="L109" s="416" t="s">
        <v>70</v>
      </c>
      <c r="M109" s="416" t="s">
        <v>70</v>
      </c>
      <c r="N109" s="416" t="s">
        <v>70</v>
      </c>
      <c r="O109" s="416" t="s">
        <v>70</v>
      </c>
      <c r="P109" s="416" t="s">
        <v>70</v>
      </c>
      <c r="Q109" s="416" t="s">
        <v>70</v>
      </c>
      <c r="R109" s="416" t="s">
        <v>70</v>
      </c>
      <c r="S109" s="416" t="s">
        <v>70</v>
      </c>
      <c r="T109" s="416" t="s">
        <v>70</v>
      </c>
      <c r="U109" s="416" t="s">
        <v>70</v>
      </c>
      <c r="V109" s="415" t="s">
        <v>70</v>
      </c>
    </row>
    <row r="110" spans="1:22" ht="33.9" customHeight="1">
      <c r="A110" s="533" t="s">
        <v>242</v>
      </c>
      <c r="B110" s="526">
        <f t="shared" ref="B110:V110" si="31">ROUND(B99+B106+B108,0)</f>
        <v>0</v>
      </c>
      <c r="C110" s="526">
        <f t="shared" si="31"/>
        <v>0</v>
      </c>
      <c r="D110" s="526">
        <f t="shared" si="31"/>
        <v>0</v>
      </c>
      <c r="E110" s="526">
        <f t="shared" si="31"/>
        <v>0</v>
      </c>
      <c r="F110" s="526">
        <f t="shared" si="31"/>
        <v>0</v>
      </c>
      <c r="G110" s="527">
        <f t="shared" si="31"/>
        <v>5529</v>
      </c>
      <c r="H110" s="526">
        <f t="shared" si="31"/>
        <v>5627</v>
      </c>
      <c r="I110" s="526">
        <f t="shared" si="31"/>
        <v>5687</v>
      </c>
      <c r="J110" s="526">
        <f t="shared" si="31"/>
        <v>5161</v>
      </c>
      <c r="K110" s="526">
        <f t="shared" si="31"/>
        <v>4448</v>
      </c>
      <c r="L110" s="526">
        <f t="shared" si="31"/>
        <v>3558</v>
      </c>
      <c r="M110" s="526">
        <f t="shared" si="31"/>
        <v>2358</v>
      </c>
      <c r="N110" s="526">
        <f t="shared" si="31"/>
        <v>958</v>
      </c>
      <c r="O110" s="526">
        <f t="shared" si="31"/>
        <v>958</v>
      </c>
      <c r="P110" s="526">
        <f t="shared" si="31"/>
        <v>958</v>
      </c>
      <c r="Q110" s="526">
        <f t="shared" si="31"/>
        <v>958</v>
      </c>
      <c r="R110" s="526">
        <f t="shared" si="31"/>
        <v>958</v>
      </c>
      <c r="S110" s="526">
        <f t="shared" si="31"/>
        <v>958</v>
      </c>
      <c r="T110" s="526">
        <f t="shared" si="31"/>
        <v>958</v>
      </c>
      <c r="U110" s="526">
        <f t="shared" si="31"/>
        <v>958</v>
      </c>
      <c r="V110" s="528">
        <f t="shared" si="31"/>
        <v>958</v>
      </c>
    </row>
    <row r="111" spans="1:22" ht="33.9" customHeight="1">
      <c r="A111" s="529"/>
      <c r="B111" s="530"/>
      <c r="C111" s="530"/>
      <c r="D111" s="530"/>
      <c r="E111" s="530"/>
      <c r="F111" s="530"/>
      <c r="G111" s="531"/>
      <c r="H111" s="530"/>
      <c r="I111" s="530"/>
      <c r="J111" s="530"/>
      <c r="K111" s="530"/>
      <c r="L111" s="530"/>
      <c r="M111" s="530"/>
      <c r="N111" s="530"/>
      <c r="O111" s="530"/>
      <c r="P111" s="530"/>
      <c r="Q111" s="530"/>
      <c r="R111" s="530"/>
      <c r="S111" s="530"/>
      <c r="T111" s="530"/>
      <c r="U111" s="530"/>
      <c r="V111" s="532"/>
    </row>
    <row r="112" spans="1:22" ht="33.9" customHeight="1">
      <c r="A112" s="385" t="s">
        <v>243</v>
      </c>
      <c r="B112" s="457"/>
      <c r="C112" s="457"/>
      <c r="D112" s="457"/>
      <c r="E112" s="457"/>
      <c r="F112" s="457"/>
      <c r="G112" s="332">
        <f t="shared" ref="G112:V112" si="32">ROUND(G130+F112,0)</f>
        <v>3400</v>
      </c>
      <c r="H112" s="416">
        <f>ROUND(H130+G112,0)</f>
        <v>3400</v>
      </c>
      <c r="I112" s="416">
        <f>ROUND(I130+H112,0)</f>
        <v>3400</v>
      </c>
      <c r="J112" s="416">
        <f t="shared" si="32"/>
        <v>3400</v>
      </c>
      <c r="K112" s="416">
        <f t="shared" si="32"/>
        <v>3400</v>
      </c>
      <c r="L112" s="416">
        <f t="shared" si="32"/>
        <v>3400</v>
      </c>
      <c r="M112" s="416">
        <f t="shared" si="32"/>
        <v>3400</v>
      </c>
      <c r="N112" s="416">
        <f t="shared" si="32"/>
        <v>3400</v>
      </c>
      <c r="O112" s="416">
        <f t="shared" si="32"/>
        <v>3400</v>
      </c>
      <c r="P112" s="416">
        <f t="shared" si="32"/>
        <v>3400</v>
      </c>
      <c r="Q112" s="416">
        <f t="shared" si="32"/>
        <v>3400</v>
      </c>
      <c r="R112" s="416">
        <f t="shared" si="32"/>
        <v>3400</v>
      </c>
      <c r="S112" s="416">
        <f t="shared" si="32"/>
        <v>3400</v>
      </c>
      <c r="T112" s="416">
        <f t="shared" si="32"/>
        <v>3400</v>
      </c>
      <c r="U112" s="416">
        <f t="shared" si="32"/>
        <v>3400</v>
      </c>
      <c r="V112" s="415">
        <f t="shared" si="32"/>
        <v>3400</v>
      </c>
    </row>
    <row r="113" spans="1:22" ht="33.9" customHeight="1">
      <c r="A113" s="385" t="s">
        <v>244</v>
      </c>
      <c r="B113" s="457"/>
      <c r="C113" s="457"/>
      <c r="D113" s="457"/>
      <c r="E113" s="457"/>
      <c r="F113" s="457"/>
      <c r="G113" s="332">
        <f>ROUND(F113+G134-G150,0)</f>
        <v>0</v>
      </c>
      <c r="H113" s="416">
        <f t="shared" ref="H113:V113" si="33">ROUND(G113+H134-H150,0)</f>
        <v>0</v>
      </c>
      <c r="I113" s="416">
        <f t="shared" si="33"/>
        <v>0</v>
      </c>
      <c r="J113" s="416">
        <f t="shared" si="33"/>
        <v>0</v>
      </c>
      <c r="K113" s="416">
        <f t="shared" si="33"/>
        <v>0</v>
      </c>
      <c r="L113" s="416">
        <f t="shared" si="33"/>
        <v>0</v>
      </c>
      <c r="M113" s="416">
        <f t="shared" si="33"/>
        <v>0</v>
      </c>
      <c r="N113" s="416">
        <f t="shared" si="33"/>
        <v>0</v>
      </c>
      <c r="O113" s="416">
        <f t="shared" si="33"/>
        <v>0</v>
      </c>
      <c r="P113" s="416">
        <f t="shared" si="33"/>
        <v>0</v>
      </c>
      <c r="Q113" s="416">
        <f t="shared" si="33"/>
        <v>0</v>
      </c>
      <c r="R113" s="416">
        <f t="shared" si="33"/>
        <v>0</v>
      </c>
      <c r="S113" s="416">
        <f t="shared" si="33"/>
        <v>0</v>
      </c>
      <c r="T113" s="416">
        <f t="shared" si="33"/>
        <v>0</v>
      </c>
      <c r="U113" s="416">
        <f t="shared" si="33"/>
        <v>0</v>
      </c>
      <c r="V113" s="415">
        <f t="shared" si="33"/>
        <v>0</v>
      </c>
    </row>
    <row r="114" spans="1:22" ht="33.9" customHeight="1">
      <c r="A114" s="385" t="s">
        <v>245</v>
      </c>
      <c r="B114" s="457"/>
      <c r="C114" s="457"/>
      <c r="D114" s="457"/>
      <c r="E114" s="457"/>
      <c r="F114" s="457"/>
      <c r="G114" s="332">
        <f>ROUND(F114+G39,0)</f>
        <v>4489</v>
      </c>
      <c r="H114" s="416">
        <f t="shared" ref="H114:V114" si="34">G114+H39</f>
        <v>5939.8</v>
      </c>
      <c r="I114" s="416">
        <f t="shared" si="34"/>
        <v>8026.9</v>
      </c>
      <c r="J114" s="416">
        <f t="shared" si="34"/>
        <v>10489.3</v>
      </c>
      <c r="K114" s="416">
        <f t="shared" si="34"/>
        <v>13372.9</v>
      </c>
      <c r="L114" s="416">
        <f t="shared" si="34"/>
        <v>17259.8</v>
      </c>
      <c r="M114" s="416">
        <f t="shared" si="34"/>
        <v>16430.8</v>
      </c>
      <c r="N114" s="416">
        <f t="shared" si="34"/>
        <v>15601.8</v>
      </c>
      <c r="O114" s="416">
        <f t="shared" si="34"/>
        <v>14853.8</v>
      </c>
      <c r="P114" s="416">
        <f t="shared" si="34"/>
        <v>14105.8</v>
      </c>
      <c r="Q114" s="416">
        <f t="shared" si="34"/>
        <v>13357.8</v>
      </c>
      <c r="R114" s="416">
        <f t="shared" si="34"/>
        <v>12609.8</v>
      </c>
      <c r="S114" s="416">
        <f t="shared" si="34"/>
        <v>11861.8</v>
      </c>
      <c r="T114" s="416">
        <f t="shared" si="34"/>
        <v>11113.8</v>
      </c>
      <c r="U114" s="416">
        <f t="shared" si="34"/>
        <v>10365.799999999999</v>
      </c>
      <c r="V114" s="415">
        <f t="shared" si="34"/>
        <v>6617.7999999999993</v>
      </c>
    </row>
    <row r="115" spans="1:22" ht="33.9" customHeight="1">
      <c r="A115" s="385" t="s">
        <v>271</v>
      </c>
      <c r="B115" s="457"/>
      <c r="C115" s="457"/>
      <c r="D115" s="457"/>
      <c r="E115" s="457"/>
      <c r="F115" s="457"/>
      <c r="G115" s="332">
        <f t="shared" ref="G115:V115" si="35">IF(G37=0,F115,G121)</f>
        <v>498.8</v>
      </c>
      <c r="H115" s="460">
        <f t="shared" si="35"/>
        <v>660</v>
      </c>
      <c r="I115" s="460">
        <f t="shared" si="35"/>
        <v>891.9</v>
      </c>
      <c r="J115" s="460">
        <f t="shared" si="35"/>
        <v>1165.5</v>
      </c>
      <c r="K115" s="460">
        <f t="shared" si="35"/>
        <v>1485.9</v>
      </c>
      <c r="L115" s="460">
        <f t="shared" si="35"/>
        <v>1700</v>
      </c>
      <c r="M115" s="460">
        <f t="shared" si="35"/>
        <v>1700</v>
      </c>
      <c r="N115" s="460">
        <f t="shared" si="35"/>
        <v>1700</v>
      </c>
      <c r="O115" s="460">
        <f t="shared" si="35"/>
        <v>1700</v>
      </c>
      <c r="P115" s="460">
        <f t="shared" si="35"/>
        <v>1700</v>
      </c>
      <c r="Q115" s="461">
        <f t="shared" si="35"/>
        <v>1700</v>
      </c>
      <c r="R115" s="460">
        <f t="shared" si="35"/>
        <v>1700</v>
      </c>
      <c r="S115" s="460">
        <f t="shared" si="35"/>
        <v>1700</v>
      </c>
      <c r="T115" s="460">
        <f t="shared" si="35"/>
        <v>1700</v>
      </c>
      <c r="U115" s="460">
        <f t="shared" si="35"/>
        <v>1700</v>
      </c>
      <c r="V115" s="459">
        <f t="shared" si="35"/>
        <v>1700</v>
      </c>
    </row>
    <row r="116" spans="1:22" ht="33.9" customHeight="1">
      <c r="A116" s="458"/>
      <c r="B116" s="457"/>
      <c r="C116" s="457"/>
      <c r="D116" s="457"/>
      <c r="E116" s="457"/>
      <c r="F116" s="457"/>
      <c r="G116" s="445">
        <v>6000</v>
      </c>
      <c r="H116" s="445">
        <v>6000</v>
      </c>
      <c r="I116" s="445">
        <v>6000</v>
      </c>
      <c r="J116" s="445">
        <v>6000</v>
      </c>
      <c r="K116" s="445">
        <v>6000</v>
      </c>
      <c r="L116" s="445">
        <v>6000</v>
      </c>
      <c r="M116" s="445">
        <v>6000</v>
      </c>
      <c r="N116" s="445">
        <v>6000</v>
      </c>
      <c r="O116" s="445">
        <v>6000</v>
      </c>
      <c r="P116" s="445">
        <v>6000</v>
      </c>
      <c r="Q116" s="445">
        <v>6000</v>
      </c>
      <c r="R116" s="445">
        <v>6000</v>
      </c>
      <c r="S116" s="445">
        <v>6000</v>
      </c>
      <c r="T116" s="445">
        <v>6000</v>
      </c>
      <c r="U116" s="445">
        <v>6000</v>
      </c>
      <c r="V116" s="445">
        <v>6000</v>
      </c>
    </row>
    <row r="117" spans="1:22" ht="33.9" customHeight="1">
      <c r="A117" s="385"/>
      <c r="B117" s="416"/>
      <c r="C117" s="416"/>
      <c r="D117" s="416"/>
      <c r="E117" s="416"/>
      <c r="F117" s="416"/>
      <c r="G117" s="332" t="s">
        <v>70</v>
      </c>
      <c r="H117" s="416" t="s">
        <v>70</v>
      </c>
      <c r="I117" s="416"/>
      <c r="J117" s="416" t="s">
        <v>70</v>
      </c>
      <c r="K117" s="416" t="s">
        <v>70</v>
      </c>
      <c r="L117" s="416" t="s">
        <v>70</v>
      </c>
      <c r="M117" s="416" t="s">
        <v>70</v>
      </c>
      <c r="N117" s="416" t="s">
        <v>70</v>
      </c>
      <c r="O117" s="416" t="s">
        <v>70</v>
      </c>
      <c r="P117" s="416" t="s">
        <v>70</v>
      </c>
      <c r="Q117" s="416" t="s">
        <v>198</v>
      </c>
      <c r="R117" s="416" t="s">
        <v>70</v>
      </c>
      <c r="S117" s="416" t="s">
        <v>70</v>
      </c>
      <c r="T117" s="416" t="s">
        <v>70</v>
      </c>
      <c r="U117" s="416" t="s">
        <v>70</v>
      </c>
      <c r="V117" s="415" t="s">
        <v>198</v>
      </c>
    </row>
    <row r="118" spans="1:22" ht="33.9" customHeight="1">
      <c r="A118" s="533" t="s">
        <v>246</v>
      </c>
      <c r="B118" s="526">
        <f t="shared" ref="B118:V118" si="36">ROUND(SUM(B112:B116),0)</f>
        <v>0</v>
      </c>
      <c r="C118" s="526">
        <f t="shared" si="36"/>
        <v>0</v>
      </c>
      <c r="D118" s="526">
        <f t="shared" si="36"/>
        <v>0</v>
      </c>
      <c r="E118" s="526">
        <f>ROUND(SUM(E112:E116),0)</f>
        <v>0</v>
      </c>
      <c r="F118" s="526">
        <f>ROUND(SUM(F112:F116),0)</f>
        <v>0</v>
      </c>
      <c r="G118" s="527">
        <f t="shared" si="36"/>
        <v>14388</v>
      </c>
      <c r="H118" s="526">
        <f t="shared" si="36"/>
        <v>16000</v>
      </c>
      <c r="I118" s="526">
        <f t="shared" si="36"/>
        <v>18319</v>
      </c>
      <c r="J118" s="526">
        <f t="shared" si="36"/>
        <v>21055</v>
      </c>
      <c r="K118" s="526">
        <f t="shared" si="36"/>
        <v>24259</v>
      </c>
      <c r="L118" s="526">
        <f t="shared" si="36"/>
        <v>28360</v>
      </c>
      <c r="M118" s="526">
        <f t="shared" si="36"/>
        <v>27531</v>
      </c>
      <c r="N118" s="526">
        <f t="shared" si="36"/>
        <v>26702</v>
      </c>
      <c r="O118" s="526">
        <f t="shared" si="36"/>
        <v>25954</v>
      </c>
      <c r="P118" s="526">
        <f t="shared" si="36"/>
        <v>25206</v>
      </c>
      <c r="Q118" s="526">
        <f t="shared" si="36"/>
        <v>24458</v>
      </c>
      <c r="R118" s="526">
        <f t="shared" si="36"/>
        <v>23710</v>
      </c>
      <c r="S118" s="526">
        <f t="shared" si="36"/>
        <v>22962</v>
      </c>
      <c r="T118" s="526">
        <f t="shared" si="36"/>
        <v>22214</v>
      </c>
      <c r="U118" s="526">
        <f t="shared" si="36"/>
        <v>21466</v>
      </c>
      <c r="V118" s="528">
        <f t="shared" si="36"/>
        <v>17718</v>
      </c>
    </row>
    <row r="119" spans="1:22" ht="33.9" customHeight="1" thickBot="1">
      <c r="A119" s="529"/>
      <c r="B119" s="530"/>
      <c r="C119" s="530"/>
      <c r="D119" s="530"/>
      <c r="E119" s="530"/>
      <c r="F119" s="530"/>
      <c r="G119" s="531"/>
      <c r="H119" s="530"/>
      <c r="I119" s="530"/>
      <c r="J119" s="530"/>
      <c r="K119" s="530"/>
      <c r="L119" s="530"/>
      <c r="M119" s="530"/>
      <c r="N119" s="530"/>
      <c r="O119" s="530"/>
      <c r="P119" s="530"/>
      <c r="Q119" s="530"/>
      <c r="R119" s="530"/>
      <c r="S119" s="530"/>
      <c r="T119" s="530"/>
      <c r="U119" s="530"/>
      <c r="V119" s="532"/>
    </row>
    <row r="120" spans="1:22" ht="33.9" customHeight="1" thickTop="1" thickBot="1">
      <c r="A120" s="331" t="s">
        <v>247</v>
      </c>
      <c r="B120" s="439">
        <f>B110+B118</f>
        <v>0</v>
      </c>
      <c r="C120" s="439">
        <f>C110+C118</f>
        <v>0</v>
      </c>
      <c r="D120" s="439">
        <f>D110+D118</f>
        <v>0</v>
      </c>
      <c r="E120" s="439">
        <f>E110+E118</f>
        <v>0</v>
      </c>
      <c r="F120" s="439">
        <f>F110+F118</f>
        <v>0</v>
      </c>
      <c r="G120" s="441">
        <f t="shared" ref="G120:V120" si="37">ROUND(G110+G118,0)</f>
        <v>19917</v>
      </c>
      <c r="H120" s="439">
        <f t="shared" si="37"/>
        <v>21627</v>
      </c>
      <c r="I120" s="439">
        <f t="shared" si="37"/>
        <v>24006</v>
      </c>
      <c r="J120" s="439">
        <f t="shared" si="37"/>
        <v>26216</v>
      </c>
      <c r="K120" s="439">
        <f t="shared" si="37"/>
        <v>28707</v>
      </c>
      <c r="L120" s="439">
        <f t="shared" si="37"/>
        <v>31918</v>
      </c>
      <c r="M120" s="439">
        <f t="shared" si="37"/>
        <v>29889</v>
      </c>
      <c r="N120" s="439">
        <f t="shared" si="37"/>
        <v>27660</v>
      </c>
      <c r="O120" s="439">
        <f t="shared" si="37"/>
        <v>26912</v>
      </c>
      <c r="P120" s="439">
        <f t="shared" si="37"/>
        <v>26164</v>
      </c>
      <c r="Q120" s="439">
        <f t="shared" si="37"/>
        <v>25416</v>
      </c>
      <c r="R120" s="439">
        <f t="shared" si="37"/>
        <v>24668</v>
      </c>
      <c r="S120" s="439">
        <f t="shared" si="37"/>
        <v>23920</v>
      </c>
      <c r="T120" s="439">
        <f t="shared" si="37"/>
        <v>23172</v>
      </c>
      <c r="U120" s="439">
        <f t="shared" si="37"/>
        <v>22424</v>
      </c>
      <c r="V120" s="438">
        <f t="shared" si="37"/>
        <v>18676</v>
      </c>
    </row>
    <row r="121" spans="1:22" ht="33.9" customHeight="1" thickTop="1">
      <c r="A121" s="400"/>
      <c r="B121" s="310"/>
      <c r="C121" s="310"/>
      <c r="D121" s="310"/>
      <c r="E121" s="310"/>
      <c r="F121" s="310"/>
      <c r="G121" s="456">
        <f t="shared" ref="G121:V121" si="38">IF(G86&gt;0.5*G112,0.5*G112,G86)</f>
        <v>498.8</v>
      </c>
      <c r="H121" s="456">
        <f t="shared" si="38"/>
        <v>660</v>
      </c>
      <c r="I121" s="456">
        <f t="shared" si="38"/>
        <v>891.9</v>
      </c>
      <c r="J121" s="456">
        <f t="shared" si="38"/>
        <v>1165.5</v>
      </c>
      <c r="K121" s="456">
        <f t="shared" si="38"/>
        <v>1485.9</v>
      </c>
      <c r="L121" s="456">
        <f t="shared" si="38"/>
        <v>1700</v>
      </c>
      <c r="M121" s="456">
        <f t="shared" si="38"/>
        <v>1700</v>
      </c>
      <c r="N121" s="456">
        <f t="shared" si="38"/>
        <v>1700</v>
      </c>
      <c r="O121" s="456">
        <f t="shared" si="38"/>
        <v>1700</v>
      </c>
      <c r="P121" s="456">
        <f t="shared" si="38"/>
        <v>1700</v>
      </c>
      <c r="Q121" s="456">
        <f t="shared" si="38"/>
        <v>1700</v>
      </c>
      <c r="R121" s="456">
        <f t="shared" si="38"/>
        <v>1700</v>
      </c>
      <c r="S121" s="456">
        <f t="shared" si="38"/>
        <v>1700</v>
      </c>
      <c r="T121" s="456">
        <f t="shared" si="38"/>
        <v>1700</v>
      </c>
      <c r="U121" s="456">
        <f t="shared" si="38"/>
        <v>1700</v>
      </c>
      <c r="V121" s="456">
        <f t="shared" si="38"/>
        <v>1700</v>
      </c>
    </row>
    <row r="122" spans="1:22" ht="20.25" customHeight="1" thickBot="1">
      <c r="A122" s="399"/>
      <c r="B122" s="342"/>
      <c r="C122" s="342"/>
      <c r="D122" s="342"/>
      <c r="E122" s="342"/>
      <c r="F122" s="342"/>
      <c r="H122" s="342"/>
      <c r="I122" s="342"/>
      <c r="J122" s="342"/>
      <c r="K122" s="342"/>
      <c r="L122" s="342"/>
      <c r="M122" s="342"/>
      <c r="N122" s="342"/>
      <c r="O122" s="342"/>
      <c r="P122" s="342"/>
      <c r="Q122" s="342"/>
      <c r="R122" s="342"/>
      <c r="S122" s="342"/>
      <c r="T122" s="342"/>
      <c r="U122" s="342"/>
      <c r="V122" s="342"/>
    </row>
    <row r="123" spans="1:22" ht="35.25" customHeight="1" thickTop="1" thickBot="1">
      <c r="A123" s="399"/>
      <c r="J123" s="638" t="s">
        <v>285</v>
      </c>
      <c r="K123" s="639"/>
      <c r="L123" s="639"/>
      <c r="M123" s="639"/>
      <c r="N123" s="640"/>
      <c r="O123" s="313"/>
      <c r="P123" s="522" t="s">
        <v>286</v>
      </c>
      <c r="Q123" s="523"/>
      <c r="R123" s="312"/>
      <c r="U123" s="436"/>
      <c r="V123" s="436"/>
    </row>
    <row r="124" spans="1:22" ht="33.75" customHeight="1" thickTop="1">
      <c r="A124" s="399"/>
      <c r="J124" s="310"/>
      <c r="K124" s="310"/>
      <c r="L124" s="310"/>
      <c r="M124" s="310"/>
      <c r="N124" s="310"/>
      <c r="P124" s="524"/>
      <c r="Q124" s="524"/>
    </row>
    <row r="125" spans="1:22" ht="33.75" customHeight="1">
      <c r="A125" s="399"/>
      <c r="B125" s="342">
        <f t="shared" ref="B125:V125" si="39">B93+B91+B94+B95+B27</f>
        <v>0</v>
      </c>
      <c r="C125" s="342">
        <f t="shared" si="39"/>
        <v>0</v>
      </c>
      <c r="D125" s="342">
        <f t="shared" si="39"/>
        <v>0</v>
      </c>
      <c r="E125" s="342">
        <f t="shared" si="39"/>
        <v>0</v>
      </c>
      <c r="F125" s="342">
        <f t="shared" si="39"/>
        <v>0</v>
      </c>
      <c r="G125" s="342">
        <f t="shared" si="39"/>
        <v>0</v>
      </c>
      <c r="H125" s="342">
        <f t="shared" si="39"/>
        <v>83</v>
      </c>
      <c r="I125" s="342">
        <f t="shared" si="39"/>
        <v>683</v>
      </c>
      <c r="J125" s="342">
        <f t="shared" si="39"/>
        <v>883</v>
      </c>
      <c r="K125" s="342">
        <f t="shared" si="39"/>
        <v>1083</v>
      </c>
      <c r="L125" s="342">
        <f t="shared" si="39"/>
        <v>1283</v>
      </c>
      <c r="M125" s="342">
        <f t="shared" si="39"/>
        <v>1483</v>
      </c>
      <c r="N125" s="342">
        <f t="shared" si="39"/>
        <v>83</v>
      </c>
      <c r="O125" s="342">
        <f t="shared" si="39"/>
        <v>0</v>
      </c>
      <c r="P125" s="342">
        <f t="shared" si="39"/>
        <v>0</v>
      </c>
      <c r="Q125" s="342">
        <f t="shared" si="39"/>
        <v>0</v>
      </c>
      <c r="R125" s="342">
        <f t="shared" si="39"/>
        <v>0</v>
      </c>
      <c r="S125" s="342">
        <f t="shared" si="39"/>
        <v>0</v>
      </c>
      <c r="T125" s="342">
        <f t="shared" si="39"/>
        <v>0</v>
      </c>
      <c r="U125" s="342">
        <f t="shared" si="39"/>
        <v>0</v>
      </c>
      <c r="V125" s="342">
        <f t="shared" si="39"/>
        <v>0</v>
      </c>
    </row>
    <row r="126" spans="1:22" ht="33.75" customHeight="1" thickBot="1">
      <c r="A126" s="399"/>
      <c r="R126" s="647" t="s">
        <v>250</v>
      </c>
      <c r="S126" s="647"/>
    </row>
    <row r="127" spans="1:22" ht="35.25" customHeight="1" thickTop="1" thickBot="1">
      <c r="A127" s="399"/>
      <c r="B127" s="435"/>
      <c r="C127" s="434" t="s">
        <v>251</v>
      </c>
      <c r="D127" s="433"/>
      <c r="E127" s="433"/>
      <c r="F127" s="433"/>
      <c r="G127" s="644" t="s">
        <v>252</v>
      </c>
      <c r="H127" s="645"/>
      <c r="I127" s="645"/>
      <c r="J127" s="645"/>
      <c r="K127" s="645"/>
      <c r="L127" s="645"/>
      <c r="M127" s="645"/>
      <c r="N127" s="645"/>
      <c r="O127" s="645"/>
      <c r="P127" s="645"/>
      <c r="Q127" s="645"/>
      <c r="R127" s="645"/>
      <c r="S127" s="645"/>
      <c r="T127" s="645"/>
      <c r="U127" s="645"/>
      <c r="V127" s="646"/>
    </row>
    <row r="128" spans="1:22" ht="35.25" customHeight="1" thickTop="1" thickBot="1">
      <c r="A128" s="399"/>
      <c r="B128" s="432" t="str">
        <f>IF(B$6=0," ",B$6)</f>
        <v xml:space="preserve"> </v>
      </c>
      <c r="C128" s="431" t="str">
        <f>IF(C$6=0," ",C$6)</f>
        <v xml:space="preserve"> </v>
      </c>
      <c r="D128" s="431" t="str">
        <f>IF(D$6=0," ",D$6)</f>
        <v xml:space="preserve"> </v>
      </c>
      <c r="E128" s="431" t="str">
        <f>IF(E$6=0," ",E$6)</f>
        <v xml:space="preserve"> </v>
      </c>
      <c r="F128" s="431" t="str">
        <f>IF(F$6=0," ",F$6)</f>
        <v xml:space="preserve"> </v>
      </c>
      <c r="G128" s="430" t="str">
        <f t="shared" ref="G128:V128" si="40">B318</f>
        <v xml:space="preserve">  2025</v>
      </c>
      <c r="H128" s="429" t="str">
        <f t="shared" si="40"/>
        <v xml:space="preserve">  2026</v>
      </c>
      <c r="I128" s="429" t="str">
        <f t="shared" si="40"/>
        <v xml:space="preserve">  2027</v>
      </c>
      <c r="J128" s="429" t="str">
        <f t="shared" si="40"/>
        <v xml:space="preserve">  2028</v>
      </c>
      <c r="K128" s="429" t="str">
        <f t="shared" si="40"/>
        <v xml:space="preserve">  2029</v>
      </c>
      <c r="L128" s="429" t="str">
        <f t="shared" si="40"/>
        <v xml:space="preserve">  2030</v>
      </c>
      <c r="M128" s="429" t="str">
        <f t="shared" si="40"/>
        <v xml:space="preserve">  2031</v>
      </c>
      <c r="N128" s="429" t="str">
        <f t="shared" si="40"/>
        <v xml:space="preserve">  2032</v>
      </c>
      <c r="O128" s="429" t="str">
        <f t="shared" si="40"/>
        <v xml:space="preserve">  2033</v>
      </c>
      <c r="P128" s="429" t="str">
        <f t="shared" si="40"/>
        <v xml:space="preserve">  2034</v>
      </c>
      <c r="Q128" s="429" t="str">
        <f t="shared" si="40"/>
        <v xml:space="preserve">  2035</v>
      </c>
      <c r="R128" s="429" t="str">
        <f t="shared" si="40"/>
        <v xml:space="preserve">  2036</v>
      </c>
      <c r="S128" s="429" t="str">
        <f t="shared" si="40"/>
        <v xml:space="preserve">  2037</v>
      </c>
      <c r="T128" s="429" t="str">
        <f t="shared" si="40"/>
        <v xml:space="preserve">  2038</v>
      </c>
      <c r="U128" s="429" t="str">
        <f t="shared" si="40"/>
        <v xml:space="preserve">  2039</v>
      </c>
      <c r="V128" s="428" t="str">
        <f t="shared" si="40"/>
        <v xml:space="preserve">  2040</v>
      </c>
    </row>
    <row r="129" spans="1:22" ht="35.25" customHeight="1" thickTop="1">
      <c r="A129" s="337" t="s">
        <v>287</v>
      </c>
      <c r="B129" s="427"/>
      <c r="C129" s="426"/>
      <c r="D129" s="426"/>
      <c r="E129" s="426"/>
      <c r="F129" s="426"/>
      <c r="G129" s="427" t="s">
        <v>70</v>
      </c>
      <c r="H129" s="426" t="s">
        <v>70</v>
      </c>
      <c r="I129" s="426" t="s">
        <v>70</v>
      </c>
      <c r="J129" s="426" t="s">
        <v>70</v>
      </c>
      <c r="K129" s="426" t="s">
        <v>70</v>
      </c>
      <c r="L129" s="426" t="s">
        <v>70</v>
      </c>
      <c r="M129" s="426" t="s">
        <v>70</v>
      </c>
      <c r="N129" s="426" t="s">
        <v>70</v>
      </c>
      <c r="O129" s="426" t="s">
        <v>70</v>
      </c>
      <c r="P129" s="426" t="s">
        <v>70</v>
      </c>
      <c r="Q129" s="426" t="s">
        <v>70</v>
      </c>
      <c r="R129" s="426" t="s">
        <v>70</v>
      </c>
      <c r="S129" s="426" t="s">
        <v>70</v>
      </c>
      <c r="T129" s="426" t="s">
        <v>70</v>
      </c>
      <c r="U129" s="426" t="s">
        <v>70</v>
      </c>
      <c r="V129" s="425" t="s">
        <v>70</v>
      </c>
    </row>
    <row r="130" spans="1:22" ht="35.25" customHeight="1">
      <c r="A130" s="385" t="s">
        <v>243</v>
      </c>
      <c r="B130" s="340" t="s">
        <v>143</v>
      </c>
      <c r="C130" s="416">
        <f>IF(C112-B112&gt;0,C112-B112,0)</f>
        <v>0</v>
      </c>
      <c r="D130" s="416">
        <f>IF(D112-C112&gt;0,D112-C112,0)</f>
        <v>0</v>
      </c>
      <c r="E130" s="416">
        <f>IF(E112-D112&gt;0,E112-D112,0)</f>
        <v>0</v>
      </c>
      <c r="F130" s="416">
        <f>IF(F112-E112&gt;0,F112-E112,0)</f>
        <v>0</v>
      </c>
      <c r="G130" s="444">
        <f>'Attachment "A"'!F23</f>
        <v>3400</v>
      </c>
      <c r="H130" s="444"/>
      <c r="I130" s="444"/>
      <c r="J130" s="444"/>
      <c r="K130" s="444"/>
      <c r="L130" s="444"/>
      <c r="M130" s="444"/>
      <c r="N130" s="444"/>
      <c r="O130" s="444"/>
      <c r="P130" s="444"/>
      <c r="Q130" s="444"/>
      <c r="R130" s="444"/>
      <c r="S130" s="444"/>
      <c r="T130" s="444"/>
      <c r="U130" s="444"/>
      <c r="V130" s="443"/>
    </row>
    <row r="131" spans="1:22" ht="35.25" customHeight="1">
      <c r="A131" s="385" t="s">
        <v>288</v>
      </c>
      <c r="B131" s="340" t="s">
        <v>143</v>
      </c>
      <c r="C131" s="416">
        <f t="shared" ref="C131:F133" si="41">IF(C102+C93-B102-B93&gt;0,C102+C93-B102-B93,0)</f>
        <v>0</v>
      </c>
      <c r="D131" s="416">
        <f t="shared" si="41"/>
        <v>0</v>
      </c>
      <c r="E131" s="416">
        <f t="shared" si="41"/>
        <v>0</v>
      </c>
      <c r="F131" s="416">
        <f t="shared" si="41"/>
        <v>0</v>
      </c>
      <c r="G131" s="444">
        <f>'Attachment "A"'!F22</f>
        <v>5000</v>
      </c>
      <c r="H131" s="444"/>
      <c r="I131" s="444"/>
      <c r="J131" s="444"/>
      <c r="K131" s="444"/>
      <c r="L131" s="444"/>
      <c r="M131" s="444"/>
      <c r="N131" s="444"/>
      <c r="O131" s="444"/>
      <c r="P131" s="444"/>
      <c r="Q131" s="444"/>
      <c r="R131" s="444"/>
      <c r="S131" s="444"/>
      <c r="T131" s="444"/>
      <c r="U131" s="444"/>
      <c r="V131" s="443"/>
    </row>
    <row r="132" spans="1:22" ht="35.25" customHeight="1">
      <c r="A132" s="385" t="s">
        <v>289</v>
      </c>
      <c r="B132" s="340" t="s">
        <v>143</v>
      </c>
      <c r="C132" s="416">
        <f t="shared" si="41"/>
        <v>0</v>
      </c>
      <c r="D132" s="416">
        <f t="shared" si="41"/>
        <v>0</v>
      </c>
      <c r="E132" s="416">
        <f t="shared" si="41"/>
        <v>0</v>
      </c>
      <c r="F132" s="416">
        <f t="shared" si="41"/>
        <v>0</v>
      </c>
      <c r="G132" s="445"/>
      <c r="H132" s="444"/>
      <c r="I132" s="444"/>
      <c r="J132" s="444"/>
      <c r="K132" s="444"/>
      <c r="L132" s="444"/>
      <c r="M132" s="444"/>
      <c r="N132" s="444"/>
      <c r="O132" s="444"/>
      <c r="P132" s="444"/>
      <c r="Q132" s="444"/>
      <c r="R132" s="444"/>
      <c r="S132" s="444"/>
      <c r="T132" s="444"/>
      <c r="U132" s="444"/>
      <c r="V132" s="443"/>
    </row>
    <row r="133" spans="1:22" ht="35.25" customHeight="1">
      <c r="A133" s="385" t="str">
        <f>LEFT("LTD - ",6)&amp;A104</f>
        <v xml:space="preserve">LTD - </v>
      </c>
      <c r="B133" s="340" t="s">
        <v>143</v>
      </c>
      <c r="C133" s="416">
        <f t="shared" si="41"/>
        <v>0</v>
      </c>
      <c r="D133" s="416">
        <f t="shared" si="41"/>
        <v>0</v>
      </c>
      <c r="E133" s="416">
        <f t="shared" si="41"/>
        <v>0</v>
      </c>
      <c r="F133" s="416">
        <f t="shared" si="41"/>
        <v>0</v>
      </c>
      <c r="G133" s="445"/>
      <c r="H133" s="444"/>
      <c r="I133" s="444"/>
      <c r="J133" s="444"/>
      <c r="K133" s="444"/>
      <c r="L133" s="444"/>
      <c r="M133" s="444"/>
      <c r="N133" s="444"/>
      <c r="O133" s="444"/>
      <c r="P133" s="444"/>
      <c r="Q133" s="444"/>
      <c r="R133" s="444"/>
      <c r="S133" s="444"/>
      <c r="T133" s="444"/>
      <c r="U133" s="444"/>
      <c r="V133" s="443"/>
    </row>
    <row r="134" spans="1:22" ht="35.25" customHeight="1">
      <c r="A134" s="385" t="s">
        <v>244</v>
      </c>
      <c r="B134" s="340" t="s">
        <v>143</v>
      </c>
      <c r="C134" s="416">
        <f>IF(C113-B113&gt;0,C113-B113,0)</f>
        <v>0</v>
      </c>
      <c r="D134" s="416">
        <f>IF(D113-C113&gt;0,D113-C113,0)</f>
        <v>0</v>
      </c>
      <c r="E134" s="416">
        <f>IF(E113-D113&gt;0,E113-D113,0)</f>
        <v>0</v>
      </c>
      <c r="F134" s="416">
        <f>IF(F113-E113&gt;0,F113-E113,0)</f>
        <v>0</v>
      </c>
      <c r="G134" s="445"/>
      <c r="H134" s="444"/>
      <c r="I134" s="444"/>
      <c r="J134" s="444"/>
      <c r="K134" s="444"/>
      <c r="L134" s="444"/>
      <c r="M134" s="444"/>
      <c r="N134" s="444"/>
      <c r="O134" s="444"/>
      <c r="P134" s="444"/>
      <c r="Q134" s="444"/>
      <c r="R134" s="444"/>
      <c r="S134" s="444"/>
      <c r="T134" s="444"/>
      <c r="U134" s="444"/>
      <c r="V134" s="443"/>
    </row>
    <row r="135" spans="1:22" ht="35.25" customHeight="1">
      <c r="A135" s="385" t="s">
        <v>162</v>
      </c>
      <c r="B135" s="340" t="s">
        <v>143</v>
      </c>
      <c r="C135" s="416">
        <f>IF(C91-B91&gt;0,C91-B91,0)</f>
        <v>0</v>
      </c>
      <c r="D135" s="416">
        <f>IF(D91-C91&gt;0,D91-C91,0)</f>
        <v>0</v>
      </c>
      <c r="E135" s="416">
        <f>IF(E91-D91&gt;0,E91-D91,0)</f>
        <v>0</v>
      </c>
      <c r="F135" s="416">
        <f>IF(F91-E91&gt;0,F91-E91,0)</f>
        <v>0</v>
      </c>
      <c r="G135" s="445"/>
      <c r="H135" s="444"/>
      <c r="I135" s="444"/>
      <c r="J135" s="444"/>
      <c r="K135" s="444"/>
      <c r="L135" s="444"/>
      <c r="M135" s="444"/>
      <c r="N135" s="444"/>
      <c r="O135" s="444"/>
      <c r="P135" s="444"/>
      <c r="Q135" s="444"/>
      <c r="R135" s="444"/>
      <c r="S135" s="444"/>
      <c r="T135" s="444"/>
      <c r="U135" s="444"/>
      <c r="V135" s="443"/>
    </row>
    <row r="136" spans="1:22" ht="35.25" customHeight="1">
      <c r="A136" s="385" t="s">
        <v>231</v>
      </c>
      <c r="B136" s="340" t="s">
        <v>143</v>
      </c>
      <c r="C136" s="416">
        <f t="shared" ref="C136:V136" si="42">IF(B$54+B$55+B$72-C$54-C$55-C$72&gt;0,B$54+B$55+B$72-C$54-C$55-C$72,0)</f>
        <v>0</v>
      </c>
      <c r="D136" s="416">
        <f t="shared" si="42"/>
        <v>0</v>
      </c>
      <c r="E136" s="416">
        <f t="shared" si="42"/>
        <v>0</v>
      </c>
      <c r="F136" s="416">
        <f t="shared" si="42"/>
        <v>0</v>
      </c>
      <c r="G136" s="332">
        <f t="shared" si="42"/>
        <v>0</v>
      </c>
      <c r="H136" s="416">
        <f t="shared" si="42"/>
        <v>0</v>
      </c>
      <c r="I136" s="416">
        <f t="shared" si="42"/>
        <v>0</v>
      </c>
      <c r="J136" s="416">
        <f t="shared" si="42"/>
        <v>0</v>
      </c>
      <c r="K136" s="416">
        <f t="shared" si="42"/>
        <v>0</v>
      </c>
      <c r="L136" s="416">
        <f t="shared" si="42"/>
        <v>0</v>
      </c>
      <c r="M136" s="416">
        <f t="shared" si="42"/>
        <v>0</v>
      </c>
      <c r="N136" s="416">
        <f t="shared" si="42"/>
        <v>0</v>
      </c>
      <c r="O136" s="416">
        <f t="shared" si="42"/>
        <v>0</v>
      </c>
      <c r="P136" s="416">
        <f t="shared" si="42"/>
        <v>0</v>
      </c>
      <c r="Q136" s="416">
        <f t="shared" si="42"/>
        <v>0</v>
      </c>
      <c r="R136" s="416">
        <f t="shared" si="42"/>
        <v>0</v>
      </c>
      <c r="S136" s="416">
        <f t="shared" si="42"/>
        <v>0</v>
      </c>
      <c r="T136" s="416">
        <f t="shared" si="42"/>
        <v>0</v>
      </c>
      <c r="U136" s="416">
        <f t="shared" si="42"/>
        <v>0</v>
      </c>
      <c r="V136" s="415">
        <f t="shared" si="42"/>
        <v>0</v>
      </c>
    </row>
    <row r="137" spans="1:22" ht="35.25" customHeight="1">
      <c r="A137" s="385" t="s">
        <v>290</v>
      </c>
      <c r="B137" s="340" t="s">
        <v>143</v>
      </c>
      <c r="C137" s="416">
        <f t="shared" ref="C137:V137" si="43">IF(C$96+C$97+C$108+C$116-B$96-B$97-B$108-B$116&gt;0,C$96+C$97+C$108+C$116-B$96-B$97-B$108-B$116,0)</f>
        <v>0</v>
      </c>
      <c r="D137" s="416">
        <f t="shared" si="43"/>
        <v>0</v>
      </c>
      <c r="E137" s="416">
        <f>IF(E$96+E$97+E$108+E$116-D$96-D$97-D$108-D$116&gt;0,E$96+E$97+E$108+E$116-D$96-D$97-D$108-D$116,0)</f>
        <v>0</v>
      </c>
      <c r="F137" s="416">
        <f>IF(F$96+F$97+F$108+F$116-E$96-E$97-E$108-E$116&gt;0,F$96+F$97+F$108+F$116-E$96-E$97-E$108-E$116,0)</f>
        <v>0</v>
      </c>
      <c r="G137" s="332">
        <f>IF(G$96+G$97+G$108+G$116-F$96-F$97-F$108-F$116&gt;0,G$96+G$97+G$108+G$116-F$96-F$97-F$108-F$116,0)</f>
        <v>6000</v>
      </c>
      <c r="H137" s="416">
        <f t="shared" si="43"/>
        <v>0</v>
      </c>
      <c r="I137" s="416">
        <f t="shared" si="43"/>
        <v>0</v>
      </c>
      <c r="J137" s="416">
        <f t="shared" si="43"/>
        <v>0</v>
      </c>
      <c r="K137" s="416">
        <f t="shared" si="43"/>
        <v>0</v>
      </c>
      <c r="L137" s="416">
        <f t="shared" si="43"/>
        <v>0</v>
      </c>
      <c r="M137" s="416">
        <f t="shared" si="43"/>
        <v>0</v>
      </c>
      <c r="N137" s="416">
        <f t="shared" si="43"/>
        <v>0</v>
      </c>
      <c r="O137" s="416">
        <f t="shared" si="43"/>
        <v>0</v>
      </c>
      <c r="P137" s="416">
        <f t="shared" si="43"/>
        <v>0</v>
      </c>
      <c r="Q137" s="416">
        <f t="shared" si="43"/>
        <v>0</v>
      </c>
      <c r="R137" s="416">
        <f t="shared" si="43"/>
        <v>0</v>
      </c>
      <c r="S137" s="416">
        <f t="shared" si="43"/>
        <v>0</v>
      </c>
      <c r="T137" s="416">
        <f t="shared" si="43"/>
        <v>0</v>
      </c>
      <c r="U137" s="416">
        <f t="shared" si="43"/>
        <v>0</v>
      </c>
      <c r="V137" s="415">
        <f t="shared" si="43"/>
        <v>0</v>
      </c>
    </row>
    <row r="138" spans="1:22" ht="35.25" customHeight="1">
      <c r="A138" s="385" t="s">
        <v>64</v>
      </c>
      <c r="B138" s="340" t="s">
        <v>143</v>
      </c>
      <c r="C138" s="416">
        <f t="shared" ref="C138:V138" si="44">C36</f>
        <v>0</v>
      </c>
      <c r="D138" s="416">
        <f t="shared" si="44"/>
        <v>0</v>
      </c>
      <c r="E138" s="416">
        <f t="shared" si="44"/>
        <v>0</v>
      </c>
      <c r="F138" s="416">
        <f t="shared" si="44"/>
        <v>0</v>
      </c>
      <c r="G138" s="332">
        <f t="shared" si="44"/>
        <v>4988</v>
      </c>
      <c r="H138" s="416">
        <f t="shared" si="44"/>
        <v>1612</v>
      </c>
      <c r="I138" s="416">
        <f t="shared" si="44"/>
        <v>2319</v>
      </c>
      <c r="J138" s="416">
        <f t="shared" si="44"/>
        <v>2736</v>
      </c>
      <c r="K138" s="416">
        <f t="shared" si="44"/>
        <v>3204</v>
      </c>
      <c r="L138" s="416">
        <f t="shared" si="44"/>
        <v>4101</v>
      </c>
      <c r="M138" s="416">
        <f t="shared" si="44"/>
        <v>4171</v>
      </c>
      <c r="N138" s="416">
        <f t="shared" si="44"/>
        <v>4171</v>
      </c>
      <c r="O138" s="416">
        <f t="shared" si="44"/>
        <v>4252</v>
      </c>
      <c r="P138" s="416">
        <f t="shared" si="44"/>
        <v>4252</v>
      </c>
      <c r="Q138" s="416">
        <f t="shared" si="44"/>
        <v>4252</v>
      </c>
      <c r="R138" s="416">
        <f t="shared" si="44"/>
        <v>4252</v>
      </c>
      <c r="S138" s="416">
        <f t="shared" si="44"/>
        <v>4252</v>
      </c>
      <c r="T138" s="416">
        <f t="shared" si="44"/>
        <v>4252</v>
      </c>
      <c r="U138" s="416">
        <f t="shared" si="44"/>
        <v>4252</v>
      </c>
      <c r="V138" s="415">
        <f t="shared" si="44"/>
        <v>4252</v>
      </c>
    </row>
    <row r="139" spans="1:22" ht="35.25" customHeight="1">
      <c r="A139" s="385" t="s">
        <v>291</v>
      </c>
      <c r="B139" s="340" t="s">
        <v>143</v>
      </c>
      <c r="C139" s="416">
        <f t="shared" ref="C139:V139" si="45">C15+C16</f>
        <v>0</v>
      </c>
      <c r="D139" s="416">
        <f t="shared" si="45"/>
        <v>0</v>
      </c>
      <c r="E139" s="416">
        <f t="shared" si="45"/>
        <v>0</v>
      </c>
      <c r="F139" s="416">
        <f t="shared" si="45"/>
        <v>0</v>
      </c>
      <c r="G139" s="332">
        <f t="shared" si="45"/>
        <v>1312</v>
      </c>
      <c r="H139" s="416">
        <f t="shared" si="45"/>
        <v>1101</v>
      </c>
      <c r="I139" s="416">
        <f t="shared" si="45"/>
        <v>702</v>
      </c>
      <c r="J139" s="416">
        <f t="shared" si="45"/>
        <v>702</v>
      </c>
      <c r="K139" s="416">
        <f t="shared" si="45"/>
        <v>702</v>
      </c>
      <c r="L139" s="416">
        <f t="shared" si="45"/>
        <v>702</v>
      </c>
      <c r="M139" s="416">
        <f t="shared" si="45"/>
        <v>630</v>
      </c>
      <c r="N139" s="416">
        <f t="shared" si="45"/>
        <v>630</v>
      </c>
      <c r="O139" s="416">
        <f t="shared" si="45"/>
        <v>630</v>
      </c>
      <c r="P139" s="416">
        <f t="shared" si="45"/>
        <v>630</v>
      </c>
      <c r="Q139" s="416">
        <f t="shared" si="45"/>
        <v>630</v>
      </c>
      <c r="R139" s="416">
        <f t="shared" si="45"/>
        <v>630</v>
      </c>
      <c r="S139" s="416">
        <f t="shared" si="45"/>
        <v>630</v>
      </c>
      <c r="T139" s="416">
        <f t="shared" si="45"/>
        <v>630</v>
      </c>
      <c r="U139" s="416">
        <f t="shared" si="45"/>
        <v>630</v>
      </c>
      <c r="V139" s="415">
        <f t="shared" si="45"/>
        <v>630</v>
      </c>
    </row>
    <row r="140" spans="1:22" ht="35.25" customHeight="1">
      <c r="A140" s="385"/>
      <c r="B140" s="455"/>
      <c r="C140" s="453"/>
      <c r="D140" s="453"/>
      <c r="E140" s="453"/>
      <c r="F140" s="453"/>
      <c r="G140" s="454" t="s">
        <v>70</v>
      </c>
      <c r="H140" s="453" t="s">
        <v>70</v>
      </c>
      <c r="I140" s="453" t="s">
        <v>70</v>
      </c>
      <c r="J140" s="453" t="s">
        <v>70</v>
      </c>
      <c r="K140" s="453" t="s">
        <v>70</v>
      </c>
      <c r="L140" s="453" t="s">
        <v>70</v>
      </c>
      <c r="M140" s="453" t="s">
        <v>70</v>
      </c>
      <c r="N140" s="453" t="s">
        <v>70</v>
      </c>
      <c r="O140" s="453" t="s">
        <v>198</v>
      </c>
      <c r="P140" s="453" t="s">
        <v>70</v>
      </c>
      <c r="Q140" s="453" t="s">
        <v>70</v>
      </c>
      <c r="R140" s="453" t="s">
        <v>70</v>
      </c>
      <c r="S140" s="453" t="s">
        <v>70</v>
      </c>
      <c r="T140" s="453" t="s">
        <v>198</v>
      </c>
      <c r="U140" s="453" t="s">
        <v>70</v>
      </c>
      <c r="V140" s="452" t="s">
        <v>70</v>
      </c>
    </row>
    <row r="141" spans="1:22" ht="35.25" customHeight="1">
      <c r="A141" s="540" t="s">
        <v>292</v>
      </c>
      <c r="B141" s="451" t="s">
        <v>143</v>
      </c>
      <c r="C141" s="448">
        <f t="shared" ref="C141:V141" si="46">ROUND(SUM(C130:C139),0)</f>
        <v>0</v>
      </c>
      <c r="D141" s="448">
        <f t="shared" si="46"/>
        <v>0</v>
      </c>
      <c r="E141" s="448">
        <f t="shared" si="46"/>
        <v>0</v>
      </c>
      <c r="F141" s="448">
        <f t="shared" si="46"/>
        <v>0</v>
      </c>
      <c r="G141" s="450">
        <f t="shared" si="46"/>
        <v>20700</v>
      </c>
      <c r="H141" s="449">
        <f>ROUND(SUM(H130:H139),0)</f>
        <v>2713</v>
      </c>
      <c r="I141" s="448">
        <f>ROUND(SUM(I130:I139),0)</f>
        <v>3021</v>
      </c>
      <c r="J141" s="448">
        <f t="shared" si="46"/>
        <v>3438</v>
      </c>
      <c r="K141" s="448">
        <f t="shared" si="46"/>
        <v>3906</v>
      </c>
      <c r="L141" s="448">
        <f t="shared" si="46"/>
        <v>4803</v>
      </c>
      <c r="M141" s="448">
        <f t="shared" si="46"/>
        <v>4801</v>
      </c>
      <c r="N141" s="448">
        <f t="shared" si="46"/>
        <v>4801</v>
      </c>
      <c r="O141" s="448">
        <f t="shared" si="46"/>
        <v>4882</v>
      </c>
      <c r="P141" s="448">
        <f t="shared" si="46"/>
        <v>4882</v>
      </c>
      <c r="Q141" s="448">
        <f t="shared" si="46"/>
        <v>4882</v>
      </c>
      <c r="R141" s="448">
        <f t="shared" si="46"/>
        <v>4882</v>
      </c>
      <c r="S141" s="448">
        <f t="shared" si="46"/>
        <v>4882</v>
      </c>
      <c r="T141" s="449">
        <f t="shared" si="46"/>
        <v>4882</v>
      </c>
      <c r="U141" s="448">
        <f t="shared" si="46"/>
        <v>4882</v>
      </c>
      <c r="V141" s="447">
        <f t="shared" si="46"/>
        <v>4882</v>
      </c>
    </row>
    <row r="142" spans="1:22" ht="35.25" customHeight="1">
      <c r="A142" s="529"/>
      <c r="B142" s="541"/>
      <c r="C142" s="530"/>
      <c r="D142" s="530"/>
      <c r="E142" s="530"/>
      <c r="F142" s="530"/>
      <c r="G142" s="531"/>
      <c r="H142" s="530"/>
      <c r="I142" s="530"/>
      <c r="J142" s="530"/>
      <c r="K142" s="530"/>
      <c r="L142" s="530"/>
      <c r="M142" s="530"/>
      <c r="N142" s="530"/>
      <c r="O142" s="530"/>
      <c r="P142" s="530"/>
      <c r="Q142" s="530"/>
      <c r="R142" s="530"/>
      <c r="S142" s="530"/>
      <c r="T142" s="530"/>
      <c r="U142" s="530"/>
      <c r="V142" s="446"/>
    </row>
    <row r="143" spans="1:22" ht="35.25" customHeight="1">
      <c r="A143" s="385" t="s">
        <v>293</v>
      </c>
      <c r="B143" s="340"/>
      <c r="C143" s="416"/>
      <c r="D143" s="416"/>
      <c r="E143" s="416"/>
      <c r="F143" s="416"/>
      <c r="G143" s="332"/>
      <c r="H143" s="416"/>
      <c r="I143" s="416"/>
      <c r="J143" s="416"/>
      <c r="K143" s="416"/>
      <c r="L143" s="416"/>
      <c r="M143" s="416"/>
      <c r="N143" s="416"/>
      <c r="O143" s="416"/>
      <c r="P143" s="416"/>
      <c r="Q143" s="416"/>
      <c r="R143" s="416"/>
      <c r="S143" s="416"/>
      <c r="T143" s="416"/>
      <c r="U143" s="416"/>
      <c r="V143" s="415"/>
    </row>
    <row r="144" spans="1:22" ht="35.25" customHeight="1">
      <c r="A144" s="385" t="s">
        <v>294</v>
      </c>
      <c r="B144" s="340" t="s">
        <v>143</v>
      </c>
      <c r="C144" s="416">
        <f>C70-B70+C15</f>
        <v>0</v>
      </c>
      <c r="D144" s="416">
        <f>D70-C70+D15</f>
        <v>0</v>
      </c>
      <c r="E144" s="416">
        <f>E70-D70+E15</f>
        <v>0</v>
      </c>
      <c r="F144" s="416">
        <f>F70-E70+F15</f>
        <v>0</v>
      </c>
      <c r="G144" s="332">
        <f>Assumptions!F234</f>
        <v>12940</v>
      </c>
      <c r="H144" s="416">
        <f>Assumptions!G234</f>
        <v>0</v>
      </c>
      <c r="I144" s="416">
        <f>Assumptions!H234</f>
        <v>0</v>
      </c>
      <c r="J144" s="416">
        <f>Assumptions!I234</f>
        <v>0</v>
      </c>
      <c r="K144" s="416">
        <f>Assumptions!J234</f>
        <v>0</v>
      </c>
      <c r="L144" s="416">
        <f>Assumptions!K234</f>
        <v>0</v>
      </c>
      <c r="M144" s="416">
        <f>Assumptions!L234</f>
        <v>0</v>
      </c>
      <c r="N144" s="416">
        <f>Assumptions!M234</f>
        <v>0</v>
      </c>
      <c r="O144" s="416">
        <f>Assumptions!N234</f>
        <v>0</v>
      </c>
      <c r="P144" s="416">
        <f>Assumptions!O234</f>
        <v>0</v>
      </c>
      <c r="Q144" s="416">
        <f>Assumptions!P234</f>
        <v>0</v>
      </c>
      <c r="R144" s="416">
        <f>Assumptions!Q234</f>
        <v>0</v>
      </c>
      <c r="S144" s="416">
        <f>Assumptions!R234</f>
        <v>0</v>
      </c>
      <c r="T144" s="416">
        <f>Assumptions!S234</f>
        <v>0</v>
      </c>
      <c r="U144" s="416">
        <f>Assumptions!T234</f>
        <v>0</v>
      </c>
      <c r="V144" s="415">
        <f>Assumptions!U234</f>
        <v>0</v>
      </c>
    </row>
    <row r="145" spans="1:22" ht="35.25" customHeight="1">
      <c r="A145" s="385" t="s">
        <v>295</v>
      </c>
      <c r="B145" s="340" t="s">
        <v>143</v>
      </c>
      <c r="C145" s="416">
        <f t="shared" ref="C145:V145" si="47">-((B51-C51)+(B52-C52)+(B53-C53)+(C90-B90)+(C92-B92))</f>
        <v>0</v>
      </c>
      <c r="D145" s="416">
        <f t="shared" si="47"/>
        <v>0</v>
      </c>
      <c r="E145" s="416">
        <f t="shared" si="47"/>
        <v>0</v>
      </c>
      <c r="F145" s="416">
        <f t="shared" si="47"/>
        <v>0</v>
      </c>
      <c r="G145" s="332">
        <f t="shared" si="47"/>
        <v>7212</v>
      </c>
      <c r="H145" s="416">
        <f t="shared" si="47"/>
        <v>213</v>
      </c>
      <c r="I145" s="416">
        <f t="shared" si="47"/>
        <v>798</v>
      </c>
      <c r="J145" s="416">
        <f t="shared" si="47"/>
        <v>962</v>
      </c>
      <c r="K145" s="416">
        <f t="shared" si="47"/>
        <v>1135</v>
      </c>
      <c r="L145" s="416">
        <f t="shared" si="47"/>
        <v>1435</v>
      </c>
      <c r="M145" s="416">
        <f t="shared" si="47"/>
        <v>0</v>
      </c>
      <c r="N145" s="416">
        <f t="shared" si="47"/>
        <v>0</v>
      </c>
      <c r="O145" s="416">
        <f t="shared" si="47"/>
        <v>0</v>
      </c>
      <c r="P145" s="416">
        <f t="shared" si="47"/>
        <v>0</v>
      </c>
      <c r="Q145" s="416">
        <f t="shared" si="47"/>
        <v>0</v>
      </c>
      <c r="R145" s="416">
        <f t="shared" si="47"/>
        <v>0</v>
      </c>
      <c r="S145" s="416">
        <f t="shared" si="47"/>
        <v>0</v>
      </c>
      <c r="T145" s="416">
        <f t="shared" si="47"/>
        <v>0</v>
      </c>
      <c r="U145" s="416">
        <f t="shared" si="47"/>
        <v>0</v>
      </c>
      <c r="V145" s="415">
        <f t="shared" si="47"/>
        <v>0</v>
      </c>
    </row>
    <row r="146" spans="1:22" ht="35.25" customHeight="1">
      <c r="A146" s="385" t="s">
        <v>197</v>
      </c>
      <c r="B146" s="340" t="s">
        <v>143</v>
      </c>
      <c r="C146" s="416">
        <f>C78-B78+C16</f>
        <v>0</v>
      </c>
      <c r="D146" s="416">
        <f>D78-C78+D16</f>
        <v>0</v>
      </c>
      <c r="E146" s="416">
        <f>E78-D78+E16</f>
        <v>0</v>
      </c>
      <c r="F146" s="416">
        <f>F78-E78+F16</f>
        <v>0</v>
      </c>
      <c r="G146" s="332">
        <f>Assumptions!F238</f>
        <v>399</v>
      </c>
      <c r="H146" s="416">
        <f>Assumptions!G238</f>
        <v>0</v>
      </c>
      <c r="I146" s="416">
        <f>Assumptions!H238</f>
        <v>0</v>
      </c>
      <c r="J146" s="416">
        <f>Assumptions!I238</f>
        <v>0</v>
      </c>
      <c r="K146" s="416">
        <f>Assumptions!J238</f>
        <v>0</v>
      </c>
      <c r="L146" s="416">
        <f>Assumptions!K238</f>
        <v>0</v>
      </c>
      <c r="M146" s="416">
        <f>Assumptions!L238</f>
        <v>0</v>
      </c>
      <c r="N146" s="416">
        <f>Assumptions!M238</f>
        <v>0</v>
      </c>
      <c r="O146" s="416">
        <f>Assumptions!N238</f>
        <v>0</v>
      </c>
      <c r="P146" s="416">
        <f>Assumptions!O238</f>
        <v>0</v>
      </c>
      <c r="Q146" s="416">
        <f>Assumptions!P238</f>
        <v>0</v>
      </c>
      <c r="R146" s="416">
        <f>Assumptions!Q238</f>
        <v>0</v>
      </c>
      <c r="S146" s="416">
        <f>Assumptions!R238</f>
        <v>0</v>
      </c>
      <c r="T146" s="416">
        <f>Assumptions!S238</f>
        <v>0</v>
      </c>
      <c r="U146" s="416">
        <f>Assumptions!T238</f>
        <v>0</v>
      </c>
      <c r="V146" s="415">
        <f>Assumptions!U238</f>
        <v>0</v>
      </c>
    </row>
    <row r="147" spans="1:22" ht="35.25" customHeight="1">
      <c r="A147" s="385" t="s">
        <v>288</v>
      </c>
      <c r="B147" s="340" t="s">
        <v>143</v>
      </c>
      <c r="C147" s="416">
        <f t="shared" ref="C147:F149" si="48">IF(C102+C93-B102-B93&lt;0,-(C102+C93-B102-B93),0)</f>
        <v>0</v>
      </c>
      <c r="D147" s="416">
        <f t="shared" si="48"/>
        <v>0</v>
      </c>
      <c r="E147" s="416">
        <f t="shared" si="48"/>
        <v>0</v>
      </c>
      <c r="F147" s="416">
        <f t="shared" si="48"/>
        <v>0</v>
      </c>
      <c r="G147" s="332">
        <f>ROUND(F93,0)</f>
        <v>0</v>
      </c>
      <c r="H147" s="444"/>
      <c r="I147" s="444"/>
      <c r="J147" s="444">
        <v>600</v>
      </c>
      <c r="K147" s="444">
        <v>800</v>
      </c>
      <c r="L147" s="444">
        <v>1000</v>
      </c>
      <c r="M147" s="444">
        <v>1200</v>
      </c>
      <c r="N147" s="444">
        <v>1400</v>
      </c>
      <c r="O147" s="444"/>
      <c r="P147" s="444"/>
      <c r="Q147" s="444"/>
      <c r="R147" s="444"/>
      <c r="S147" s="444"/>
      <c r="T147" s="444"/>
      <c r="U147" s="444"/>
      <c r="V147" s="443"/>
    </row>
    <row r="148" spans="1:22" ht="35.25" customHeight="1">
      <c r="A148" s="385" t="s">
        <v>289</v>
      </c>
      <c r="B148" s="340" t="s">
        <v>143</v>
      </c>
      <c r="C148" s="416">
        <f t="shared" si="48"/>
        <v>0</v>
      </c>
      <c r="D148" s="416">
        <f t="shared" si="48"/>
        <v>0</v>
      </c>
      <c r="E148" s="416">
        <f t="shared" si="48"/>
        <v>0</v>
      </c>
      <c r="F148" s="416">
        <f t="shared" si="48"/>
        <v>0</v>
      </c>
      <c r="G148" s="332">
        <f>ROUND(F94,0)</f>
        <v>0</v>
      </c>
      <c r="H148" s="444"/>
      <c r="I148" s="444"/>
      <c r="J148" s="444"/>
      <c r="K148" s="444"/>
      <c r="L148" s="444"/>
      <c r="M148" s="444"/>
      <c r="N148" s="444"/>
      <c r="O148" s="444"/>
      <c r="P148" s="444"/>
      <c r="Q148" s="444"/>
      <c r="R148" s="444"/>
      <c r="S148" s="444"/>
      <c r="T148" s="444"/>
      <c r="U148" s="444"/>
      <c r="V148" s="443"/>
    </row>
    <row r="149" spans="1:22" ht="35.25" customHeight="1">
      <c r="A149" s="385" t="str">
        <f>LEFT("LTD - ",6)&amp;A104</f>
        <v xml:space="preserve">LTD - </v>
      </c>
      <c r="B149" s="340" t="s">
        <v>143</v>
      </c>
      <c r="C149" s="416">
        <f t="shared" si="48"/>
        <v>0</v>
      </c>
      <c r="D149" s="416">
        <f t="shared" si="48"/>
        <v>0</v>
      </c>
      <c r="E149" s="416">
        <f t="shared" si="48"/>
        <v>0</v>
      </c>
      <c r="F149" s="416">
        <f t="shared" si="48"/>
        <v>0</v>
      </c>
      <c r="G149" s="332">
        <f>ROUND(F95,0)</f>
        <v>0</v>
      </c>
      <c r="H149" s="444"/>
      <c r="I149" s="444"/>
      <c r="J149" s="444"/>
      <c r="K149" s="444"/>
      <c r="L149" s="444"/>
      <c r="M149" s="444"/>
      <c r="N149" s="444"/>
      <c r="O149" s="444"/>
      <c r="P149" s="444"/>
      <c r="Q149" s="444"/>
      <c r="R149" s="444"/>
      <c r="S149" s="444"/>
      <c r="T149" s="444"/>
      <c r="U149" s="444"/>
      <c r="V149" s="443"/>
    </row>
    <row r="150" spans="1:22" ht="35.25" customHeight="1">
      <c r="A150" s="385" t="s">
        <v>244</v>
      </c>
      <c r="B150" s="340" t="s">
        <v>143</v>
      </c>
      <c r="C150" s="416">
        <f>IF(C113-B113&lt;0,-(C113-B113),0)</f>
        <v>0</v>
      </c>
      <c r="D150" s="416">
        <f>IF(D113-C113&lt;0,-(D113-C113),0)</f>
        <v>0</v>
      </c>
      <c r="E150" s="416">
        <f>IF(E113-D113&lt;0,-(E113-D113),0)</f>
        <v>0</v>
      </c>
      <c r="F150" s="416">
        <f>IF(F113-E113&lt;0,-(F113-E113),0)</f>
        <v>0</v>
      </c>
      <c r="G150" s="445"/>
      <c r="H150" s="444"/>
      <c r="I150" s="444"/>
      <c r="J150" s="444"/>
      <c r="K150" s="444"/>
      <c r="L150" s="444"/>
      <c r="M150" s="444"/>
      <c r="N150" s="444"/>
      <c r="O150" s="444"/>
      <c r="P150" s="444"/>
      <c r="Q150" s="444"/>
      <c r="R150" s="444"/>
      <c r="S150" s="444"/>
      <c r="T150" s="444"/>
      <c r="U150" s="444"/>
      <c r="V150" s="443"/>
    </row>
    <row r="151" spans="1:22" ht="35.25" customHeight="1">
      <c r="A151" s="385" t="s">
        <v>162</v>
      </c>
      <c r="B151" s="340" t="s">
        <v>143</v>
      </c>
      <c r="C151" s="416">
        <f>IF(C91-B91&lt;0,-(C91-B91),0)</f>
        <v>0</v>
      </c>
      <c r="D151" s="416">
        <f>IF(D91-C91&lt;0,-(D91-C91),0)</f>
        <v>0</v>
      </c>
      <c r="E151" s="416">
        <f>IF(E91-D91&lt;0,-(E91-D91),0)</f>
        <v>0</v>
      </c>
      <c r="F151" s="416">
        <f>IF(F91-E91&lt;0,-(F91-E91),0)</f>
        <v>0</v>
      </c>
      <c r="G151" s="445"/>
      <c r="H151" s="444"/>
      <c r="I151" s="444"/>
      <c r="J151" s="444"/>
      <c r="K151" s="444"/>
      <c r="L151" s="444"/>
      <c r="M151" s="444"/>
      <c r="N151" s="444"/>
      <c r="O151" s="444"/>
      <c r="P151" s="444"/>
      <c r="Q151" s="444"/>
      <c r="R151" s="444"/>
      <c r="S151" s="444"/>
      <c r="T151" s="444"/>
      <c r="U151" s="444"/>
      <c r="V151" s="443"/>
    </row>
    <row r="152" spans="1:22" ht="35.25" customHeight="1">
      <c r="A152" s="385" t="s">
        <v>272</v>
      </c>
      <c r="B152" s="340" t="s">
        <v>143</v>
      </c>
      <c r="C152" s="416">
        <f>C38</f>
        <v>0</v>
      </c>
      <c r="D152" s="416">
        <f>D38</f>
        <v>0</v>
      </c>
      <c r="E152" s="416">
        <f>E38</f>
        <v>0</v>
      </c>
      <c r="F152" s="416">
        <f>F38</f>
        <v>0</v>
      </c>
      <c r="G152" s="445"/>
      <c r="H152" s="445"/>
      <c r="I152" s="445"/>
      <c r="J152" s="445"/>
      <c r="K152" s="445"/>
      <c r="L152" s="445"/>
      <c r="M152" s="445">
        <v>5000</v>
      </c>
      <c r="N152" s="445">
        <v>5000</v>
      </c>
      <c r="O152" s="445">
        <v>5000</v>
      </c>
      <c r="P152" s="445">
        <v>5000</v>
      </c>
      <c r="Q152" s="445">
        <v>5000</v>
      </c>
      <c r="R152" s="445">
        <v>5000</v>
      </c>
      <c r="S152" s="445">
        <v>5000</v>
      </c>
      <c r="T152" s="445">
        <v>5000</v>
      </c>
      <c r="U152" s="445">
        <v>5000</v>
      </c>
      <c r="V152" s="445">
        <v>8000</v>
      </c>
    </row>
    <row r="153" spans="1:22" ht="35.25" customHeight="1">
      <c r="A153" s="385" t="s">
        <v>231</v>
      </c>
      <c r="B153" s="340" t="s">
        <v>143</v>
      </c>
      <c r="C153" s="416">
        <f t="shared" ref="C153:V153" si="49">IF(B$54+B$55+B$72-C$54-C$55-C$72&lt;0,-(B$54+B$55+B$72-C$54-C$55-C$72),0)</f>
        <v>0</v>
      </c>
      <c r="D153" s="416">
        <f t="shared" si="49"/>
        <v>0</v>
      </c>
      <c r="E153" s="416">
        <f t="shared" si="49"/>
        <v>0</v>
      </c>
      <c r="F153" s="416">
        <f t="shared" si="49"/>
        <v>0</v>
      </c>
      <c r="G153" s="332">
        <f t="shared" si="49"/>
        <v>0</v>
      </c>
      <c r="H153" s="416">
        <f t="shared" si="49"/>
        <v>0</v>
      </c>
      <c r="I153" s="416">
        <f t="shared" si="49"/>
        <v>0</v>
      </c>
      <c r="J153" s="416">
        <f t="shared" si="49"/>
        <v>0</v>
      </c>
      <c r="K153" s="416">
        <f t="shared" si="49"/>
        <v>0</v>
      </c>
      <c r="L153" s="416">
        <f t="shared" si="49"/>
        <v>0</v>
      </c>
      <c r="M153" s="416">
        <f t="shared" si="49"/>
        <v>0</v>
      </c>
      <c r="N153" s="416">
        <f t="shared" si="49"/>
        <v>0</v>
      </c>
      <c r="O153" s="416">
        <f t="shared" si="49"/>
        <v>0</v>
      </c>
      <c r="P153" s="416">
        <f t="shared" si="49"/>
        <v>0</v>
      </c>
      <c r="Q153" s="416">
        <f t="shared" si="49"/>
        <v>0</v>
      </c>
      <c r="R153" s="416">
        <f t="shared" si="49"/>
        <v>0</v>
      </c>
      <c r="S153" s="416">
        <f t="shared" si="49"/>
        <v>0</v>
      </c>
      <c r="T153" s="416">
        <f t="shared" si="49"/>
        <v>0</v>
      </c>
      <c r="U153" s="416">
        <f t="shared" si="49"/>
        <v>0</v>
      </c>
      <c r="V153" s="415">
        <f t="shared" si="49"/>
        <v>0</v>
      </c>
    </row>
    <row r="154" spans="1:22" ht="35.25" customHeight="1">
      <c r="A154" s="385" t="s">
        <v>296</v>
      </c>
      <c r="B154" s="340" t="s">
        <v>143</v>
      </c>
      <c r="C154" s="416">
        <f t="shared" ref="C154:V154" si="50">IF(C$96+C$97+C$108+C$116-B$96-B$97-B$108-B$116&lt;0,-(C$96+C$97+C$108+C$116-B$96-B$97-B$108-B$116),0)</f>
        <v>0</v>
      </c>
      <c r="D154" s="416">
        <f t="shared" si="50"/>
        <v>0</v>
      </c>
      <c r="E154" s="416">
        <f>IF(E$96+E$97+E$108+E$116-D$96-D$97-D$108-D$116&lt;0,-(E$96+E$97+E$108+E$116-D$96-D$97-D$108-D$116),0)</f>
        <v>0</v>
      </c>
      <c r="F154" s="416">
        <f>IF(F$96+F$97+F$108+F$116-E$96-E$97-E$108-E$116&lt;0,-(F$96+F$97+F$108+F$116-E$96-E$97-E$108-E$116),0)</f>
        <v>0</v>
      </c>
      <c r="G154" s="332">
        <f>IF(G$96+G$97+G$108+G$116-F$96-F$97-F$108-F$116&lt;0,-(G$96+G$97+G$108+G$116-F$96-F$97-F$108-F$116),0)</f>
        <v>0</v>
      </c>
      <c r="H154" s="416">
        <f t="shared" si="50"/>
        <v>0</v>
      </c>
      <c r="I154" s="416">
        <f t="shared" si="50"/>
        <v>0</v>
      </c>
      <c r="J154" s="416">
        <f t="shared" si="50"/>
        <v>0</v>
      </c>
      <c r="K154" s="416">
        <f t="shared" si="50"/>
        <v>0</v>
      </c>
      <c r="L154" s="416">
        <f t="shared" si="50"/>
        <v>0</v>
      </c>
      <c r="M154" s="416">
        <f t="shared" si="50"/>
        <v>0</v>
      </c>
      <c r="N154" s="416">
        <f t="shared" si="50"/>
        <v>0</v>
      </c>
      <c r="O154" s="416">
        <f t="shared" si="50"/>
        <v>0</v>
      </c>
      <c r="P154" s="416">
        <f t="shared" si="50"/>
        <v>0</v>
      </c>
      <c r="Q154" s="416">
        <f t="shared" si="50"/>
        <v>0</v>
      </c>
      <c r="R154" s="416">
        <f t="shared" si="50"/>
        <v>0</v>
      </c>
      <c r="S154" s="416">
        <f t="shared" si="50"/>
        <v>0</v>
      </c>
      <c r="T154" s="416">
        <f t="shared" si="50"/>
        <v>0</v>
      </c>
      <c r="U154" s="416">
        <f t="shared" si="50"/>
        <v>0</v>
      </c>
      <c r="V154" s="415">
        <f t="shared" si="50"/>
        <v>0</v>
      </c>
    </row>
    <row r="155" spans="1:22" ht="35.25" customHeight="1">
      <c r="A155" s="385"/>
      <c r="B155" s="340"/>
      <c r="C155" s="416"/>
      <c r="D155" s="416"/>
      <c r="E155" s="416"/>
      <c r="F155" s="416"/>
      <c r="G155" s="332" t="s">
        <v>70</v>
      </c>
      <c r="H155" s="416" t="s">
        <v>70</v>
      </c>
      <c r="I155" s="416" t="s">
        <v>70</v>
      </c>
      <c r="J155" s="416" t="s">
        <v>70</v>
      </c>
      <c r="K155" s="416" t="s">
        <v>70</v>
      </c>
      <c r="L155" s="416" t="s">
        <v>70</v>
      </c>
      <c r="M155" s="416" t="s">
        <v>70</v>
      </c>
      <c r="N155" s="416" t="s">
        <v>70</v>
      </c>
      <c r="O155" s="416" t="s">
        <v>70</v>
      </c>
      <c r="P155" s="416" t="s">
        <v>70</v>
      </c>
      <c r="Q155" s="416" t="s">
        <v>70</v>
      </c>
      <c r="R155" s="416" t="s">
        <v>70</v>
      </c>
      <c r="S155" s="416" t="s">
        <v>70</v>
      </c>
      <c r="T155" s="416" t="s">
        <v>70</v>
      </c>
      <c r="U155" s="416" t="s">
        <v>70</v>
      </c>
      <c r="V155" s="415" t="s">
        <v>70</v>
      </c>
    </row>
    <row r="156" spans="1:22" ht="35.25" customHeight="1">
      <c r="A156" s="533" t="s">
        <v>297</v>
      </c>
      <c r="B156" s="542" t="s">
        <v>143</v>
      </c>
      <c r="C156" s="526">
        <f t="shared" ref="C156:V156" si="51">ROUND(SUM(C144:C154),0)</f>
        <v>0</v>
      </c>
      <c r="D156" s="526">
        <f t="shared" si="51"/>
        <v>0</v>
      </c>
      <c r="E156" s="526">
        <f t="shared" si="51"/>
        <v>0</v>
      </c>
      <c r="F156" s="526">
        <f t="shared" si="51"/>
        <v>0</v>
      </c>
      <c r="G156" s="527">
        <f t="shared" si="51"/>
        <v>20551</v>
      </c>
      <c r="H156" s="526">
        <f t="shared" si="51"/>
        <v>213</v>
      </c>
      <c r="I156" s="526">
        <f t="shared" si="51"/>
        <v>798</v>
      </c>
      <c r="J156" s="526">
        <f t="shared" si="51"/>
        <v>1562</v>
      </c>
      <c r="K156" s="526">
        <f t="shared" si="51"/>
        <v>1935</v>
      </c>
      <c r="L156" s="526">
        <f t="shared" si="51"/>
        <v>2435</v>
      </c>
      <c r="M156" s="526">
        <f t="shared" si="51"/>
        <v>6200</v>
      </c>
      <c r="N156" s="526">
        <f t="shared" si="51"/>
        <v>6400</v>
      </c>
      <c r="O156" s="526">
        <f t="shared" si="51"/>
        <v>5000</v>
      </c>
      <c r="P156" s="526">
        <f t="shared" si="51"/>
        <v>5000</v>
      </c>
      <c r="Q156" s="526">
        <f t="shared" si="51"/>
        <v>5000</v>
      </c>
      <c r="R156" s="526">
        <f t="shared" si="51"/>
        <v>5000</v>
      </c>
      <c r="S156" s="526">
        <f t="shared" si="51"/>
        <v>5000</v>
      </c>
      <c r="T156" s="526">
        <f t="shared" si="51"/>
        <v>5000</v>
      </c>
      <c r="U156" s="526">
        <f t="shared" si="51"/>
        <v>5000</v>
      </c>
      <c r="V156" s="528">
        <f t="shared" si="51"/>
        <v>8000</v>
      </c>
    </row>
    <row r="157" spans="1:22" ht="35.25" customHeight="1">
      <c r="A157" s="529"/>
      <c r="B157" s="541"/>
      <c r="C157" s="530"/>
      <c r="D157" s="530"/>
      <c r="E157" s="530"/>
      <c r="F157" s="530"/>
      <c r="G157" s="531"/>
      <c r="H157" s="530">
        <f t="shared" ref="H157:S157" si="52">(G51-H51)+(G52-H52)+(H90-G90)+(I15+I16+I36)-H152</f>
        <v>2808</v>
      </c>
      <c r="I157" s="530">
        <f t="shared" si="52"/>
        <v>2640</v>
      </c>
      <c r="J157" s="530">
        <f t="shared" si="52"/>
        <v>2944</v>
      </c>
      <c r="K157" s="530">
        <f t="shared" si="52"/>
        <v>3668</v>
      </c>
      <c r="L157" s="530">
        <f t="shared" si="52"/>
        <v>3366</v>
      </c>
      <c r="M157" s="530">
        <f t="shared" si="52"/>
        <v>-199</v>
      </c>
      <c r="N157" s="530">
        <f t="shared" si="52"/>
        <v>-118</v>
      </c>
      <c r="O157" s="530">
        <f t="shared" si="52"/>
        <v>-118</v>
      </c>
      <c r="P157" s="530">
        <f t="shared" si="52"/>
        <v>-118</v>
      </c>
      <c r="Q157" s="530">
        <f t="shared" si="52"/>
        <v>-118</v>
      </c>
      <c r="R157" s="530">
        <f t="shared" si="52"/>
        <v>-118</v>
      </c>
      <c r="S157" s="530">
        <f t="shared" si="52"/>
        <v>-118</v>
      </c>
      <c r="T157" s="530"/>
      <c r="U157" s="530"/>
      <c r="V157" s="532"/>
    </row>
    <row r="158" spans="1:22" ht="35.25" customHeight="1">
      <c r="A158" s="385"/>
      <c r="B158" s="340"/>
      <c r="C158" s="416"/>
      <c r="D158" s="416"/>
      <c r="E158" s="416"/>
      <c r="F158" s="416"/>
      <c r="G158" s="332"/>
      <c r="H158" s="416"/>
      <c r="I158" s="416"/>
      <c r="J158" s="416"/>
      <c r="K158" s="416"/>
      <c r="L158" s="416"/>
      <c r="M158" s="416"/>
      <c r="N158" s="416"/>
      <c r="O158" s="416"/>
      <c r="P158" s="416"/>
      <c r="Q158" s="416"/>
      <c r="R158" s="416"/>
      <c r="S158" s="416"/>
      <c r="T158" s="416"/>
      <c r="U158" s="416"/>
      <c r="V158" s="415"/>
    </row>
    <row r="159" spans="1:22" ht="35.25" customHeight="1" thickBot="1">
      <c r="A159" s="385" t="s">
        <v>298</v>
      </c>
      <c r="B159" s="340" t="s">
        <v>143</v>
      </c>
      <c r="C159" s="416">
        <f t="shared" ref="C159:V159" si="53">C141-C156</f>
        <v>0</v>
      </c>
      <c r="D159" s="416">
        <f t="shared" si="53"/>
        <v>0</v>
      </c>
      <c r="E159" s="416">
        <f t="shared" si="53"/>
        <v>0</v>
      </c>
      <c r="F159" s="416">
        <f t="shared" si="53"/>
        <v>0</v>
      </c>
      <c r="G159" s="332">
        <f t="shared" si="53"/>
        <v>149</v>
      </c>
      <c r="H159" s="416">
        <f t="shared" si="53"/>
        <v>2500</v>
      </c>
      <c r="I159" s="416">
        <f t="shared" si="53"/>
        <v>2223</v>
      </c>
      <c r="J159" s="416">
        <f t="shared" si="53"/>
        <v>1876</v>
      </c>
      <c r="K159" s="416">
        <f t="shared" si="53"/>
        <v>1971</v>
      </c>
      <c r="L159" s="416">
        <f t="shared" si="53"/>
        <v>2368</v>
      </c>
      <c r="M159" s="416">
        <f t="shared" si="53"/>
        <v>-1399</v>
      </c>
      <c r="N159" s="416">
        <f t="shared" si="53"/>
        <v>-1599</v>
      </c>
      <c r="O159" s="416">
        <f t="shared" si="53"/>
        <v>-118</v>
      </c>
      <c r="P159" s="416">
        <f t="shared" si="53"/>
        <v>-118</v>
      </c>
      <c r="Q159" s="416">
        <f t="shared" si="53"/>
        <v>-118</v>
      </c>
      <c r="R159" s="416">
        <f t="shared" si="53"/>
        <v>-118</v>
      </c>
      <c r="S159" s="416">
        <f t="shared" si="53"/>
        <v>-118</v>
      </c>
      <c r="T159" s="416">
        <f t="shared" si="53"/>
        <v>-118</v>
      </c>
      <c r="U159" s="416">
        <f t="shared" si="53"/>
        <v>-118</v>
      </c>
      <c r="V159" s="415">
        <f t="shared" si="53"/>
        <v>-3118</v>
      </c>
    </row>
    <row r="160" spans="1:22" ht="35.25" customHeight="1" thickTop="1" thickBot="1">
      <c r="A160" s="331" t="s">
        <v>299</v>
      </c>
      <c r="B160" s="442">
        <f>B50</f>
        <v>0</v>
      </c>
      <c r="C160" s="439">
        <f>B160+C159</f>
        <v>0</v>
      </c>
      <c r="D160" s="439">
        <f>C160+D159</f>
        <v>0</v>
      </c>
      <c r="E160" s="439">
        <f>D160+E159</f>
        <v>0</v>
      </c>
      <c r="F160" s="439">
        <f>E160+F159</f>
        <v>0</v>
      </c>
      <c r="G160" s="441">
        <f>ROUND(F50+G159,0)</f>
        <v>149</v>
      </c>
      <c r="H160" s="440">
        <f t="shared" ref="H160:V160" si="54">ROUND(G160+H159,0)</f>
        <v>2649</v>
      </c>
      <c r="I160" s="439">
        <f t="shared" si="54"/>
        <v>4872</v>
      </c>
      <c r="J160" s="439">
        <f t="shared" si="54"/>
        <v>6748</v>
      </c>
      <c r="K160" s="439">
        <f t="shared" si="54"/>
        <v>8719</v>
      </c>
      <c r="L160" s="439">
        <f t="shared" si="54"/>
        <v>11087</v>
      </c>
      <c r="M160" s="439">
        <f t="shared" si="54"/>
        <v>9688</v>
      </c>
      <c r="N160" s="439">
        <f t="shared" si="54"/>
        <v>8089</v>
      </c>
      <c r="O160" s="439">
        <f t="shared" si="54"/>
        <v>7971</v>
      </c>
      <c r="P160" s="439">
        <f t="shared" si="54"/>
        <v>7853</v>
      </c>
      <c r="Q160" s="439">
        <f t="shared" si="54"/>
        <v>7735</v>
      </c>
      <c r="R160" s="439">
        <f t="shared" si="54"/>
        <v>7617</v>
      </c>
      <c r="S160" s="439">
        <f t="shared" si="54"/>
        <v>7499</v>
      </c>
      <c r="T160" s="439">
        <f t="shared" si="54"/>
        <v>7381</v>
      </c>
      <c r="U160" s="439">
        <f t="shared" si="54"/>
        <v>7263</v>
      </c>
      <c r="V160" s="438">
        <f t="shared" si="54"/>
        <v>4145</v>
      </c>
    </row>
    <row r="161" spans="1:23" ht="35.25" customHeight="1" thickTop="1">
      <c r="A161" s="400"/>
      <c r="B161" s="310"/>
      <c r="C161" s="310"/>
      <c r="D161" s="310"/>
      <c r="E161" s="310"/>
      <c r="F161" s="310"/>
      <c r="G161" s="437">
        <f t="shared" ref="G161:V161" si="55">G148+G149+G147+G151+G27</f>
        <v>0</v>
      </c>
      <c r="H161" s="437">
        <f t="shared" si="55"/>
        <v>83</v>
      </c>
      <c r="I161" s="437">
        <f t="shared" si="55"/>
        <v>83</v>
      </c>
      <c r="J161" s="437">
        <f t="shared" si="55"/>
        <v>683</v>
      </c>
      <c r="K161" s="437">
        <f t="shared" si="55"/>
        <v>883</v>
      </c>
      <c r="L161" s="437">
        <f t="shared" si="55"/>
        <v>1083</v>
      </c>
      <c r="M161" s="437">
        <f t="shared" si="55"/>
        <v>1283</v>
      </c>
      <c r="N161" s="437">
        <f t="shared" si="55"/>
        <v>1483</v>
      </c>
      <c r="O161" s="437">
        <f t="shared" si="55"/>
        <v>0</v>
      </c>
      <c r="P161" s="437">
        <f t="shared" si="55"/>
        <v>0</v>
      </c>
      <c r="Q161" s="437">
        <f t="shared" si="55"/>
        <v>0</v>
      </c>
      <c r="R161" s="437">
        <f t="shared" si="55"/>
        <v>0</v>
      </c>
      <c r="S161" s="437">
        <f t="shared" si="55"/>
        <v>0</v>
      </c>
      <c r="T161" s="437">
        <f t="shared" si="55"/>
        <v>0</v>
      </c>
      <c r="U161" s="437">
        <f t="shared" si="55"/>
        <v>0</v>
      </c>
      <c r="V161" s="437">
        <f t="shared" si="55"/>
        <v>0</v>
      </c>
    </row>
    <row r="162" spans="1:23" ht="26.25" customHeight="1" thickBot="1">
      <c r="A162" s="399"/>
    </row>
    <row r="163" spans="1:23" ht="36" customHeight="1" thickTop="1" thickBot="1">
      <c r="A163" s="399"/>
      <c r="K163" s="641" t="s">
        <v>300</v>
      </c>
      <c r="L163" s="642"/>
      <c r="M163" s="643"/>
      <c r="N163" s="313"/>
      <c r="P163" s="522" t="s">
        <v>301</v>
      </c>
      <c r="Q163" s="523"/>
      <c r="R163" s="312"/>
      <c r="U163" s="436"/>
      <c r="V163" s="436"/>
    </row>
    <row r="164" spans="1:23" ht="28.5" hidden="1" customHeight="1" thickTop="1">
      <c r="A164" s="399"/>
      <c r="K164" s="310"/>
      <c r="L164" s="310"/>
      <c r="M164" s="310"/>
      <c r="P164" s="524"/>
      <c r="Q164" s="524"/>
    </row>
    <row r="165" spans="1:23" ht="30.75" hidden="1" customHeight="1">
      <c r="A165" s="399"/>
    </row>
    <row r="166" spans="1:23" ht="36" customHeight="1" thickTop="1" thickBot="1">
      <c r="A166" s="399"/>
      <c r="R166" s="647" t="s">
        <v>250</v>
      </c>
      <c r="S166" s="647"/>
    </row>
    <row r="167" spans="1:23" ht="36" customHeight="1" thickTop="1" thickBot="1">
      <c r="A167" s="399"/>
      <c r="B167" s="435"/>
      <c r="C167" s="434" t="s">
        <v>251</v>
      </c>
      <c r="D167" s="433"/>
      <c r="E167" s="433"/>
      <c r="F167" s="433"/>
      <c r="G167" s="644" t="s">
        <v>252</v>
      </c>
      <c r="H167" s="645"/>
      <c r="I167" s="645"/>
      <c r="J167" s="645"/>
      <c r="K167" s="645"/>
      <c r="L167" s="645"/>
      <c r="M167" s="645"/>
      <c r="N167" s="645"/>
      <c r="O167" s="645"/>
      <c r="P167" s="645"/>
      <c r="Q167" s="645"/>
      <c r="R167" s="645"/>
      <c r="S167" s="645"/>
      <c r="T167" s="645"/>
      <c r="U167" s="645"/>
      <c r="V167" s="646"/>
      <c r="W167" s="342">
        <v>1</v>
      </c>
    </row>
    <row r="168" spans="1:23" ht="36" customHeight="1" thickTop="1" thickBot="1">
      <c r="A168" s="399"/>
      <c r="B168" s="432" t="str">
        <f>IF(B$6=0," ",B$6)</f>
        <v xml:space="preserve"> </v>
      </c>
      <c r="C168" s="431" t="str">
        <f>IF(C$6=0," ",C$6)</f>
        <v xml:space="preserve"> </v>
      </c>
      <c r="D168" s="431" t="str">
        <f>IF(D$6=0," ",D$6)</f>
        <v xml:space="preserve"> </v>
      </c>
      <c r="E168" s="431" t="str">
        <f>IF(E$6=0," ",E$6)</f>
        <v xml:space="preserve"> </v>
      </c>
      <c r="F168" s="431" t="str">
        <f>IF(F$6=0," ",F$6)</f>
        <v xml:space="preserve"> </v>
      </c>
      <c r="G168" s="430" t="str">
        <f t="shared" ref="G168:V168" si="56">B318</f>
        <v xml:space="preserve">  2025</v>
      </c>
      <c r="H168" s="429" t="str">
        <f t="shared" si="56"/>
        <v xml:space="preserve">  2026</v>
      </c>
      <c r="I168" s="429" t="str">
        <f t="shared" si="56"/>
        <v xml:space="preserve">  2027</v>
      </c>
      <c r="J168" s="429" t="str">
        <f t="shared" si="56"/>
        <v xml:space="preserve">  2028</v>
      </c>
      <c r="K168" s="429" t="str">
        <f t="shared" si="56"/>
        <v xml:space="preserve">  2029</v>
      </c>
      <c r="L168" s="429" t="str">
        <f t="shared" si="56"/>
        <v xml:space="preserve">  2030</v>
      </c>
      <c r="M168" s="429" t="str">
        <f t="shared" si="56"/>
        <v xml:space="preserve">  2031</v>
      </c>
      <c r="N168" s="429" t="str">
        <f t="shared" si="56"/>
        <v xml:space="preserve">  2032</v>
      </c>
      <c r="O168" s="429" t="str">
        <f t="shared" si="56"/>
        <v xml:space="preserve">  2033</v>
      </c>
      <c r="P168" s="429" t="str">
        <f t="shared" si="56"/>
        <v xml:space="preserve">  2034</v>
      </c>
      <c r="Q168" s="429" t="str">
        <f t="shared" si="56"/>
        <v xml:space="preserve">  2035</v>
      </c>
      <c r="R168" s="429" t="str">
        <f t="shared" si="56"/>
        <v xml:space="preserve">  2036</v>
      </c>
      <c r="S168" s="429" t="str">
        <f t="shared" si="56"/>
        <v xml:space="preserve">  2037</v>
      </c>
      <c r="T168" s="429" t="str">
        <f t="shared" si="56"/>
        <v xml:space="preserve">  2038</v>
      </c>
      <c r="U168" s="429" t="str">
        <f t="shared" si="56"/>
        <v xml:space="preserve">  2039</v>
      </c>
      <c r="V168" s="428" t="str">
        <f t="shared" si="56"/>
        <v xml:space="preserve">  2040</v>
      </c>
    </row>
    <row r="169" spans="1:23" ht="36" customHeight="1" thickTop="1">
      <c r="A169" s="337"/>
      <c r="B169" s="427"/>
      <c r="C169" s="426"/>
      <c r="D169" s="426"/>
      <c r="E169" s="426"/>
      <c r="F169" s="426"/>
      <c r="G169" s="427" t="s">
        <v>70</v>
      </c>
      <c r="H169" s="426" t="s">
        <v>70</v>
      </c>
      <c r="I169" s="426" t="s">
        <v>70</v>
      </c>
      <c r="J169" s="426" t="s">
        <v>70</v>
      </c>
      <c r="K169" s="426" t="s">
        <v>70</v>
      </c>
      <c r="L169" s="426" t="s">
        <v>70</v>
      </c>
      <c r="M169" s="426" t="s">
        <v>70</v>
      </c>
      <c r="N169" s="426" t="s">
        <v>70</v>
      </c>
      <c r="O169" s="426" t="s">
        <v>70</v>
      </c>
      <c r="P169" s="426" t="s">
        <v>70</v>
      </c>
      <c r="Q169" s="426" t="s">
        <v>70</v>
      </c>
      <c r="R169" s="426" t="s">
        <v>70</v>
      </c>
      <c r="S169" s="426" t="s">
        <v>70</v>
      </c>
      <c r="T169" s="426" t="s">
        <v>70</v>
      </c>
      <c r="U169" s="426" t="s">
        <v>70</v>
      </c>
      <c r="V169" s="425" t="s">
        <v>70</v>
      </c>
    </row>
    <row r="170" spans="1:23" ht="36" customHeight="1">
      <c r="A170" s="385" t="s">
        <v>229</v>
      </c>
      <c r="B170" s="332">
        <f t="shared" ref="B170:V170" si="57">B57</f>
        <v>0</v>
      </c>
      <c r="C170" s="416">
        <f t="shared" si="57"/>
        <v>0</v>
      </c>
      <c r="D170" s="416">
        <f t="shared" si="57"/>
        <v>0</v>
      </c>
      <c r="E170" s="416">
        <f t="shared" si="57"/>
        <v>0</v>
      </c>
      <c r="F170" s="416">
        <f t="shared" si="57"/>
        <v>0</v>
      </c>
      <c r="G170" s="332">
        <f t="shared" si="57"/>
        <v>7890</v>
      </c>
      <c r="H170" s="416">
        <f t="shared" si="57"/>
        <v>10701</v>
      </c>
      <c r="I170" s="416">
        <f t="shared" si="57"/>
        <v>13782</v>
      </c>
      <c r="J170" s="416">
        <f t="shared" si="57"/>
        <v>16694</v>
      </c>
      <c r="K170" s="416">
        <f t="shared" si="57"/>
        <v>19887</v>
      </c>
      <c r="L170" s="416">
        <f t="shared" si="57"/>
        <v>23800</v>
      </c>
      <c r="M170" s="416">
        <f t="shared" si="57"/>
        <v>22401</v>
      </c>
      <c r="N170" s="416">
        <f t="shared" si="57"/>
        <v>20802</v>
      </c>
      <c r="O170" s="416">
        <f t="shared" si="57"/>
        <v>20684</v>
      </c>
      <c r="P170" s="416">
        <f t="shared" si="57"/>
        <v>20566</v>
      </c>
      <c r="Q170" s="416">
        <f t="shared" si="57"/>
        <v>20448</v>
      </c>
      <c r="R170" s="416">
        <f t="shared" si="57"/>
        <v>20330</v>
      </c>
      <c r="S170" s="416">
        <f t="shared" si="57"/>
        <v>20212</v>
      </c>
      <c r="T170" s="416">
        <f t="shared" si="57"/>
        <v>20094</v>
      </c>
      <c r="U170" s="416">
        <f t="shared" si="57"/>
        <v>19976</v>
      </c>
      <c r="V170" s="415">
        <f t="shared" si="57"/>
        <v>16858</v>
      </c>
    </row>
    <row r="171" spans="1:23" ht="36" customHeight="1">
      <c r="A171" s="385" t="s">
        <v>239</v>
      </c>
      <c r="B171" s="332">
        <f t="shared" ref="B171:V171" si="58">B99</f>
        <v>0</v>
      </c>
      <c r="C171" s="416">
        <f t="shared" si="58"/>
        <v>0</v>
      </c>
      <c r="D171" s="416">
        <f t="shared" si="58"/>
        <v>0</v>
      </c>
      <c r="E171" s="416">
        <f t="shared" si="58"/>
        <v>0</v>
      </c>
      <c r="F171" s="416">
        <f t="shared" si="58"/>
        <v>0</v>
      </c>
      <c r="G171" s="332">
        <f t="shared" si="58"/>
        <v>529</v>
      </c>
      <c r="H171" s="416">
        <f t="shared" si="58"/>
        <v>627</v>
      </c>
      <c r="I171" s="416">
        <f t="shared" si="58"/>
        <v>1287</v>
      </c>
      <c r="J171" s="416">
        <f t="shared" si="58"/>
        <v>1561</v>
      </c>
      <c r="K171" s="416">
        <f t="shared" si="58"/>
        <v>1848</v>
      </c>
      <c r="L171" s="416">
        <f t="shared" si="58"/>
        <v>2158</v>
      </c>
      <c r="M171" s="416">
        <f t="shared" si="58"/>
        <v>2358</v>
      </c>
      <c r="N171" s="416">
        <f t="shared" si="58"/>
        <v>958</v>
      </c>
      <c r="O171" s="416">
        <f t="shared" si="58"/>
        <v>958</v>
      </c>
      <c r="P171" s="416">
        <f t="shared" si="58"/>
        <v>958</v>
      </c>
      <c r="Q171" s="416">
        <f t="shared" si="58"/>
        <v>958</v>
      </c>
      <c r="R171" s="416">
        <f t="shared" si="58"/>
        <v>958</v>
      </c>
      <c r="S171" s="416">
        <f t="shared" si="58"/>
        <v>958</v>
      </c>
      <c r="T171" s="416">
        <f t="shared" si="58"/>
        <v>958</v>
      </c>
      <c r="U171" s="416">
        <f t="shared" si="58"/>
        <v>958</v>
      </c>
      <c r="V171" s="415">
        <f t="shared" si="58"/>
        <v>958</v>
      </c>
    </row>
    <row r="172" spans="1:23" ht="36" customHeight="1">
      <c r="A172" s="385"/>
      <c r="B172" s="332"/>
      <c r="C172" s="416"/>
      <c r="D172" s="416"/>
      <c r="E172" s="416"/>
      <c r="F172" s="416"/>
      <c r="G172" s="332" t="s">
        <v>70</v>
      </c>
      <c r="H172" s="416" t="s">
        <v>70</v>
      </c>
      <c r="I172" s="416" t="s">
        <v>70</v>
      </c>
      <c r="J172" s="416" t="s">
        <v>70</v>
      </c>
      <c r="K172" s="416" t="s">
        <v>70</v>
      </c>
      <c r="L172" s="416" t="s">
        <v>70</v>
      </c>
      <c r="M172" s="416" t="s">
        <v>70</v>
      </c>
      <c r="N172" s="416" t="s">
        <v>70</v>
      </c>
      <c r="O172" s="416" t="s">
        <v>70</v>
      </c>
      <c r="P172" s="416" t="s">
        <v>70</v>
      </c>
      <c r="Q172" s="416" t="s">
        <v>70</v>
      </c>
      <c r="R172" s="416" t="s">
        <v>70</v>
      </c>
      <c r="S172" s="416" t="s">
        <v>70</v>
      </c>
      <c r="T172" s="416" t="s">
        <v>70</v>
      </c>
      <c r="U172" s="416" t="s">
        <v>70</v>
      </c>
      <c r="V172" s="415" t="s">
        <v>70</v>
      </c>
    </row>
    <row r="173" spans="1:23" ht="36" customHeight="1">
      <c r="A173" s="529" t="s">
        <v>302</v>
      </c>
      <c r="B173" s="531">
        <f t="shared" ref="B173:V173" si="59">B170-B171</f>
        <v>0</v>
      </c>
      <c r="C173" s="530">
        <f t="shared" si="59"/>
        <v>0</v>
      </c>
      <c r="D173" s="530">
        <f t="shared" si="59"/>
        <v>0</v>
      </c>
      <c r="E173" s="530">
        <f t="shared" si="59"/>
        <v>0</v>
      </c>
      <c r="F173" s="530">
        <f t="shared" si="59"/>
        <v>0</v>
      </c>
      <c r="G173" s="531">
        <f t="shared" si="59"/>
        <v>7361</v>
      </c>
      <c r="H173" s="530">
        <f t="shared" si="59"/>
        <v>10074</v>
      </c>
      <c r="I173" s="530">
        <f t="shared" si="59"/>
        <v>12495</v>
      </c>
      <c r="J173" s="530">
        <f t="shared" si="59"/>
        <v>15133</v>
      </c>
      <c r="K173" s="530">
        <f t="shared" si="59"/>
        <v>18039</v>
      </c>
      <c r="L173" s="530">
        <f t="shared" si="59"/>
        <v>21642</v>
      </c>
      <c r="M173" s="530">
        <f t="shared" si="59"/>
        <v>20043</v>
      </c>
      <c r="N173" s="530">
        <f t="shared" si="59"/>
        <v>19844</v>
      </c>
      <c r="O173" s="530">
        <f t="shared" si="59"/>
        <v>19726</v>
      </c>
      <c r="P173" s="530">
        <f t="shared" si="59"/>
        <v>19608</v>
      </c>
      <c r="Q173" s="530">
        <f t="shared" si="59"/>
        <v>19490</v>
      </c>
      <c r="R173" s="530">
        <f t="shared" si="59"/>
        <v>19372</v>
      </c>
      <c r="S173" s="530">
        <f t="shared" si="59"/>
        <v>19254</v>
      </c>
      <c r="T173" s="530">
        <f t="shared" si="59"/>
        <v>19136</v>
      </c>
      <c r="U173" s="530">
        <f t="shared" si="59"/>
        <v>19018</v>
      </c>
      <c r="V173" s="532">
        <f t="shared" si="59"/>
        <v>15900</v>
      </c>
    </row>
    <row r="174" spans="1:23" ht="36" customHeight="1">
      <c r="A174" s="529"/>
      <c r="B174" s="531"/>
      <c r="C174" s="530"/>
      <c r="D174" s="530"/>
      <c r="E174" s="530"/>
      <c r="F174" s="530"/>
      <c r="G174" s="531"/>
      <c r="H174" s="530"/>
      <c r="I174" s="530"/>
      <c r="J174" s="530"/>
      <c r="K174" s="530"/>
      <c r="L174" s="530"/>
      <c r="M174" s="530"/>
      <c r="N174" s="530"/>
      <c r="O174" s="530"/>
      <c r="P174" s="530"/>
      <c r="Q174" s="530"/>
      <c r="R174" s="530"/>
      <c r="S174" s="530"/>
      <c r="T174" s="530"/>
      <c r="U174" s="530"/>
      <c r="V174" s="532"/>
    </row>
    <row r="175" spans="1:23" ht="36" customHeight="1">
      <c r="A175" s="385"/>
      <c r="B175" s="332"/>
      <c r="C175" s="416"/>
      <c r="D175" s="416"/>
      <c r="E175" s="416"/>
      <c r="F175" s="416"/>
      <c r="G175" s="332"/>
      <c r="H175" s="416"/>
      <c r="I175" s="416"/>
      <c r="J175" s="416"/>
      <c r="K175" s="416"/>
      <c r="L175" s="416"/>
      <c r="M175" s="416"/>
      <c r="N175" s="416"/>
      <c r="O175" s="416"/>
      <c r="P175" s="416"/>
      <c r="Q175" s="416"/>
      <c r="R175" s="416"/>
      <c r="S175" s="416"/>
      <c r="T175" s="416"/>
      <c r="U175" s="416"/>
      <c r="V175" s="415"/>
    </row>
    <row r="176" spans="1:23" ht="36" customHeight="1">
      <c r="A176" s="385" t="s">
        <v>230</v>
      </c>
      <c r="B176" s="332">
        <f t="shared" ref="B176:V176" si="60">B70</f>
        <v>0</v>
      </c>
      <c r="C176" s="416">
        <f t="shared" si="60"/>
        <v>0</v>
      </c>
      <c r="D176" s="416">
        <f t="shared" si="60"/>
        <v>0</v>
      </c>
      <c r="E176" s="416">
        <f t="shared" si="60"/>
        <v>0</v>
      </c>
      <c r="F176" s="416">
        <f t="shared" si="60"/>
        <v>0</v>
      </c>
      <c r="G176" s="332">
        <f t="shared" si="60"/>
        <v>12940</v>
      </c>
      <c r="H176" s="416">
        <f t="shared" si="60"/>
        <v>12238</v>
      </c>
      <c r="I176" s="416">
        <f t="shared" si="60"/>
        <v>11536</v>
      </c>
      <c r="J176" s="416">
        <f t="shared" si="60"/>
        <v>10834</v>
      </c>
      <c r="K176" s="416">
        <f t="shared" si="60"/>
        <v>10132</v>
      </c>
      <c r="L176" s="416">
        <f t="shared" si="60"/>
        <v>9430</v>
      </c>
      <c r="M176" s="416">
        <f t="shared" si="60"/>
        <v>8800</v>
      </c>
      <c r="N176" s="416">
        <f t="shared" si="60"/>
        <v>8170</v>
      </c>
      <c r="O176" s="416">
        <f t="shared" si="60"/>
        <v>7540</v>
      </c>
      <c r="P176" s="416">
        <f t="shared" si="60"/>
        <v>6910</v>
      </c>
      <c r="Q176" s="416">
        <f t="shared" si="60"/>
        <v>6280</v>
      </c>
      <c r="R176" s="416">
        <f t="shared" si="60"/>
        <v>5650</v>
      </c>
      <c r="S176" s="416">
        <f t="shared" si="60"/>
        <v>5020</v>
      </c>
      <c r="T176" s="416">
        <f t="shared" si="60"/>
        <v>4390</v>
      </c>
      <c r="U176" s="416">
        <f t="shared" si="60"/>
        <v>3760</v>
      </c>
      <c r="V176" s="415">
        <f t="shared" si="60"/>
        <v>3130</v>
      </c>
    </row>
    <row r="177" spans="1:23" ht="36" customHeight="1">
      <c r="A177" s="385" t="s">
        <v>231</v>
      </c>
      <c r="B177" s="332">
        <f t="shared" ref="B177:V177" si="61">B72</f>
        <v>0</v>
      </c>
      <c r="C177" s="416">
        <f t="shared" si="61"/>
        <v>0</v>
      </c>
      <c r="D177" s="416">
        <f t="shared" si="61"/>
        <v>0</v>
      </c>
      <c r="E177" s="416">
        <f t="shared" si="61"/>
        <v>0</v>
      </c>
      <c r="F177" s="416">
        <f t="shared" si="61"/>
        <v>0</v>
      </c>
      <c r="G177" s="332">
        <f t="shared" si="61"/>
        <v>0</v>
      </c>
      <c r="H177" s="416">
        <f t="shared" si="61"/>
        <v>0</v>
      </c>
      <c r="I177" s="416">
        <f t="shared" si="61"/>
        <v>0</v>
      </c>
      <c r="J177" s="416">
        <f t="shared" si="61"/>
        <v>0</v>
      </c>
      <c r="K177" s="416">
        <f t="shared" si="61"/>
        <v>0</v>
      </c>
      <c r="L177" s="416">
        <f t="shared" si="61"/>
        <v>0</v>
      </c>
      <c r="M177" s="416">
        <f t="shared" si="61"/>
        <v>0</v>
      </c>
      <c r="N177" s="416">
        <f t="shared" si="61"/>
        <v>0</v>
      </c>
      <c r="O177" s="416">
        <f t="shared" si="61"/>
        <v>0</v>
      </c>
      <c r="P177" s="416">
        <f t="shared" si="61"/>
        <v>0</v>
      </c>
      <c r="Q177" s="416">
        <f t="shared" si="61"/>
        <v>0</v>
      </c>
      <c r="R177" s="416">
        <f t="shared" si="61"/>
        <v>0</v>
      </c>
      <c r="S177" s="416">
        <f t="shared" si="61"/>
        <v>0</v>
      </c>
      <c r="T177" s="416">
        <f t="shared" si="61"/>
        <v>0</v>
      </c>
      <c r="U177" s="416">
        <f t="shared" si="61"/>
        <v>0</v>
      </c>
      <c r="V177" s="415">
        <f t="shared" si="61"/>
        <v>0</v>
      </c>
    </row>
    <row r="178" spans="1:23" ht="36" customHeight="1">
      <c r="A178" s="385" t="s">
        <v>240</v>
      </c>
      <c r="B178" s="332">
        <f t="shared" ref="B178:V178" si="62">B106</f>
        <v>0</v>
      </c>
      <c r="C178" s="416">
        <f t="shared" si="62"/>
        <v>0</v>
      </c>
      <c r="D178" s="416">
        <f t="shared" si="62"/>
        <v>0</v>
      </c>
      <c r="E178" s="416">
        <f t="shared" si="62"/>
        <v>0</v>
      </c>
      <c r="F178" s="416">
        <f t="shared" si="62"/>
        <v>0</v>
      </c>
      <c r="G178" s="332">
        <f t="shared" si="62"/>
        <v>5000</v>
      </c>
      <c r="H178" s="416">
        <f t="shared" si="62"/>
        <v>5000</v>
      </c>
      <c r="I178" s="416">
        <f t="shared" si="62"/>
        <v>4400</v>
      </c>
      <c r="J178" s="416">
        <f t="shared" si="62"/>
        <v>3600</v>
      </c>
      <c r="K178" s="416">
        <f t="shared" si="62"/>
        <v>2600</v>
      </c>
      <c r="L178" s="416">
        <f t="shared" si="62"/>
        <v>1400</v>
      </c>
      <c r="M178" s="416">
        <f t="shared" si="62"/>
        <v>0</v>
      </c>
      <c r="N178" s="416">
        <f t="shared" si="62"/>
        <v>0</v>
      </c>
      <c r="O178" s="416">
        <f t="shared" si="62"/>
        <v>0</v>
      </c>
      <c r="P178" s="416">
        <f t="shared" si="62"/>
        <v>0</v>
      </c>
      <c r="Q178" s="416">
        <f t="shared" si="62"/>
        <v>0</v>
      </c>
      <c r="R178" s="416">
        <f t="shared" si="62"/>
        <v>0</v>
      </c>
      <c r="S178" s="416">
        <f t="shared" si="62"/>
        <v>0</v>
      </c>
      <c r="T178" s="416">
        <f t="shared" si="62"/>
        <v>0</v>
      </c>
      <c r="U178" s="416">
        <f t="shared" si="62"/>
        <v>0</v>
      </c>
      <c r="V178" s="415">
        <f t="shared" si="62"/>
        <v>0</v>
      </c>
    </row>
    <row r="179" spans="1:23" ht="36" customHeight="1">
      <c r="A179" s="385" t="s">
        <v>241</v>
      </c>
      <c r="B179" s="332">
        <f t="shared" ref="B179:V179" si="63">B108</f>
        <v>0</v>
      </c>
      <c r="C179" s="416">
        <f t="shared" si="63"/>
        <v>0</v>
      </c>
      <c r="D179" s="416">
        <f t="shared" si="63"/>
        <v>0</v>
      </c>
      <c r="E179" s="416">
        <f t="shared" si="63"/>
        <v>0</v>
      </c>
      <c r="F179" s="416">
        <f t="shared" si="63"/>
        <v>0</v>
      </c>
      <c r="G179" s="332">
        <f t="shared" si="63"/>
        <v>0</v>
      </c>
      <c r="H179" s="416">
        <f t="shared" si="63"/>
        <v>0</v>
      </c>
      <c r="I179" s="416">
        <f t="shared" si="63"/>
        <v>0</v>
      </c>
      <c r="J179" s="416">
        <f t="shared" si="63"/>
        <v>0</v>
      </c>
      <c r="K179" s="416">
        <f t="shared" si="63"/>
        <v>0</v>
      </c>
      <c r="L179" s="416">
        <f t="shared" si="63"/>
        <v>0</v>
      </c>
      <c r="M179" s="416">
        <f t="shared" si="63"/>
        <v>0</v>
      </c>
      <c r="N179" s="416">
        <f t="shared" si="63"/>
        <v>0</v>
      </c>
      <c r="O179" s="416">
        <f t="shared" si="63"/>
        <v>0</v>
      </c>
      <c r="P179" s="416">
        <f t="shared" si="63"/>
        <v>0</v>
      </c>
      <c r="Q179" s="416">
        <f t="shared" si="63"/>
        <v>0</v>
      </c>
      <c r="R179" s="416">
        <f t="shared" si="63"/>
        <v>0</v>
      </c>
      <c r="S179" s="416">
        <f t="shared" si="63"/>
        <v>0</v>
      </c>
      <c r="T179" s="416">
        <f t="shared" si="63"/>
        <v>0</v>
      </c>
      <c r="U179" s="416">
        <f t="shared" si="63"/>
        <v>0</v>
      </c>
      <c r="V179" s="415">
        <f t="shared" si="63"/>
        <v>0</v>
      </c>
    </row>
    <row r="180" spans="1:23" ht="36" customHeight="1">
      <c r="A180" s="385" t="s">
        <v>303</v>
      </c>
      <c r="B180" s="332">
        <f t="shared" ref="B180:V180" si="64">B118-B78</f>
        <v>0</v>
      </c>
      <c r="C180" s="416">
        <f t="shared" si="64"/>
        <v>0</v>
      </c>
      <c r="D180" s="416">
        <f t="shared" si="64"/>
        <v>0</v>
      </c>
      <c r="E180" s="416">
        <f t="shared" si="64"/>
        <v>0</v>
      </c>
      <c r="F180" s="416">
        <f t="shared" si="64"/>
        <v>0</v>
      </c>
      <c r="G180" s="332">
        <f t="shared" si="64"/>
        <v>15301</v>
      </c>
      <c r="H180" s="416">
        <f t="shared" si="64"/>
        <v>17312</v>
      </c>
      <c r="I180" s="416">
        <f t="shared" si="64"/>
        <v>19631</v>
      </c>
      <c r="J180" s="416">
        <f t="shared" si="64"/>
        <v>22367</v>
      </c>
      <c r="K180" s="416">
        <f t="shared" si="64"/>
        <v>25571</v>
      </c>
      <c r="L180" s="416">
        <f t="shared" si="64"/>
        <v>29672</v>
      </c>
      <c r="M180" s="416">
        <f t="shared" si="64"/>
        <v>28843</v>
      </c>
      <c r="N180" s="416">
        <f t="shared" si="64"/>
        <v>28014</v>
      </c>
      <c r="O180" s="416">
        <f t="shared" si="64"/>
        <v>27266</v>
      </c>
      <c r="P180" s="416">
        <f t="shared" si="64"/>
        <v>26518</v>
      </c>
      <c r="Q180" s="416">
        <f t="shared" si="64"/>
        <v>25770</v>
      </c>
      <c r="R180" s="416">
        <f t="shared" si="64"/>
        <v>25022</v>
      </c>
      <c r="S180" s="416">
        <f t="shared" si="64"/>
        <v>24274</v>
      </c>
      <c r="T180" s="416">
        <f t="shared" si="64"/>
        <v>23526</v>
      </c>
      <c r="U180" s="416">
        <f t="shared" si="64"/>
        <v>22778</v>
      </c>
      <c r="V180" s="415">
        <f t="shared" si="64"/>
        <v>19030</v>
      </c>
    </row>
    <row r="181" spans="1:23" ht="36" customHeight="1">
      <c r="A181" s="385"/>
      <c r="B181" s="332"/>
      <c r="C181" s="416"/>
      <c r="D181" s="416"/>
      <c r="E181" s="416"/>
      <c r="F181" s="416"/>
      <c r="G181" s="332"/>
      <c r="H181" s="416"/>
      <c r="I181" s="416"/>
      <c r="J181" s="416"/>
      <c r="K181" s="416"/>
      <c r="L181" s="416"/>
      <c r="M181" s="416"/>
      <c r="N181" s="416"/>
      <c r="O181" s="416"/>
      <c r="P181" s="416"/>
      <c r="Q181" s="416"/>
      <c r="R181" s="416"/>
      <c r="S181" s="416"/>
      <c r="T181" s="416"/>
      <c r="U181" s="416"/>
      <c r="V181" s="415"/>
    </row>
    <row r="182" spans="1:23" ht="36" customHeight="1">
      <c r="A182" s="385"/>
      <c r="B182" s="332"/>
      <c r="C182" s="416"/>
      <c r="D182" s="416"/>
      <c r="E182" s="416"/>
      <c r="F182" s="416"/>
      <c r="G182" s="332"/>
      <c r="H182" s="416"/>
      <c r="I182" s="416"/>
      <c r="J182" s="416"/>
      <c r="K182" s="416"/>
      <c r="L182" s="416"/>
      <c r="M182" s="416"/>
      <c r="N182" s="416"/>
      <c r="O182" s="416"/>
      <c r="P182" s="416"/>
      <c r="Q182" s="416"/>
      <c r="R182" s="416"/>
      <c r="S182" s="416"/>
      <c r="T182" s="416"/>
      <c r="U182" s="416"/>
      <c r="V182" s="415"/>
    </row>
    <row r="183" spans="1:23" ht="36" customHeight="1">
      <c r="A183" s="385" t="s">
        <v>47</v>
      </c>
      <c r="B183" s="332">
        <f t="shared" ref="B183:V183" si="65">B8</f>
        <v>0</v>
      </c>
      <c r="C183" s="416">
        <f t="shared" si="65"/>
        <v>0</v>
      </c>
      <c r="D183" s="416">
        <f t="shared" si="65"/>
        <v>0</v>
      </c>
      <c r="E183" s="416">
        <f t="shared" si="65"/>
        <v>0</v>
      </c>
      <c r="F183" s="416">
        <f t="shared" si="65"/>
        <v>0</v>
      </c>
      <c r="G183" s="332">
        <f t="shared" si="65"/>
        <v>19700</v>
      </c>
      <c r="H183" s="416">
        <f t="shared" si="65"/>
        <v>18219</v>
      </c>
      <c r="I183" s="416">
        <f t="shared" si="65"/>
        <v>20364</v>
      </c>
      <c r="J183" s="416">
        <f t="shared" si="65"/>
        <v>22910</v>
      </c>
      <c r="K183" s="416">
        <f t="shared" si="65"/>
        <v>25912</v>
      </c>
      <c r="L183" s="416">
        <f t="shared" si="65"/>
        <v>29721</v>
      </c>
      <c r="M183" s="416">
        <f t="shared" si="65"/>
        <v>29721</v>
      </c>
      <c r="N183" s="416">
        <f t="shared" si="65"/>
        <v>29721</v>
      </c>
      <c r="O183" s="416">
        <f t="shared" si="65"/>
        <v>29721</v>
      </c>
      <c r="P183" s="416">
        <f t="shared" si="65"/>
        <v>29721</v>
      </c>
      <c r="Q183" s="416">
        <f t="shared" si="65"/>
        <v>29721</v>
      </c>
      <c r="R183" s="416">
        <f t="shared" si="65"/>
        <v>29721</v>
      </c>
      <c r="S183" s="416">
        <f t="shared" si="65"/>
        <v>29721</v>
      </c>
      <c r="T183" s="416">
        <f t="shared" si="65"/>
        <v>29721</v>
      </c>
      <c r="U183" s="416">
        <f t="shared" si="65"/>
        <v>29721</v>
      </c>
      <c r="V183" s="415">
        <f t="shared" si="65"/>
        <v>29721</v>
      </c>
    </row>
    <row r="184" spans="1:23" ht="36" customHeight="1">
      <c r="A184" s="385" t="s">
        <v>261</v>
      </c>
      <c r="B184" s="332">
        <f t="shared" ref="B184:V184" si="66">B22</f>
        <v>0</v>
      </c>
      <c r="C184" s="416">
        <f t="shared" si="66"/>
        <v>0</v>
      </c>
      <c r="D184" s="416">
        <f t="shared" si="66"/>
        <v>0</v>
      </c>
      <c r="E184" s="416">
        <f t="shared" si="66"/>
        <v>0</v>
      </c>
      <c r="F184" s="416">
        <f t="shared" si="66"/>
        <v>0</v>
      </c>
      <c r="G184" s="332">
        <f t="shared" si="66"/>
        <v>7029</v>
      </c>
      <c r="H184" s="416">
        <f t="shared" si="66"/>
        <v>3649</v>
      </c>
      <c r="I184" s="416">
        <f t="shared" si="66"/>
        <v>4905</v>
      </c>
      <c r="J184" s="416">
        <f t="shared" si="66"/>
        <v>5867</v>
      </c>
      <c r="K184" s="416">
        <f t="shared" si="66"/>
        <v>6997</v>
      </c>
      <c r="L184" s="416">
        <f t="shared" si="66"/>
        <v>8450</v>
      </c>
      <c r="M184" s="416">
        <f t="shared" si="66"/>
        <v>8522</v>
      </c>
      <c r="N184" s="416">
        <f t="shared" si="66"/>
        <v>8522</v>
      </c>
      <c r="O184" s="416">
        <f t="shared" si="66"/>
        <v>8522</v>
      </c>
      <c r="P184" s="416">
        <f t="shared" si="66"/>
        <v>8522</v>
      </c>
      <c r="Q184" s="416">
        <f t="shared" si="66"/>
        <v>8522</v>
      </c>
      <c r="R184" s="416">
        <f t="shared" si="66"/>
        <v>8522</v>
      </c>
      <c r="S184" s="416">
        <f t="shared" si="66"/>
        <v>8522</v>
      </c>
      <c r="T184" s="416">
        <f t="shared" si="66"/>
        <v>8522</v>
      </c>
      <c r="U184" s="416">
        <f t="shared" si="66"/>
        <v>8522</v>
      </c>
      <c r="V184" s="415">
        <f t="shared" si="66"/>
        <v>8522</v>
      </c>
    </row>
    <row r="185" spans="1:23" ht="36" customHeight="1">
      <c r="A185" s="385" t="s">
        <v>304</v>
      </c>
      <c r="B185" s="332">
        <f t="shared" ref="B185:V185" si="67">B36</f>
        <v>0</v>
      </c>
      <c r="C185" s="416">
        <f t="shared" si="67"/>
        <v>0</v>
      </c>
      <c r="D185" s="416">
        <f t="shared" si="67"/>
        <v>0</v>
      </c>
      <c r="E185" s="416">
        <f t="shared" si="67"/>
        <v>0</v>
      </c>
      <c r="F185" s="416">
        <f t="shared" si="67"/>
        <v>0</v>
      </c>
      <c r="G185" s="332">
        <f t="shared" si="67"/>
        <v>4988</v>
      </c>
      <c r="H185" s="419">
        <f t="shared" si="67"/>
        <v>1612</v>
      </c>
      <c r="I185" s="417">
        <f t="shared" si="67"/>
        <v>2319</v>
      </c>
      <c r="J185" s="416">
        <f t="shared" si="67"/>
        <v>2736</v>
      </c>
      <c r="K185" s="416">
        <f t="shared" si="67"/>
        <v>3204</v>
      </c>
      <c r="L185" s="416">
        <f t="shared" si="67"/>
        <v>4101</v>
      </c>
      <c r="M185" s="416">
        <f t="shared" si="67"/>
        <v>4171</v>
      </c>
      <c r="N185" s="416">
        <f t="shared" si="67"/>
        <v>4171</v>
      </c>
      <c r="O185" s="416">
        <f t="shared" si="67"/>
        <v>4252</v>
      </c>
      <c r="P185" s="416">
        <f t="shared" si="67"/>
        <v>4252</v>
      </c>
      <c r="Q185" s="416">
        <f t="shared" si="67"/>
        <v>4252</v>
      </c>
      <c r="R185" s="416">
        <f t="shared" si="67"/>
        <v>4252</v>
      </c>
      <c r="S185" s="416">
        <f t="shared" si="67"/>
        <v>4252</v>
      </c>
      <c r="T185" s="416">
        <f t="shared" si="67"/>
        <v>4252</v>
      </c>
      <c r="U185" s="416">
        <f t="shared" si="67"/>
        <v>4252</v>
      </c>
      <c r="V185" s="415">
        <f t="shared" si="67"/>
        <v>4252</v>
      </c>
    </row>
    <row r="186" spans="1:23" ht="36" customHeight="1">
      <c r="A186" s="385" t="s">
        <v>305</v>
      </c>
      <c r="B186" s="340" t="str">
        <f t="shared" ref="B186:V186" si="68">IF(B36=0, "N/A",B15+B16+B27+B36)</f>
        <v>N/A</v>
      </c>
      <c r="C186" s="362" t="str">
        <f t="shared" si="68"/>
        <v>N/A</v>
      </c>
      <c r="D186" s="362" t="str">
        <f t="shared" si="68"/>
        <v>N/A</v>
      </c>
      <c r="E186" s="362" t="str">
        <f t="shared" si="68"/>
        <v>N/A</v>
      </c>
      <c r="F186" s="424" t="str">
        <f t="shared" si="68"/>
        <v>N/A</v>
      </c>
      <c r="G186" s="423">
        <f t="shared" si="68"/>
        <v>6300</v>
      </c>
      <c r="H186" s="362">
        <f t="shared" si="68"/>
        <v>2796</v>
      </c>
      <c r="I186" s="362">
        <f t="shared" si="68"/>
        <v>3104</v>
      </c>
      <c r="J186" s="362">
        <f t="shared" si="68"/>
        <v>3521</v>
      </c>
      <c r="K186" s="366">
        <f t="shared" si="68"/>
        <v>3989</v>
      </c>
      <c r="L186" s="362">
        <f t="shared" si="68"/>
        <v>4886</v>
      </c>
      <c r="M186" s="362">
        <f t="shared" si="68"/>
        <v>4884</v>
      </c>
      <c r="N186" s="362">
        <f t="shared" si="68"/>
        <v>4884</v>
      </c>
      <c r="O186" s="362">
        <f t="shared" si="68"/>
        <v>4882</v>
      </c>
      <c r="P186" s="365">
        <f t="shared" si="68"/>
        <v>4882</v>
      </c>
      <c r="Q186" s="362">
        <f t="shared" si="68"/>
        <v>4882</v>
      </c>
      <c r="R186" s="362">
        <f t="shared" si="68"/>
        <v>4882</v>
      </c>
      <c r="S186" s="362">
        <f t="shared" si="68"/>
        <v>4882</v>
      </c>
      <c r="T186" s="362">
        <f t="shared" si="68"/>
        <v>4882</v>
      </c>
      <c r="U186" s="365">
        <f t="shared" si="68"/>
        <v>4882</v>
      </c>
      <c r="V186" s="361">
        <f t="shared" si="68"/>
        <v>4882</v>
      </c>
    </row>
    <row r="187" spans="1:23" ht="36" customHeight="1">
      <c r="A187" s="385" t="s">
        <v>306</v>
      </c>
      <c r="B187" s="422" t="str">
        <f>IF(B36=0, "N/A",B138-B145+B139)</f>
        <v>N/A</v>
      </c>
      <c r="C187" s="362" t="str">
        <f>IF(C36=0, "N/A",C138-C145+C139)</f>
        <v>N/A</v>
      </c>
      <c r="D187" s="364" t="str">
        <f>IF(D36=0, "N/A",D138-D145+D139)</f>
        <v>N/A</v>
      </c>
      <c r="E187" s="364" t="str">
        <f>IF(E36=0, "N/A",E138-E145+E139)</f>
        <v>N/A</v>
      </c>
      <c r="F187" s="364" t="str">
        <f>IF(F36=0, "N/A",F138-F145+F139)</f>
        <v>N/A</v>
      </c>
      <c r="G187" s="421">
        <f t="shared" ref="G187:V187" si="69">G138-G145+G139</f>
        <v>-912</v>
      </c>
      <c r="H187" s="418">
        <f t="shared" si="69"/>
        <v>2500</v>
      </c>
      <c r="I187" s="418">
        <f t="shared" si="69"/>
        <v>2223</v>
      </c>
      <c r="J187" s="418">
        <f t="shared" si="69"/>
        <v>2476</v>
      </c>
      <c r="K187" s="418">
        <f t="shared" si="69"/>
        <v>2771</v>
      </c>
      <c r="L187" s="418">
        <f t="shared" si="69"/>
        <v>3368</v>
      </c>
      <c r="M187" s="418">
        <f t="shared" si="69"/>
        <v>4801</v>
      </c>
      <c r="N187" s="418">
        <f t="shared" si="69"/>
        <v>4801</v>
      </c>
      <c r="O187" s="418">
        <f t="shared" si="69"/>
        <v>4882</v>
      </c>
      <c r="P187" s="418">
        <f t="shared" si="69"/>
        <v>4882</v>
      </c>
      <c r="Q187" s="418">
        <f t="shared" si="69"/>
        <v>4882</v>
      </c>
      <c r="R187" s="418">
        <f t="shared" si="69"/>
        <v>4882</v>
      </c>
      <c r="S187" s="418">
        <f t="shared" si="69"/>
        <v>4882</v>
      </c>
      <c r="T187" s="418">
        <f t="shared" si="69"/>
        <v>4882</v>
      </c>
      <c r="U187" s="418">
        <f t="shared" si="69"/>
        <v>4882</v>
      </c>
      <c r="V187" s="420">
        <f t="shared" si="69"/>
        <v>4882</v>
      </c>
      <c r="W187" s="291"/>
    </row>
    <row r="188" spans="1:23" ht="36" customHeight="1">
      <c r="A188" s="385"/>
      <c r="B188" s="340"/>
      <c r="C188" s="364"/>
      <c r="D188" s="362"/>
      <c r="E188" s="364"/>
      <c r="F188" s="364"/>
      <c r="G188" s="332"/>
      <c r="H188" s="416"/>
      <c r="I188" s="416"/>
      <c r="J188" s="416"/>
      <c r="K188" s="419"/>
      <c r="L188" s="418"/>
      <c r="M188" s="418"/>
      <c r="N188" s="418"/>
      <c r="O188" s="418"/>
      <c r="P188" s="417"/>
      <c r="Q188" s="416"/>
      <c r="R188" s="416"/>
      <c r="S188" s="416"/>
      <c r="T188" s="416"/>
      <c r="U188" s="416"/>
      <c r="V188" s="415"/>
    </row>
    <row r="189" spans="1:23" ht="36" customHeight="1">
      <c r="A189" s="385" t="s">
        <v>307</v>
      </c>
      <c r="B189" s="340"/>
      <c r="C189" s="364"/>
      <c r="D189" s="364"/>
      <c r="E189" s="364"/>
      <c r="F189" s="364"/>
      <c r="G189" s="332"/>
      <c r="H189" s="416"/>
      <c r="I189" s="416"/>
      <c r="J189" s="416"/>
      <c r="K189" s="416"/>
      <c r="L189" s="416"/>
      <c r="M189" s="416"/>
      <c r="N189" s="416"/>
      <c r="O189" s="416"/>
      <c r="P189" s="416"/>
      <c r="Q189" s="416"/>
      <c r="R189" s="416"/>
      <c r="S189" s="416"/>
      <c r="T189" s="416"/>
      <c r="U189" s="416"/>
      <c r="V189" s="415"/>
    </row>
    <row r="190" spans="1:23" ht="36" customHeight="1">
      <c r="A190" s="385"/>
      <c r="B190" s="340"/>
      <c r="C190" s="364"/>
      <c r="D190" s="364"/>
      <c r="E190" s="364"/>
      <c r="F190" s="364"/>
      <c r="G190" s="332"/>
      <c r="H190" s="416"/>
      <c r="I190" s="416"/>
      <c r="J190" s="416"/>
      <c r="K190" s="416"/>
      <c r="L190" s="416"/>
      <c r="M190" s="416"/>
      <c r="N190" s="416"/>
      <c r="O190" s="416"/>
      <c r="P190" s="416"/>
      <c r="Q190" s="416"/>
      <c r="R190" s="416"/>
      <c r="S190" s="416"/>
      <c r="T190" s="416"/>
      <c r="U190" s="416"/>
      <c r="V190" s="415"/>
    </row>
    <row r="191" spans="1:23" ht="36" customHeight="1">
      <c r="A191" s="385" t="s">
        <v>308</v>
      </c>
      <c r="B191" s="408" t="str">
        <f t="shared" ref="B191:V191" si="70">IF(B171=0,"     N/A",B170/B171)</f>
        <v xml:space="preserve">     N/A</v>
      </c>
      <c r="C191" s="407" t="str">
        <f t="shared" si="70"/>
        <v xml:space="preserve">     N/A</v>
      </c>
      <c r="D191" s="407" t="str">
        <f t="shared" si="70"/>
        <v xml:space="preserve">     N/A</v>
      </c>
      <c r="E191" s="407" t="str">
        <f t="shared" si="70"/>
        <v xml:space="preserve">     N/A</v>
      </c>
      <c r="F191" s="407" t="str">
        <f t="shared" si="70"/>
        <v xml:space="preserve">     N/A</v>
      </c>
      <c r="G191" s="414">
        <f t="shared" si="70"/>
        <v>14.914933837429112</v>
      </c>
      <c r="H191" s="413">
        <f t="shared" si="70"/>
        <v>17.066985645933013</v>
      </c>
      <c r="I191" s="413">
        <f t="shared" si="70"/>
        <v>10.708624708624709</v>
      </c>
      <c r="J191" s="413">
        <f t="shared" si="70"/>
        <v>10.694426649583601</v>
      </c>
      <c r="K191" s="413">
        <f t="shared" si="70"/>
        <v>10.761363636363637</v>
      </c>
      <c r="L191" s="413">
        <f t="shared" si="70"/>
        <v>11.028730305838739</v>
      </c>
      <c r="M191" s="413">
        <f t="shared" si="70"/>
        <v>9.5</v>
      </c>
      <c r="N191" s="413">
        <f t="shared" si="70"/>
        <v>21.713987473903966</v>
      </c>
      <c r="O191" s="413">
        <f t="shared" si="70"/>
        <v>21.590814196242171</v>
      </c>
      <c r="P191" s="413">
        <f t="shared" si="70"/>
        <v>21.467640918580376</v>
      </c>
      <c r="Q191" s="413">
        <f t="shared" si="70"/>
        <v>21.34446764091858</v>
      </c>
      <c r="R191" s="413">
        <f t="shared" si="70"/>
        <v>21.221294363256785</v>
      </c>
      <c r="S191" s="413">
        <f t="shared" si="70"/>
        <v>21.09812108559499</v>
      </c>
      <c r="T191" s="413">
        <f t="shared" si="70"/>
        <v>20.974947807933194</v>
      </c>
      <c r="U191" s="413">
        <f t="shared" si="70"/>
        <v>20.851774530271399</v>
      </c>
      <c r="V191" s="412">
        <f t="shared" si="70"/>
        <v>17.597077244258873</v>
      </c>
    </row>
    <row r="192" spans="1:23" ht="36" customHeight="1">
      <c r="A192" s="385" t="s">
        <v>309</v>
      </c>
      <c r="B192" s="408" t="str">
        <f t="shared" ref="B192:V192" si="71">IF(B180=0,"     N/A",B110/B180)</f>
        <v xml:space="preserve">     N/A</v>
      </c>
      <c r="C192" s="407" t="str">
        <f t="shared" si="71"/>
        <v xml:space="preserve">     N/A</v>
      </c>
      <c r="D192" s="407" t="str">
        <f t="shared" si="71"/>
        <v xml:space="preserve">     N/A</v>
      </c>
      <c r="E192" s="407" t="str">
        <f t="shared" si="71"/>
        <v xml:space="preserve">     N/A</v>
      </c>
      <c r="F192" s="407" t="str">
        <f t="shared" si="71"/>
        <v xml:space="preserve">     N/A</v>
      </c>
      <c r="G192" s="414">
        <f t="shared" si="71"/>
        <v>0.36134893144238939</v>
      </c>
      <c r="H192" s="413">
        <f t="shared" si="71"/>
        <v>0.32503465804066545</v>
      </c>
      <c r="I192" s="413">
        <f t="shared" si="71"/>
        <v>0.28969487035810709</v>
      </c>
      <c r="J192" s="413">
        <f t="shared" si="71"/>
        <v>0.23074171770912505</v>
      </c>
      <c r="K192" s="413">
        <f t="shared" si="71"/>
        <v>0.17394704939188924</v>
      </c>
      <c r="L192" s="413">
        <f t="shared" si="71"/>
        <v>0.11991102723105959</v>
      </c>
      <c r="M192" s="413">
        <f t="shared" si="71"/>
        <v>8.1752938321256463E-2</v>
      </c>
      <c r="N192" s="413">
        <f t="shared" si="71"/>
        <v>3.419718712072535E-2</v>
      </c>
      <c r="O192" s="413">
        <f t="shared" si="71"/>
        <v>3.5135333382234284E-2</v>
      </c>
      <c r="P192" s="413">
        <f t="shared" si="71"/>
        <v>3.6126404706237271E-2</v>
      </c>
      <c r="Q192" s="413">
        <f t="shared" si="71"/>
        <v>3.7175009701202952E-2</v>
      </c>
      <c r="R192" s="413">
        <f t="shared" si="71"/>
        <v>3.8286308048916952E-2</v>
      </c>
      <c r="S192" s="413">
        <f t="shared" si="71"/>
        <v>3.9466095410727528E-2</v>
      </c>
      <c r="T192" s="413">
        <f t="shared" si="71"/>
        <v>4.0720904531157016E-2</v>
      </c>
      <c r="U192" s="413">
        <f t="shared" si="71"/>
        <v>4.2058126262182811E-2</v>
      </c>
      <c r="V192" s="412">
        <f t="shared" si="71"/>
        <v>5.0341565948502365E-2</v>
      </c>
    </row>
    <row r="193" spans="1:29" ht="36" customHeight="1">
      <c r="A193" s="385"/>
      <c r="B193" s="408"/>
      <c r="C193" s="407"/>
      <c r="D193" s="407"/>
      <c r="E193" s="407"/>
      <c r="F193" s="407"/>
      <c r="G193" s="408"/>
      <c r="H193" s="411"/>
      <c r="I193" s="407"/>
      <c r="J193" s="407"/>
      <c r="K193" s="407"/>
      <c r="L193" s="407"/>
      <c r="M193" s="407"/>
      <c r="N193" s="407"/>
      <c r="O193" s="407"/>
      <c r="P193" s="407"/>
      <c r="Q193" s="407"/>
      <c r="R193" s="407"/>
      <c r="S193" s="407"/>
      <c r="T193" s="407"/>
      <c r="U193" s="407"/>
      <c r="V193" s="410"/>
    </row>
    <row r="194" spans="1:29" s="406" customFormat="1" ht="36" customHeight="1">
      <c r="A194" s="385" t="s">
        <v>310</v>
      </c>
      <c r="B194" s="409" t="str">
        <f t="shared" ref="B194:V194" si="72">IF(OR(B138=0,B125=0),"     N/A",(B187)/(B125))</f>
        <v xml:space="preserve">     N/A</v>
      </c>
      <c r="C194" s="407" t="str">
        <f t="shared" si="72"/>
        <v xml:space="preserve">     N/A</v>
      </c>
      <c r="D194" s="407" t="str">
        <f t="shared" si="72"/>
        <v xml:space="preserve">     N/A</v>
      </c>
      <c r="E194" s="407" t="str">
        <f t="shared" si="72"/>
        <v xml:space="preserve">     N/A</v>
      </c>
      <c r="F194" s="407" t="str">
        <f t="shared" si="72"/>
        <v xml:space="preserve">     N/A</v>
      </c>
      <c r="G194" s="408" t="str">
        <f t="shared" si="72"/>
        <v xml:space="preserve">     N/A</v>
      </c>
      <c r="H194" s="407">
        <f t="shared" si="72"/>
        <v>30.120481927710845</v>
      </c>
      <c r="I194" s="407">
        <f t="shared" si="72"/>
        <v>3.2547584187408494</v>
      </c>
      <c r="J194" s="407">
        <f t="shared" si="72"/>
        <v>2.8040770101925254</v>
      </c>
      <c r="K194" s="407">
        <f t="shared" si="72"/>
        <v>2.558633425669437</v>
      </c>
      <c r="L194" s="407">
        <f t="shared" si="72"/>
        <v>2.6250974279033517</v>
      </c>
      <c r="M194" s="407">
        <f t="shared" si="72"/>
        <v>3.237356709372893</v>
      </c>
      <c r="N194" s="407">
        <f t="shared" si="72"/>
        <v>57.843373493975903</v>
      </c>
      <c r="O194" s="407" t="str">
        <f t="shared" si="72"/>
        <v xml:space="preserve">     N/A</v>
      </c>
      <c r="P194" s="407" t="str">
        <f t="shared" si="72"/>
        <v xml:space="preserve">     N/A</v>
      </c>
      <c r="Q194" s="407" t="str">
        <f t="shared" si="72"/>
        <v xml:space="preserve">     N/A</v>
      </c>
      <c r="R194" s="407" t="str">
        <f t="shared" si="72"/>
        <v xml:space="preserve">     N/A</v>
      </c>
      <c r="S194" s="407" t="str">
        <f t="shared" si="72"/>
        <v xml:space="preserve">     N/A</v>
      </c>
      <c r="T194" s="407" t="str">
        <f t="shared" si="72"/>
        <v xml:space="preserve">     N/A</v>
      </c>
      <c r="U194" s="407" t="str">
        <f t="shared" si="72"/>
        <v xml:space="preserve">     N/A</v>
      </c>
      <c r="V194" s="407" t="str">
        <f t="shared" si="72"/>
        <v xml:space="preserve">     N/A</v>
      </c>
      <c r="W194" s="401"/>
    </row>
    <row r="195" spans="1:29" ht="36" customHeight="1">
      <c r="A195" s="385" t="s">
        <v>311</v>
      </c>
      <c r="B195" s="403" t="str">
        <f t="shared" ref="B195:V195" si="73">IF(B183=0,"     N/A",B184/B183)</f>
        <v xml:space="preserve">     N/A</v>
      </c>
      <c r="C195" s="402" t="str">
        <f t="shared" si="73"/>
        <v xml:space="preserve">     N/A</v>
      </c>
      <c r="D195" s="402" t="str">
        <f t="shared" si="73"/>
        <v xml:space="preserve">     N/A</v>
      </c>
      <c r="E195" s="402" t="str">
        <f t="shared" si="73"/>
        <v xml:space="preserve">     N/A</v>
      </c>
      <c r="F195" s="402" t="str">
        <f t="shared" si="73"/>
        <v xml:space="preserve">     N/A</v>
      </c>
      <c r="G195" s="405">
        <f t="shared" si="73"/>
        <v>0.35680203045685277</v>
      </c>
      <c r="H195" s="402">
        <f t="shared" si="73"/>
        <v>0.20028541632361821</v>
      </c>
      <c r="I195" s="402">
        <f t="shared" si="73"/>
        <v>0.24086623453152622</v>
      </c>
      <c r="J195" s="402">
        <f t="shared" si="73"/>
        <v>0.25608904408555216</v>
      </c>
      <c r="K195" s="402">
        <f t="shared" si="73"/>
        <v>0.27002933004013585</v>
      </c>
      <c r="L195" s="402">
        <f t="shared" si="73"/>
        <v>0.28431075670401401</v>
      </c>
      <c r="M195" s="402">
        <f t="shared" si="73"/>
        <v>0.28673328622859257</v>
      </c>
      <c r="N195" s="402">
        <f t="shared" si="73"/>
        <v>0.28673328622859257</v>
      </c>
      <c r="O195" s="402">
        <f t="shared" si="73"/>
        <v>0.28673328622859257</v>
      </c>
      <c r="P195" s="402">
        <f t="shared" si="73"/>
        <v>0.28673328622859257</v>
      </c>
      <c r="Q195" s="402">
        <f t="shared" si="73"/>
        <v>0.28673328622859257</v>
      </c>
      <c r="R195" s="402">
        <f t="shared" si="73"/>
        <v>0.28673328622859257</v>
      </c>
      <c r="S195" s="402">
        <f t="shared" si="73"/>
        <v>0.28673328622859257</v>
      </c>
      <c r="T195" s="402">
        <f t="shared" si="73"/>
        <v>0.28673328622859257</v>
      </c>
      <c r="U195" s="402">
        <f t="shared" si="73"/>
        <v>0.28673328622859257</v>
      </c>
      <c r="V195" s="404">
        <f t="shared" si="73"/>
        <v>0.28673328622859257</v>
      </c>
    </row>
    <row r="196" spans="1:29" ht="36" customHeight="1">
      <c r="A196" s="385" t="s">
        <v>312</v>
      </c>
      <c r="B196" s="403" t="str">
        <f t="shared" ref="B196:V196" si="74">IF(B183=0,"     N/A",B185/B183)</f>
        <v xml:space="preserve">     N/A</v>
      </c>
      <c r="C196" s="402" t="str">
        <f t="shared" si="74"/>
        <v xml:space="preserve">     N/A</v>
      </c>
      <c r="D196" s="402" t="str">
        <f t="shared" si="74"/>
        <v xml:space="preserve">     N/A</v>
      </c>
      <c r="E196" s="402" t="str">
        <f t="shared" si="74"/>
        <v xml:space="preserve">     N/A</v>
      </c>
      <c r="F196" s="402" t="str">
        <f t="shared" si="74"/>
        <v xml:space="preserve">     N/A</v>
      </c>
      <c r="G196" s="403">
        <f t="shared" si="74"/>
        <v>0.25319796954314722</v>
      </c>
      <c r="H196" s="402">
        <f t="shared" si="74"/>
        <v>8.8479060321642239E-2</v>
      </c>
      <c r="I196" s="402">
        <f t="shared" si="74"/>
        <v>0.113877430760165</v>
      </c>
      <c r="J196" s="402">
        <f t="shared" si="74"/>
        <v>0.11942383238760367</v>
      </c>
      <c r="K196" s="402">
        <f t="shared" si="74"/>
        <v>0.12364927446742822</v>
      </c>
      <c r="L196" s="402">
        <f t="shared" si="74"/>
        <v>0.13798324417078833</v>
      </c>
      <c r="M196" s="402">
        <f t="shared" si="74"/>
        <v>0.14033848120857306</v>
      </c>
      <c r="N196" s="402">
        <f t="shared" si="74"/>
        <v>0.14033848120857306</v>
      </c>
      <c r="O196" s="402">
        <f t="shared" si="74"/>
        <v>0.14306382692372396</v>
      </c>
      <c r="P196" s="402">
        <f t="shared" si="74"/>
        <v>0.14306382692372396</v>
      </c>
      <c r="Q196" s="402">
        <f t="shared" si="74"/>
        <v>0.14306382692372396</v>
      </c>
      <c r="R196" s="402">
        <f t="shared" si="74"/>
        <v>0.14306382692372396</v>
      </c>
      <c r="S196" s="402">
        <f t="shared" si="74"/>
        <v>0.14306382692372396</v>
      </c>
      <c r="T196" s="402">
        <f t="shared" si="74"/>
        <v>0.14306382692372396</v>
      </c>
      <c r="U196" s="402">
        <f t="shared" si="74"/>
        <v>0.14306382692372396</v>
      </c>
      <c r="V196" s="404">
        <f t="shared" si="74"/>
        <v>0.14306382692372396</v>
      </c>
    </row>
    <row r="197" spans="1:29" ht="36" customHeight="1" thickBot="1">
      <c r="A197" s="385" t="s">
        <v>313</v>
      </c>
      <c r="B197" s="403" t="str">
        <f t="shared" ref="B197:V197" si="75">IF(B183=0,"     N/A",B187/B183)</f>
        <v xml:space="preserve">     N/A</v>
      </c>
      <c r="C197" s="402" t="str">
        <f t="shared" si="75"/>
        <v xml:space="preserve">     N/A</v>
      </c>
      <c r="D197" s="402" t="str">
        <f t="shared" si="75"/>
        <v xml:space="preserve">     N/A</v>
      </c>
      <c r="E197" s="402" t="str">
        <f t="shared" si="75"/>
        <v xml:space="preserve">     N/A</v>
      </c>
      <c r="F197" s="402" t="str">
        <f t="shared" si="75"/>
        <v xml:space="preserve">     N/A</v>
      </c>
      <c r="G197" s="403">
        <f t="shared" si="75"/>
        <v>-4.6294416243654823E-2</v>
      </c>
      <c r="H197" s="402">
        <f t="shared" si="75"/>
        <v>0.13721938635490422</v>
      </c>
      <c r="I197" s="402">
        <f t="shared" si="75"/>
        <v>0.1091632292280495</v>
      </c>
      <c r="J197" s="402">
        <f t="shared" si="75"/>
        <v>0.1080750763858577</v>
      </c>
      <c r="K197" s="402">
        <f t="shared" si="75"/>
        <v>0.10693887002161161</v>
      </c>
      <c r="L197" s="402">
        <f t="shared" si="75"/>
        <v>0.11332054776084251</v>
      </c>
      <c r="M197" s="402">
        <f t="shared" si="75"/>
        <v>0.16153561454863563</v>
      </c>
      <c r="N197" s="402">
        <f t="shared" si="75"/>
        <v>0.16153561454863563</v>
      </c>
      <c r="O197" s="402">
        <f t="shared" si="75"/>
        <v>0.16426096026378656</v>
      </c>
      <c r="P197" s="402">
        <f t="shared" si="75"/>
        <v>0.16426096026378656</v>
      </c>
      <c r="Q197" s="402">
        <f t="shared" si="75"/>
        <v>0.16426096026378656</v>
      </c>
      <c r="R197" s="402">
        <f t="shared" si="75"/>
        <v>0.16426096026378656</v>
      </c>
      <c r="S197" s="402">
        <f t="shared" si="75"/>
        <v>0.16426096026378656</v>
      </c>
      <c r="T197" s="402">
        <f t="shared" si="75"/>
        <v>0.16426096026378656</v>
      </c>
      <c r="U197" s="402">
        <f t="shared" si="75"/>
        <v>0.16426096026378656</v>
      </c>
      <c r="V197" s="402">
        <f t="shared" si="75"/>
        <v>0.16426096026378656</v>
      </c>
      <c r="W197" s="401"/>
    </row>
    <row r="198" spans="1:29" ht="26.25" customHeight="1" thickTop="1" thickBot="1">
      <c r="A198" s="400"/>
      <c r="B198" s="310"/>
      <c r="C198" s="310"/>
      <c r="D198" s="310"/>
      <c r="E198" s="310"/>
      <c r="F198" s="310"/>
      <c r="G198" s="310"/>
      <c r="H198" s="310"/>
      <c r="I198" s="310"/>
      <c r="J198" s="310"/>
      <c r="K198" s="310"/>
      <c r="L198" s="310"/>
      <c r="M198" s="310"/>
      <c r="N198" s="310"/>
      <c r="O198" s="310"/>
      <c r="P198" s="310"/>
      <c r="Q198" s="310"/>
      <c r="R198" s="310"/>
      <c r="S198" s="310"/>
      <c r="T198" s="310"/>
      <c r="U198" s="310"/>
      <c r="V198" s="310"/>
    </row>
    <row r="199" spans="1:29" ht="20.25" hidden="1" customHeight="1">
      <c r="A199" s="399"/>
    </row>
    <row r="200" spans="1:29" ht="20.25" hidden="1" customHeight="1">
      <c r="A200" s="399"/>
    </row>
    <row r="201" spans="1:29" ht="20.25" hidden="1" customHeight="1">
      <c r="A201" s="399"/>
    </row>
    <row r="202" spans="1:29" ht="36" customHeight="1" thickTop="1" thickBot="1">
      <c r="A202" s="399"/>
      <c r="E202" s="638" t="s">
        <v>314</v>
      </c>
      <c r="F202" s="639"/>
      <c r="G202" s="639"/>
      <c r="H202" s="640"/>
      <c r="I202" s="313"/>
      <c r="K202" s="522" t="s">
        <v>315</v>
      </c>
      <c r="L202" s="523"/>
      <c r="M202" s="312"/>
    </row>
    <row r="203" spans="1:29" ht="35.25" hidden="1" customHeight="1" thickTop="1">
      <c r="A203" s="399"/>
      <c r="E203" s="310"/>
      <c r="F203" s="310"/>
      <c r="G203" s="310"/>
      <c r="H203" s="310"/>
      <c r="K203" s="524"/>
      <c r="L203" s="524"/>
    </row>
    <row r="204" spans="1:29" ht="35.25" hidden="1" customHeight="1">
      <c r="A204" s="399"/>
    </row>
    <row r="205" spans="1:29" ht="21" customHeight="1" thickTop="1" thickBot="1">
      <c r="A205" s="399"/>
      <c r="L205" s="647" t="s">
        <v>250</v>
      </c>
      <c r="M205" s="647"/>
    </row>
    <row r="206" spans="1:29" ht="35.25" customHeight="1" thickTop="1" thickBot="1">
      <c r="A206" s="399" t="s">
        <v>70</v>
      </c>
      <c r="B206" s="398" t="str">
        <f t="shared" ref="B206:Q206" si="76">B318</f>
        <v xml:space="preserve">  2025</v>
      </c>
      <c r="C206" s="397" t="str">
        <f t="shared" si="76"/>
        <v xml:space="preserve">  2026</v>
      </c>
      <c r="D206" s="397" t="str">
        <f t="shared" si="76"/>
        <v xml:space="preserve">  2027</v>
      </c>
      <c r="E206" s="397" t="str">
        <f t="shared" si="76"/>
        <v xml:space="preserve">  2028</v>
      </c>
      <c r="F206" s="397" t="str">
        <f t="shared" si="76"/>
        <v xml:space="preserve">  2029</v>
      </c>
      <c r="G206" s="397" t="str">
        <f t="shared" si="76"/>
        <v xml:space="preserve">  2030</v>
      </c>
      <c r="H206" s="397" t="str">
        <f t="shared" si="76"/>
        <v xml:space="preserve">  2031</v>
      </c>
      <c r="I206" s="397" t="str">
        <f t="shared" si="76"/>
        <v xml:space="preserve">  2032</v>
      </c>
      <c r="J206" s="397" t="str">
        <f t="shared" si="76"/>
        <v xml:space="preserve">  2033</v>
      </c>
      <c r="K206" s="397" t="str">
        <f t="shared" si="76"/>
        <v xml:space="preserve">  2034</v>
      </c>
      <c r="L206" s="397" t="str">
        <f t="shared" si="76"/>
        <v xml:space="preserve">  2035</v>
      </c>
      <c r="M206" s="397" t="str">
        <f t="shared" si="76"/>
        <v xml:space="preserve">  2036</v>
      </c>
      <c r="N206" s="397" t="str">
        <f t="shared" si="76"/>
        <v xml:space="preserve">  2037</v>
      </c>
      <c r="O206" s="397" t="str">
        <f t="shared" si="76"/>
        <v xml:space="preserve">  2038</v>
      </c>
      <c r="P206" s="397" t="str">
        <f t="shared" si="76"/>
        <v xml:space="preserve">  2039</v>
      </c>
      <c r="Q206" s="396" t="str">
        <f t="shared" si="76"/>
        <v xml:space="preserve">  2040</v>
      </c>
      <c r="R206" s="280"/>
      <c r="S206" s="280"/>
      <c r="T206" s="280"/>
      <c r="U206" s="280"/>
      <c r="V206" s="280"/>
      <c r="W206" s="280"/>
      <c r="X206" s="280"/>
    </row>
    <row r="207" spans="1:29" ht="35.25" customHeight="1" thickTop="1">
      <c r="A207" s="395" t="s">
        <v>316</v>
      </c>
      <c r="B207" s="341" t="s">
        <v>70</v>
      </c>
      <c r="C207" s="394" t="s">
        <v>70</v>
      </c>
      <c r="D207" s="394" t="s">
        <v>70</v>
      </c>
      <c r="E207" s="394" t="s">
        <v>70</v>
      </c>
      <c r="F207" s="394" t="s">
        <v>70</v>
      </c>
      <c r="G207" s="394" t="s">
        <v>70</v>
      </c>
      <c r="H207" s="394" t="s">
        <v>70</v>
      </c>
      <c r="I207" s="394" t="s">
        <v>70</v>
      </c>
      <c r="J207" s="394" t="s">
        <v>70</v>
      </c>
      <c r="K207" s="394" t="s">
        <v>70</v>
      </c>
      <c r="L207" s="394" t="s">
        <v>70</v>
      </c>
      <c r="M207" s="394" t="s">
        <v>70</v>
      </c>
      <c r="N207" s="394" t="s">
        <v>70</v>
      </c>
      <c r="O207" s="394" t="s">
        <v>70</v>
      </c>
      <c r="P207" s="394" t="s">
        <v>70</v>
      </c>
      <c r="Q207" s="393" t="s">
        <v>70</v>
      </c>
      <c r="R207" s="342"/>
      <c r="S207" s="342"/>
      <c r="T207" s="342"/>
      <c r="U207" s="342"/>
      <c r="V207" s="342"/>
      <c r="W207" s="342"/>
      <c r="X207" s="280"/>
    </row>
    <row r="208" spans="1:29" ht="35.25" customHeight="1">
      <c r="A208" s="385" t="s">
        <v>270</v>
      </c>
      <c r="B208" s="340">
        <f t="shared" ref="B208:Q208" si="77">G36</f>
        <v>4988</v>
      </c>
      <c r="C208" s="364">
        <f t="shared" si="77"/>
        <v>1612</v>
      </c>
      <c r="D208" s="364">
        <f t="shared" si="77"/>
        <v>2319</v>
      </c>
      <c r="E208" s="364">
        <f t="shared" si="77"/>
        <v>2736</v>
      </c>
      <c r="F208" s="364">
        <f t="shared" si="77"/>
        <v>3204</v>
      </c>
      <c r="G208" s="364">
        <f t="shared" si="77"/>
        <v>4101</v>
      </c>
      <c r="H208" s="364">
        <f t="shared" si="77"/>
        <v>4171</v>
      </c>
      <c r="I208" s="364">
        <f t="shared" si="77"/>
        <v>4171</v>
      </c>
      <c r="J208" s="364">
        <f t="shared" si="77"/>
        <v>4252</v>
      </c>
      <c r="K208" s="364">
        <f t="shared" si="77"/>
        <v>4252</v>
      </c>
      <c r="L208" s="364">
        <f t="shared" si="77"/>
        <v>4252</v>
      </c>
      <c r="M208" s="364">
        <f t="shared" si="77"/>
        <v>4252</v>
      </c>
      <c r="N208" s="364">
        <f t="shared" si="77"/>
        <v>4252</v>
      </c>
      <c r="O208" s="364">
        <f t="shared" si="77"/>
        <v>4252</v>
      </c>
      <c r="P208" s="364">
        <f t="shared" si="77"/>
        <v>4252</v>
      </c>
      <c r="Q208" s="384">
        <f t="shared" si="77"/>
        <v>4252</v>
      </c>
      <c r="R208" s="342">
        <f>Q208</f>
        <v>4252</v>
      </c>
      <c r="S208" s="342">
        <f>$L$208</f>
        <v>4252</v>
      </c>
      <c r="T208" s="342">
        <f>$L$208</f>
        <v>4252</v>
      </c>
      <c r="U208" s="342">
        <f>$L$208</f>
        <v>4252</v>
      </c>
      <c r="V208" s="342">
        <f>$L$208</f>
        <v>4252</v>
      </c>
      <c r="W208" s="280"/>
      <c r="X208" s="280"/>
      <c r="Y208" s="390"/>
      <c r="Z208" s="280"/>
      <c r="AA208" s="280"/>
      <c r="AB208" s="280"/>
      <c r="AC208" s="280"/>
    </row>
    <row r="209" spans="1:29" ht="35.25" customHeight="1">
      <c r="A209" s="385" t="s">
        <v>291</v>
      </c>
      <c r="B209" s="340">
        <f t="shared" ref="B209:Q209" si="78">G15+G16</f>
        <v>1312</v>
      </c>
      <c r="C209" s="364">
        <f t="shared" si="78"/>
        <v>1101</v>
      </c>
      <c r="D209" s="364">
        <f t="shared" si="78"/>
        <v>702</v>
      </c>
      <c r="E209" s="364">
        <f t="shared" si="78"/>
        <v>702</v>
      </c>
      <c r="F209" s="364">
        <f t="shared" si="78"/>
        <v>702</v>
      </c>
      <c r="G209" s="364">
        <f t="shared" si="78"/>
        <v>702</v>
      </c>
      <c r="H209" s="364">
        <f t="shared" si="78"/>
        <v>630</v>
      </c>
      <c r="I209" s="364">
        <f t="shared" si="78"/>
        <v>630</v>
      </c>
      <c r="J209" s="364">
        <f t="shared" si="78"/>
        <v>630</v>
      </c>
      <c r="K209" s="364">
        <f t="shared" si="78"/>
        <v>630</v>
      </c>
      <c r="L209" s="364">
        <f t="shared" si="78"/>
        <v>630</v>
      </c>
      <c r="M209" s="364">
        <f t="shared" si="78"/>
        <v>630</v>
      </c>
      <c r="N209" s="364">
        <f t="shared" si="78"/>
        <v>630</v>
      </c>
      <c r="O209" s="364">
        <f t="shared" si="78"/>
        <v>630</v>
      </c>
      <c r="P209" s="364">
        <f t="shared" si="78"/>
        <v>630</v>
      </c>
      <c r="Q209" s="384">
        <f t="shared" si="78"/>
        <v>630</v>
      </c>
      <c r="R209" s="342">
        <f>Assumptions!AS326</f>
        <v>629</v>
      </c>
      <c r="S209" s="342">
        <f>Assumptions!AT326</f>
        <v>629</v>
      </c>
      <c r="T209" s="342">
        <f>Assumptions!AU326</f>
        <v>629</v>
      </c>
      <c r="U209" s="342">
        <f>Assumptions!AV326</f>
        <v>629</v>
      </c>
      <c r="V209" s="342">
        <f>Assumptions!AW326</f>
        <v>0</v>
      </c>
      <c r="W209" s="280"/>
      <c r="X209" s="280"/>
      <c r="Y209" s="390"/>
      <c r="Z209" s="280"/>
      <c r="AA209" s="280"/>
      <c r="AB209" s="280"/>
      <c r="AC209" s="280"/>
    </row>
    <row r="210" spans="1:29" ht="35.25" customHeight="1" thickBot="1">
      <c r="A210" s="385" t="s">
        <v>265</v>
      </c>
      <c r="B210" s="340">
        <f t="shared" ref="B210:Q210" si="79">G27</f>
        <v>0</v>
      </c>
      <c r="C210" s="364">
        <f t="shared" si="79"/>
        <v>83</v>
      </c>
      <c r="D210" s="364">
        <f t="shared" si="79"/>
        <v>83</v>
      </c>
      <c r="E210" s="364">
        <f t="shared" si="79"/>
        <v>83</v>
      </c>
      <c r="F210" s="364">
        <f t="shared" si="79"/>
        <v>83</v>
      </c>
      <c r="G210" s="364">
        <f t="shared" si="79"/>
        <v>83</v>
      </c>
      <c r="H210" s="364">
        <f t="shared" si="79"/>
        <v>83</v>
      </c>
      <c r="I210" s="364">
        <f t="shared" si="79"/>
        <v>83</v>
      </c>
      <c r="J210" s="364">
        <f t="shared" si="79"/>
        <v>0</v>
      </c>
      <c r="K210" s="364">
        <f t="shared" si="79"/>
        <v>0</v>
      </c>
      <c r="L210" s="364">
        <f t="shared" si="79"/>
        <v>0</v>
      </c>
      <c r="M210" s="364">
        <f t="shared" si="79"/>
        <v>0</v>
      </c>
      <c r="N210" s="364">
        <f t="shared" si="79"/>
        <v>0</v>
      </c>
      <c r="O210" s="364">
        <f t="shared" si="79"/>
        <v>0</v>
      </c>
      <c r="P210" s="364">
        <f t="shared" si="79"/>
        <v>0</v>
      </c>
      <c r="Q210" s="384">
        <f t="shared" si="79"/>
        <v>0</v>
      </c>
      <c r="R210" s="342">
        <f>$L$210</f>
        <v>0</v>
      </c>
      <c r="S210" s="342">
        <f>$L$210</f>
        <v>0</v>
      </c>
      <c r="T210" s="342">
        <f>$L$210</f>
        <v>0</v>
      </c>
      <c r="U210" s="342">
        <f>$L$210</f>
        <v>0</v>
      </c>
      <c r="V210" s="342">
        <f>$L$210</f>
        <v>0</v>
      </c>
      <c r="W210" s="280"/>
      <c r="X210" s="280"/>
      <c r="Y210" s="390"/>
      <c r="Z210" s="280"/>
      <c r="AA210" s="280"/>
      <c r="AB210" s="280"/>
      <c r="AC210" s="280"/>
    </row>
    <row r="211" spans="1:29" ht="35.25" customHeight="1" thickTop="1" thickBot="1">
      <c r="A211" s="392" t="s">
        <v>292</v>
      </c>
      <c r="B211" s="391">
        <f t="shared" ref="B211:V211" si="80">SUM(B208:B210)</f>
        <v>6300</v>
      </c>
      <c r="C211" s="382">
        <f t="shared" si="80"/>
        <v>2796</v>
      </c>
      <c r="D211" s="382">
        <f t="shared" si="80"/>
        <v>3104</v>
      </c>
      <c r="E211" s="382">
        <f t="shared" si="80"/>
        <v>3521</v>
      </c>
      <c r="F211" s="382">
        <f t="shared" si="80"/>
        <v>3989</v>
      </c>
      <c r="G211" s="382">
        <f t="shared" si="80"/>
        <v>4886</v>
      </c>
      <c r="H211" s="382">
        <f t="shared" si="80"/>
        <v>4884</v>
      </c>
      <c r="I211" s="382">
        <f t="shared" si="80"/>
        <v>4884</v>
      </c>
      <c r="J211" s="382">
        <f t="shared" si="80"/>
        <v>4882</v>
      </c>
      <c r="K211" s="382">
        <f t="shared" si="80"/>
        <v>4882</v>
      </c>
      <c r="L211" s="382">
        <f t="shared" si="80"/>
        <v>4882</v>
      </c>
      <c r="M211" s="382">
        <f t="shared" si="80"/>
        <v>4882</v>
      </c>
      <c r="N211" s="382">
        <f t="shared" si="80"/>
        <v>4882</v>
      </c>
      <c r="O211" s="382">
        <f t="shared" si="80"/>
        <v>4882</v>
      </c>
      <c r="P211" s="382">
        <f t="shared" si="80"/>
        <v>4882</v>
      </c>
      <c r="Q211" s="381">
        <f t="shared" si="80"/>
        <v>4882</v>
      </c>
      <c r="R211" s="342">
        <f t="shared" si="80"/>
        <v>4881</v>
      </c>
      <c r="S211" s="342">
        <f t="shared" si="80"/>
        <v>4881</v>
      </c>
      <c r="T211" s="342">
        <f t="shared" si="80"/>
        <v>4881</v>
      </c>
      <c r="U211" s="342">
        <f t="shared" si="80"/>
        <v>4881</v>
      </c>
      <c r="V211" s="342">
        <f t="shared" si="80"/>
        <v>4252</v>
      </c>
      <c r="W211" s="280"/>
      <c r="X211" s="280"/>
      <c r="Y211" s="390"/>
      <c r="Z211" s="280"/>
      <c r="AA211" s="280"/>
      <c r="AB211" s="280"/>
      <c r="AC211" s="280"/>
    </row>
    <row r="212" spans="1:29" ht="35.25" hidden="1" customHeight="1" thickTop="1">
      <c r="A212" s="385"/>
      <c r="B212" s="541"/>
      <c r="C212" s="543"/>
      <c r="D212" s="543"/>
      <c r="E212" s="543"/>
      <c r="F212" s="543"/>
      <c r="G212" s="543"/>
      <c r="H212" s="543"/>
      <c r="I212" s="543"/>
      <c r="J212" s="543"/>
      <c r="K212" s="543"/>
      <c r="L212" s="543"/>
      <c r="M212" s="543"/>
      <c r="N212" s="543"/>
      <c r="O212" s="543"/>
      <c r="P212" s="543"/>
      <c r="Q212" s="544"/>
      <c r="R212" s="342"/>
      <c r="S212" s="342"/>
      <c r="T212" s="342"/>
      <c r="U212" s="342"/>
      <c r="V212" s="342"/>
      <c r="W212" s="280"/>
      <c r="X212" s="280"/>
      <c r="Y212" s="390"/>
      <c r="Z212" s="280"/>
      <c r="AA212" s="280"/>
      <c r="AB212" s="280"/>
      <c r="AC212" s="280"/>
    </row>
    <row r="213" spans="1:29" ht="35.25" customHeight="1" thickTop="1">
      <c r="A213" s="389" t="s">
        <v>317</v>
      </c>
      <c r="B213" s="340"/>
      <c r="C213" s="364"/>
      <c r="D213" s="364"/>
      <c r="E213" s="364"/>
      <c r="F213" s="364"/>
      <c r="G213" s="364"/>
      <c r="H213" s="364"/>
      <c r="I213" s="364"/>
      <c r="J213" s="364"/>
      <c r="K213" s="364"/>
      <c r="L213" s="364"/>
      <c r="M213" s="364"/>
      <c r="N213" s="364"/>
      <c r="O213" s="364"/>
      <c r="P213" s="364"/>
      <c r="Q213" s="384"/>
      <c r="R213" s="342"/>
      <c r="S213" s="342"/>
      <c r="T213" s="342"/>
      <c r="U213" s="342"/>
      <c r="V213" s="342"/>
      <c r="W213" s="280"/>
      <c r="X213" s="280"/>
      <c r="Y213" s="280"/>
      <c r="Z213" s="280"/>
      <c r="AA213" s="280"/>
      <c r="AB213" s="280"/>
      <c r="AC213" s="280"/>
    </row>
    <row r="214" spans="1:29" ht="35.25" customHeight="1">
      <c r="A214" s="385" t="s">
        <v>294</v>
      </c>
      <c r="B214" s="340">
        <f>ROUND(G144+Assumptions!D341-Assumptions!E341,0)</f>
        <v>12940</v>
      </c>
      <c r="C214" s="364">
        <f t="shared" ref="C214:Q214" si="81">ROUND(H144,0)</f>
        <v>0</v>
      </c>
      <c r="D214" s="364">
        <f t="shared" si="81"/>
        <v>0</v>
      </c>
      <c r="E214" s="364">
        <f t="shared" si="81"/>
        <v>0</v>
      </c>
      <c r="F214" s="364">
        <f t="shared" si="81"/>
        <v>0</v>
      </c>
      <c r="G214" s="364">
        <f t="shared" si="81"/>
        <v>0</v>
      </c>
      <c r="H214" s="364">
        <f t="shared" si="81"/>
        <v>0</v>
      </c>
      <c r="I214" s="364">
        <f t="shared" si="81"/>
        <v>0</v>
      </c>
      <c r="J214" s="364">
        <f t="shared" si="81"/>
        <v>0</v>
      </c>
      <c r="K214" s="364">
        <f t="shared" si="81"/>
        <v>0</v>
      </c>
      <c r="L214" s="364">
        <f t="shared" si="81"/>
        <v>0</v>
      </c>
      <c r="M214" s="364">
        <f t="shared" si="81"/>
        <v>0</v>
      </c>
      <c r="N214" s="364">
        <f t="shared" si="81"/>
        <v>0</v>
      </c>
      <c r="O214" s="364">
        <f t="shared" si="81"/>
        <v>0</v>
      </c>
      <c r="P214" s="364">
        <f t="shared" si="81"/>
        <v>0</v>
      </c>
      <c r="Q214" s="384">
        <f t="shared" si="81"/>
        <v>0</v>
      </c>
      <c r="R214" s="342">
        <v>0</v>
      </c>
      <c r="S214" s="342">
        <v>0</v>
      </c>
      <c r="T214" s="342">
        <v>0</v>
      </c>
      <c r="U214" s="342">
        <v>0</v>
      </c>
      <c r="V214" s="342">
        <v>0</v>
      </c>
      <c r="W214" s="280"/>
      <c r="X214" s="280"/>
      <c r="Y214" s="280"/>
      <c r="Z214" s="280"/>
      <c r="AA214" s="280"/>
      <c r="AB214" s="280"/>
      <c r="AC214" s="280"/>
    </row>
    <row r="215" spans="1:29" ht="35.25" hidden="1" customHeight="1">
      <c r="A215" s="385" t="str">
        <f>IF(Assumptions!G360="Y",A314,IF(Assumptions!G361="Y",A315,IF(Assumptions!G362="Y",A316,IF(Assumptions!G363="Y","Not in Use","Error in Assumption #12"))))</f>
        <v>Other Assets</v>
      </c>
      <c r="B215" s="340">
        <f>IF(OR(OR(LEN(Assumptions!D364)&gt;0,LEN(Assumptions!D365)&gt;0),LEN(Assumptions!H360)&gt;0),"     N/A",IF(Assumptions!G360="Y",B314,IF(Assumptions!G361="Y",B315,IF(Assumptions!G362="Y",B316,IF(Assumptions!G363="Y",0,"     N/A")))))</f>
        <v>0</v>
      </c>
      <c r="C215" s="364">
        <f>IF(OR(OR(LEN(Assumptions!D364)&gt;0,LEN(Assumptions!D365)&gt;0),LEN(Assumptions!H360)&gt;0),"     N/A",IF(Assumptions!G360="Y",C314,IF(Assumptions!G361="Y",C315,IF(Assumptions!G362="Y",C316,IF(Assumptions!G363="Y",0,"     N/A")))))</f>
        <v>0</v>
      </c>
      <c r="D215" s="364">
        <f>IF(OR(OR(LEN(Assumptions!D364)&gt;0,LEN(Assumptions!D365)&gt;0),LEN(Assumptions!H360)&gt;0),"     N/A",IF(Assumptions!G360="Y",D314,IF(Assumptions!G361="Y",D315,IF(Assumptions!G362="Y",D316,IF(Assumptions!G363="Y",0,"     N/A")))))</f>
        <v>0</v>
      </c>
      <c r="E215" s="364">
        <f>IF(OR(OR(LEN(Assumptions!D364)&gt;0,LEN(Assumptions!D365)&gt;0),LEN(Assumptions!H360)&gt;0),"     N/A",IF(Assumptions!G360="Y",E314,IF(Assumptions!G361="Y",E315,IF(Assumptions!G362="Y",E316,IF(Assumptions!G363="Y",0,"     N/A")))))</f>
        <v>0</v>
      </c>
      <c r="F215" s="364">
        <f>IF(OR(OR(LEN(Assumptions!D364)&gt;0,LEN(Assumptions!D365)&gt;0),LEN(Assumptions!H360)&gt;0),"     N/A",IF(Assumptions!G360="Y",F314,IF(Assumptions!G361="Y",F315,IF(Assumptions!G362="Y",F316,IF(Assumptions!G363="Y",0,"     N/A")))))</f>
        <v>0</v>
      </c>
      <c r="G215" s="364">
        <f>IF(OR(OR(LEN(Assumptions!D364)&gt;0,LEN(Assumptions!D365)&gt;0),LEN(Assumptions!H360)&gt;0),"     N/A",IF(Assumptions!G360="Y",G314,IF(Assumptions!G361="Y",G315,IF(Assumptions!G362="Y",G316,IF(Assumptions!G363="Y",0,"     N/A")))))</f>
        <v>0</v>
      </c>
      <c r="H215" s="364">
        <f>IF(OR(OR(LEN(Assumptions!D364)&gt;0,LEN(Assumptions!D365)&gt;0),LEN(Assumptions!H360)&gt;0),"     N/A",IF(Assumptions!G360="Y",H314,IF(Assumptions!G361="Y",H315,IF(Assumptions!G362="Y",H316,IF(Assumptions!G363="Y",0,"     N/A")))))</f>
        <v>0</v>
      </c>
      <c r="I215" s="364">
        <f>IF(OR(OR(LEN(Assumptions!D364)&gt;0,LEN(Assumptions!D365)&gt;0),LEN(Assumptions!H360)&gt;0),"     N/A",IF(Assumptions!G360="Y",I314,IF(Assumptions!G361="Y",I315,IF(Assumptions!G362="Y",I316,IF(Assumptions!G363="Y",0,"     N/A")))))</f>
        <v>0</v>
      </c>
      <c r="J215" s="364">
        <f>IF(OR(OR(LEN(Assumptions!D364)&gt;0,LEN(Assumptions!D365)&gt;0),LEN(Assumptions!H360)&gt;0),"     N/A",IF(Assumptions!G360="Y",J314,IF(Assumptions!G361="Y",J315,IF(Assumptions!G362="Y",J316,IF(Assumptions!G363="Y",0,"     N/A")))))</f>
        <v>0</v>
      </c>
      <c r="K215" s="364">
        <f>IF(OR(OR(LEN(Assumptions!D364)&gt;0,LEN(Assumptions!D365)&gt;0),LEN(Assumptions!H360)&gt;0),"     N/A",IF(Assumptions!G360="Y",K314,IF(Assumptions!G361="Y",K315,IF(Assumptions!G362="Y",K316,IF(Assumptions!G363="Y",0,"     N/A")))))</f>
        <v>0</v>
      </c>
      <c r="L215" s="364">
        <f>IF(OR(OR(LEN(Assumptions!D364)&gt;0,LEN(Assumptions!D365)&gt;0),LEN(Assumptions!H360)&gt;0),"     N/A",IF(Assumptions!G360="Y",L314,IF(Assumptions!G361="Y",L315,IF(Assumptions!G362="Y",L316,IF(Assumptions!G363="Y",0,"     N/A")))))</f>
        <v>0</v>
      </c>
      <c r="M215" s="364">
        <f>IF(OR(OR(LEN(Assumptions!D364)&gt;0,LEN(Assumptions!D365)&gt;0),LEN(Assumptions!H360)&gt;0),"     N/A",IF(Assumptions!G360="Y",M314,IF(Assumptions!G361="Y",M315,IF(Assumptions!G362="Y",M316,IF(Assumptions!G363="Y",0,"     N/A")))))</f>
        <v>0</v>
      </c>
      <c r="N215" s="364">
        <f>IF(OR(OR(LEN(Assumptions!D364)&gt;0,LEN(Assumptions!D365)&gt;0),LEN(Assumptions!M360)&gt;0),"     N/A",IF(Assumptions!G360="Y",N314,IF(Assumptions!G361="Y",N315,IF(Assumptions!G362="Y",N316,IF(Assumptions!G363="Y",0,"     N/A")))))</f>
        <v>0</v>
      </c>
      <c r="O215" s="364">
        <f>IF(OR(OR(LEN(Assumptions!D364)&gt;0,LEN(Assumptions!D365)&gt;0),LEN(Assumptions!M360)&gt;0),"     N/A",IF(Assumptions!G360="Y",O314,IF(Assumptions!G361="Y",O315,IF(Assumptions!G362="Y",O316,IF(Assumptions!G363="Y",0,"     N/A")))))</f>
        <v>0</v>
      </c>
      <c r="P215" s="364">
        <f>IF(OR(OR(LEN(Assumptions!D364)&gt;0,LEN(Assumptions!D365)&gt;0),LEN(Assumptions!M360)&gt;0),"     N/A",IF(Assumptions!G360="Y",P314,IF(Assumptions!G361="Y",P315,IF(Assumptions!G362="Y",P316,IF(Assumptions!G363="Y",0,"     N/A")))))</f>
        <v>0</v>
      </c>
      <c r="Q215" s="384">
        <f>IF(OR(OR(LEN(Assumptions!D364)&gt;0,LEN(Assumptions!D365)&gt;0),LEN(Assumptions!M360)&gt;0),"     N/A",IF(Assumptions!G360="Y",Q314,IF(Assumptions!G361="Y",Q315,IF(Assumptions!G362="Y",Q316,IF(Assumptions!G363="Y",0,"     N/A")))))</f>
        <v>0</v>
      </c>
      <c r="R215" s="342"/>
      <c r="S215" s="342"/>
      <c r="T215" s="342"/>
      <c r="U215" s="342"/>
      <c r="V215" s="342"/>
      <c r="W215" s="280"/>
      <c r="X215" s="280"/>
      <c r="Y215" s="280"/>
      <c r="Z215" s="280"/>
      <c r="AA215" s="280"/>
      <c r="AB215" s="280"/>
      <c r="AC215" s="280"/>
    </row>
    <row r="216" spans="1:29" ht="35.25" customHeight="1">
      <c r="A216" s="385" t="s">
        <v>295</v>
      </c>
      <c r="B216" s="340">
        <f t="shared" ref="B216:Q216" si="82">G145</f>
        <v>7212</v>
      </c>
      <c r="C216" s="364">
        <f t="shared" si="82"/>
        <v>213</v>
      </c>
      <c r="D216" s="364">
        <f t="shared" si="82"/>
        <v>798</v>
      </c>
      <c r="E216" s="364">
        <f t="shared" si="82"/>
        <v>962</v>
      </c>
      <c r="F216" s="364">
        <f t="shared" si="82"/>
        <v>1135</v>
      </c>
      <c r="G216" s="364">
        <f t="shared" si="82"/>
        <v>1435</v>
      </c>
      <c r="H216" s="364">
        <f t="shared" si="82"/>
        <v>0</v>
      </c>
      <c r="I216" s="364">
        <f t="shared" si="82"/>
        <v>0</v>
      </c>
      <c r="J216" s="364">
        <f t="shared" si="82"/>
        <v>0</v>
      </c>
      <c r="K216" s="364">
        <f t="shared" si="82"/>
        <v>0</v>
      </c>
      <c r="L216" s="364">
        <f t="shared" si="82"/>
        <v>0</v>
      </c>
      <c r="M216" s="364">
        <f t="shared" si="82"/>
        <v>0</v>
      </c>
      <c r="N216" s="364">
        <f t="shared" si="82"/>
        <v>0</v>
      </c>
      <c r="O216" s="364">
        <f t="shared" si="82"/>
        <v>0</v>
      </c>
      <c r="P216" s="364">
        <f t="shared" si="82"/>
        <v>0</v>
      </c>
      <c r="Q216" s="384">
        <f t="shared" si="82"/>
        <v>0</v>
      </c>
      <c r="R216" s="342">
        <v>0</v>
      </c>
      <c r="S216" s="342">
        <v>0</v>
      </c>
      <c r="T216" s="342">
        <v>0</v>
      </c>
      <c r="U216" s="342">
        <v>0</v>
      </c>
      <c r="V216" s="342">
        <v>0</v>
      </c>
      <c r="W216" s="280"/>
      <c r="X216" s="280"/>
      <c r="Y216" s="280"/>
      <c r="Z216" s="280"/>
      <c r="AA216" s="280"/>
      <c r="AB216" s="280"/>
      <c r="AC216" s="280"/>
    </row>
    <row r="217" spans="1:29" ht="35.25" customHeight="1" thickBot="1">
      <c r="A217" s="385" t="s">
        <v>197</v>
      </c>
      <c r="B217" s="388">
        <f>G146+Assumptions!D346-Assumptions!E346</f>
        <v>399</v>
      </c>
      <c r="C217" s="387">
        <f t="shared" ref="C217:Q217" si="83">ROUND(H146,0)</f>
        <v>0</v>
      </c>
      <c r="D217" s="387">
        <f t="shared" si="83"/>
        <v>0</v>
      </c>
      <c r="E217" s="387">
        <f t="shared" si="83"/>
        <v>0</v>
      </c>
      <c r="F217" s="387">
        <f t="shared" si="83"/>
        <v>0</v>
      </c>
      <c r="G217" s="387">
        <f t="shared" si="83"/>
        <v>0</v>
      </c>
      <c r="H217" s="387">
        <f t="shared" si="83"/>
        <v>0</v>
      </c>
      <c r="I217" s="387">
        <f t="shared" si="83"/>
        <v>0</v>
      </c>
      <c r="J217" s="387">
        <f t="shared" si="83"/>
        <v>0</v>
      </c>
      <c r="K217" s="387">
        <f t="shared" si="83"/>
        <v>0</v>
      </c>
      <c r="L217" s="387">
        <f t="shared" si="83"/>
        <v>0</v>
      </c>
      <c r="M217" s="387">
        <f t="shared" si="83"/>
        <v>0</v>
      </c>
      <c r="N217" s="387">
        <f t="shared" si="83"/>
        <v>0</v>
      </c>
      <c r="O217" s="387">
        <f t="shared" si="83"/>
        <v>0</v>
      </c>
      <c r="P217" s="387">
        <f t="shared" si="83"/>
        <v>0</v>
      </c>
      <c r="Q217" s="386">
        <f t="shared" si="83"/>
        <v>0</v>
      </c>
      <c r="R217" s="342">
        <v>0</v>
      </c>
      <c r="S217" s="342">
        <v>0</v>
      </c>
      <c r="T217" s="342">
        <v>0</v>
      </c>
      <c r="U217" s="342">
        <v>0</v>
      </c>
      <c r="V217" s="342">
        <v>0</v>
      </c>
      <c r="W217" s="280"/>
      <c r="X217" s="280"/>
      <c r="Y217" s="280"/>
      <c r="Z217" s="280"/>
      <c r="AA217" s="280"/>
      <c r="AB217" s="280"/>
      <c r="AC217" s="280"/>
    </row>
    <row r="218" spans="1:29" ht="35.25" hidden="1" customHeight="1" thickTop="1" thickBot="1">
      <c r="A218" s="385"/>
      <c r="B218" s="340" t="s">
        <v>70</v>
      </c>
      <c r="C218" s="364" t="s">
        <v>70</v>
      </c>
      <c r="D218" s="364" t="s">
        <v>70</v>
      </c>
      <c r="E218" s="364" t="s">
        <v>70</v>
      </c>
      <c r="F218" s="364" t="s">
        <v>70</v>
      </c>
      <c r="G218" s="364" t="s">
        <v>70</v>
      </c>
      <c r="H218" s="364" t="s">
        <v>70</v>
      </c>
      <c r="I218" s="364" t="s">
        <v>70</v>
      </c>
      <c r="J218" s="364" t="s">
        <v>70</v>
      </c>
      <c r="K218" s="364" t="s">
        <v>70</v>
      </c>
      <c r="L218" s="364" t="s">
        <v>70</v>
      </c>
      <c r="M218" s="364" t="s">
        <v>70</v>
      </c>
      <c r="N218" s="364" t="s">
        <v>70</v>
      </c>
      <c r="O218" s="364" t="s">
        <v>70</v>
      </c>
      <c r="P218" s="364" t="s">
        <v>70</v>
      </c>
      <c r="Q218" s="384" t="s">
        <v>70</v>
      </c>
      <c r="R218" s="342"/>
      <c r="S218" s="342"/>
      <c r="T218" s="342"/>
      <c r="U218" s="342"/>
      <c r="V218" s="342"/>
      <c r="W218" s="280"/>
      <c r="X218" s="280"/>
      <c r="Y218" s="280"/>
      <c r="Z218" s="280"/>
      <c r="AA218" s="280"/>
      <c r="AB218" s="280"/>
      <c r="AC218" s="280"/>
    </row>
    <row r="219" spans="1:29" ht="35.25" customHeight="1" thickTop="1" thickBot="1">
      <c r="A219" s="383" t="s">
        <v>297</v>
      </c>
      <c r="B219" s="545">
        <f t="shared" ref="B219:Q219" si="84">IF(ISERR(SUM(B214:B217)),"     N/A",SUM(B214:B217))</f>
        <v>20551</v>
      </c>
      <c r="C219" s="546">
        <f t="shared" si="84"/>
        <v>213</v>
      </c>
      <c r="D219" s="546">
        <f t="shared" si="84"/>
        <v>798</v>
      </c>
      <c r="E219" s="546">
        <f t="shared" si="84"/>
        <v>962</v>
      </c>
      <c r="F219" s="546">
        <f t="shared" si="84"/>
        <v>1135</v>
      </c>
      <c r="G219" s="546">
        <f t="shared" si="84"/>
        <v>1435</v>
      </c>
      <c r="H219" s="546">
        <f t="shared" si="84"/>
        <v>0</v>
      </c>
      <c r="I219" s="546">
        <f t="shared" si="84"/>
        <v>0</v>
      </c>
      <c r="J219" s="546">
        <f t="shared" si="84"/>
        <v>0</v>
      </c>
      <c r="K219" s="546">
        <f t="shared" si="84"/>
        <v>0</v>
      </c>
      <c r="L219" s="546">
        <f t="shared" si="84"/>
        <v>0</v>
      </c>
      <c r="M219" s="546">
        <f t="shared" si="84"/>
        <v>0</v>
      </c>
      <c r="N219" s="546">
        <f t="shared" si="84"/>
        <v>0</v>
      </c>
      <c r="O219" s="546">
        <f t="shared" si="84"/>
        <v>0</v>
      </c>
      <c r="P219" s="546">
        <f t="shared" si="84"/>
        <v>0</v>
      </c>
      <c r="Q219" s="547">
        <f t="shared" si="84"/>
        <v>0</v>
      </c>
      <c r="R219" s="342">
        <f>SUM(R214:R217)</f>
        <v>0</v>
      </c>
      <c r="S219" s="342">
        <f>SUM(S214:S217)</f>
        <v>0</v>
      </c>
      <c r="T219" s="342">
        <f>SUM(T214:T217)</f>
        <v>0</v>
      </c>
      <c r="U219" s="342">
        <f>SUM(U214:U217)</f>
        <v>0</v>
      </c>
      <c r="V219" s="342">
        <f>SUM(V214:V217)</f>
        <v>0</v>
      </c>
      <c r="W219" s="280"/>
      <c r="X219" s="280"/>
      <c r="Y219" s="280"/>
      <c r="Z219" s="280"/>
      <c r="AA219" s="280"/>
      <c r="AB219" s="280"/>
      <c r="AC219" s="280"/>
    </row>
    <row r="220" spans="1:29" ht="35.25" customHeight="1" thickTop="1" thickBot="1">
      <c r="A220" s="360" t="s">
        <v>318</v>
      </c>
      <c r="B220" s="382">
        <f t="shared" ref="B220:Q220" si="85">IF(ISERR(B211-B219),"     N/A",B211-B219)</f>
        <v>-14251</v>
      </c>
      <c r="C220" s="382">
        <f t="shared" si="85"/>
        <v>2583</v>
      </c>
      <c r="D220" s="382">
        <f t="shared" si="85"/>
        <v>2306</v>
      </c>
      <c r="E220" s="382">
        <f t="shared" si="85"/>
        <v>2559</v>
      </c>
      <c r="F220" s="382">
        <f t="shared" si="85"/>
        <v>2854</v>
      </c>
      <c r="G220" s="382">
        <f t="shared" si="85"/>
        <v>3451</v>
      </c>
      <c r="H220" s="382">
        <f t="shared" si="85"/>
        <v>4884</v>
      </c>
      <c r="I220" s="382">
        <f t="shared" si="85"/>
        <v>4884</v>
      </c>
      <c r="J220" s="382">
        <f t="shared" si="85"/>
        <v>4882</v>
      </c>
      <c r="K220" s="382">
        <f t="shared" si="85"/>
        <v>4882</v>
      </c>
      <c r="L220" s="382">
        <f t="shared" si="85"/>
        <v>4882</v>
      </c>
      <c r="M220" s="382">
        <f t="shared" si="85"/>
        <v>4882</v>
      </c>
      <c r="N220" s="382">
        <f t="shared" si="85"/>
        <v>4882</v>
      </c>
      <c r="O220" s="382">
        <f t="shared" si="85"/>
        <v>4882</v>
      </c>
      <c r="P220" s="382">
        <f t="shared" si="85"/>
        <v>4882</v>
      </c>
      <c r="Q220" s="381">
        <f t="shared" si="85"/>
        <v>4882</v>
      </c>
      <c r="R220" s="342">
        <f>R211</f>
        <v>4881</v>
      </c>
      <c r="S220" s="342">
        <f>S211</f>
        <v>4881</v>
      </c>
      <c r="T220" s="342">
        <f>T211</f>
        <v>4881</v>
      </c>
      <c r="U220" s="342">
        <f>U211</f>
        <v>4881</v>
      </c>
      <c r="V220" s="342">
        <f>V211</f>
        <v>4252</v>
      </c>
      <c r="W220" s="280"/>
      <c r="X220" s="280"/>
      <c r="Y220" s="280"/>
      <c r="Z220" s="280"/>
      <c r="AA220" s="280"/>
      <c r="AB220" s="280"/>
      <c r="AC220" s="280"/>
    </row>
    <row r="221" spans="1:29" ht="35.25" hidden="1" customHeight="1" thickTop="1" thickBot="1">
      <c r="A221" s="334"/>
      <c r="B221" s="380"/>
      <c r="C221" s="380"/>
      <c r="D221" s="380"/>
      <c r="E221" s="380"/>
      <c r="F221" s="380"/>
      <c r="G221" s="380"/>
      <c r="H221" s="380"/>
      <c r="I221" s="380"/>
      <c r="J221" s="380"/>
      <c r="K221" s="380"/>
      <c r="L221" s="380"/>
      <c r="M221" s="380"/>
      <c r="N221" s="380"/>
      <c r="O221" s="380"/>
      <c r="P221" s="380"/>
      <c r="Q221" s="380"/>
      <c r="R221" s="342"/>
      <c r="S221" s="342"/>
      <c r="T221" s="342"/>
      <c r="U221" s="342"/>
      <c r="V221" s="342"/>
      <c r="W221" s="280"/>
      <c r="X221" s="280"/>
      <c r="Y221" s="277"/>
      <c r="Z221" s="280"/>
      <c r="AA221" s="280"/>
      <c r="AB221" s="280"/>
      <c r="AC221" s="280"/>
    </row>
    <row r="222" spans="1:29" ht="35.25" hidden="1" customHeight="1" thickTop="1" thickBot="1">
      <c r="A222" s="379" t="s">
        <v>70</v>
      </c>
      <c r="B222" s="378" t="str">
        <f t="shared" ref="B222:Q222" si="86">B206</f>
        <v xml:space="preserve">  2025</v>
      </c>
      <c r="C222" s="377" t="str">
        <f t="shared" si="86"/>
        <v xml:space="preserve">  2026</v>
      </c>
      <c r="D222" s="377" t="str">
        <f t="shared" si="86"/>
        <v xml:space="preserve">  2027</v>
      </c>
      <c r="E222" s="377" t="str">
        <f t="shared" si="86"/>
        <v xml:space="preserve">  2028</v>
      </c>
      <c r="F222" s="377" t="str">
        <f t="shared" si="86"/>
        <v xml:space="preserve">  2029</v>
      </c>
      <c r="G222" s="377" t="str">
        <f t="shared" si="86"/>
        <v xml:space="preserve">  2030</v>
      </c>
      <c r="H222" s="377" t="str">
        <f t="shared" si="86"/>
        <v xml:space="preserve">  2031</v>
      </c>
      <c r="I222" s="377" t="str">
        <f t="shared" si="86"/>
        <v xml:space="preserve">  2032</v>
      </c>
      <c r="J222" s="377" t="str">
        <f t="shared" si="86"/>
        <v xml:space="preserve">  2033</v>
      </c>
      <c r="K222" s="377" t="str">
        <f t="shared" si="86"/>
        <v xml:space="preserve">  2034</v>
      </c>
      <c r="L222" s="377" t="str">
        <f t="shared" si="86"/>
        <v xml:space="preserve">  2035</v>
      </c>
      <c r="M222" s="377" t="str">
        <f t="shared" si="86"/>
        <v xml:space="preserve">  2036</v>
      </c>
      <c r="N222" s="377" t="str">
        <f t="shared" si="86"/>
        <v xml:space="preserve">  2037</v>
      </c>
      <c r="O222" s="377" t="str">
        <f t="shared" si="86"/>
        <v xml:space="preserve">  2038</v>
      </c>
      <c r="P222" s="377" t="str">
        <f t="shared" si="86"/>
        <v xml:space="preserve">  2039</v>
      </c>
      <c r="Q222" s="376" t="str">
        <f t="shared" si="86"/>
        <v xml:space="preserve">  2040</v>
      </c>
      <c r="R222" s="342"/>
      <c r="S222" s="342"/>
      <c r="T222" s="342"/>
      <c r="U222" s="342"/>
      <c r="V222" s="342"/>
      <c r="W222" s="280"/>
      <c r="X222" s="280"/>
      <c r="Y222" s="280"/>
      <c r="Z222" s="280"/>
      <c r="AA222" s="280"/>
      <c r="AB222" s="280"/>
      <c r="AC222" s="280"/>
    </row>
    <row r="223" spans="1:29" ht="35.25" hidden="1" customHeight="1" thickTop="1">
      <c r="A223" s="375" t="s">
        <v>319</v>
      </c>
      <c r="B223" s="374" t="s">
        <v>70</v>
      </c>
      <c r="C223" s="373" t="s">
        <v>70</v>
      </c>
      <c r="D223" s="364" t="s">
        <v>70</v>
      </c>
      <c r="E223" s="364" t="s">
        <v>70</v>
      </c>
      <c r="F223" s="364" t="s">
        <v>70</v>
      </c>
      <c r="G223" s="364" t="s">
        <v>70</v>
      </c>
      <c r="H223" s="364" t="s">
        <v>70</v>
      </c>
      <c r="I223" s="364" t="s">
        <v>70</v>
      </c>
      <c r="J223" s="364" t="s">
        <v>70</v>
      </c>
      <c r="K223" s="364" t="s">
        <v>70</v>
      </c>
      <c r="L223" s="364" t="s">
        <v>70</v>
      </c>
      <c r="M223" s="364" t="s">
        <v>70</v>
      </c>
      <c r="N223" s="364" t="s">
        <v>70</v>
      </c>
      <c r="O223" s="372" t="s">
        <v>70</v>
      </c>
      <c r="P223" s="371" t="s">
        <v>70</v>
      </c>
      <c r="Q223" s="370" t="s">
        <v>70</v>
      </c>
      <c r="R223" s="342"/>
      <c r="S223" s="342"/>
      <c r="T223" s="342"/>
      <c r="U223" s="342"/>
      <c r="V223" s="342"/>
      <c r="W223" s="280"/>
      <c r="X223" s="280"/>
      <c r="Y223" s="280"/>
      <c r="Z223" s="280"/>
      <c r="AA223" s="280"/>
      <c r="AB223" s="280"/>
      <c r="AC223" s="280"/>
    </row>
    <row r="224" spans="1:29" ht="35.25" hidden="1" customHeight="1">
      <c r="A224" s="369" t="str">
        <f t="shared" ref="A224:Q224" si="87">A220</f>
        <v>Free Cash Flow To Firm</v>
      </c>
      <c r="B224" s="366">
        <f t="shared" si="87"/>
        <v>-14251</v>
      </c>
      <c r="C224" s="365">
        <f t="shared" si="87"/>
        <v>2583</v>
      </c>
      <c r="D224" s="364">
        <f t="shared" si="87"/>
        <v>2306</v>
      </c>
      <c r="E224" s="364">
        <f t="shared" si="87"/>
        <v>2559</v>
      </c>
      <c r="F224" s="364">
        <f t="shared" si="87"/>
        <v>2854</v>
      </c>
      <c r="G224" s="364">
        <f t="shared" si="87"/>
        <v>3451</v>
      </c>
      <c r="H224" s="364">
        <f t="shared" si="87"/>
        <v>4884</v>
      </c>
      <c r="I224" s="364">
        <f t="shared" si="87"/>
        <v>4884</v>
      </c>
      <c r="J224" s="364">
        <f t="shared" si="87"/>
        <v>4882</v>
      </c>
      <c r="K224" s="364">
        <f t="shared" si="87"/>
        <v>4882</v>
      </c>
      <c r="L224" s="364">
        <f t="shared" si="87"/>
        <v>4882</v>
      </c>
      <c r="M224" s="364">
        <f t="shared" si="87"/>
        <v>4882</v>
      </c>
      <c r="N224" s="364">
        <f t="shared" si="87"/>
        <v>4882</v>
      </c>
      <c r="O224" s="363">
        <f t="shared" si="87"/>
        <v>4882</v>
      </c>
      <c r="P224" s="362">
        <f t="shared" si="87"/>
        <v>4882</v>
      </c>
      <c r="Q224" s="361">
        <f t="shared" si="87"/>
        <v>4882</v>
      </c>
      <c r="R224" s="342"/>
      <c r="S224" s="342"/>
      <c r="T224" s="342"/>
      <c r="U224" s="342"/>
      <c r="V224" s="342"/>
      <c r="W224" s="280"/>
      <c r="X224" s="280"/>
      <c r="Y224" s="280"/>
      <c r="Z224" s="280"/>
      <c r="AA224" s="280"/>
      <c r="AB224" s="280"/>
      <c r="AC224" s="280"/>
    </row>
    <row r="225" spans="1:251" ht="35.25" customHeight="1" thickTop="1" thickBot="1">
      <c r="A225" s="368" t="s">
        <v>320</v>
      </c>
      <c r="B225" s="366">
        <f t="shared" ref="B225:Q225" si="88">G131+G132+G133+G135-B210-G147-G148-G149-G151</f>
        <v>5000</v>
      </c>
      <c r="C225" s="366">
        <f>H131+H132+H133+H135-C210-H147-H148-H149-H151</f>
        <v>-83</v>
      </c>
      <c r="D225" s="366">
        <f>I131+I132+I133+I135-D210-I147-I148-I149-I151</f>
        <v>-83</v>
      </c>
      <c r="E225" s="366">
        <f t="shared" si="88"/>
        <v>-683</v>
      </c>
      <c r="F225" s="366">
        <f t="shared" si="88"/>
        <v>-883</v>
      </c>
      <c r="G225" s="366">
        <f t="shared" si="88"/>
        <v>-1083</v>
      </c>
      <c r="H225" s="366">
        <f t="shared" si="88"/>
        <v>-1283</v>
      </c>
      <c r="I225" s="366">
        <f t="shared" si="88"/>
        <v>-1483</v>
      </c>
      <c r="J225" s="366">
        <f t="shared" si="88"/>
        <v>0</v>
      </c>
      <c r="K225" s="366">
        <f t="shared" si="88"/>
        <v>0</v>
      </c>
      <c r="L225" s="366">
        <f t="shared" si="88"/>
        <v>0</v>
      </c>
      <c r="M225" s="366">
        <f t="shared" si="88"/>
        <v>0</v>
      </c>
      <c r="N225" s="366">
        <f t="shared" si="88"/>
        <v>0</v>
      </c>
      <c r="O225" s="366">
        <f t="shared" si="88"/>
        <v>0</v>
      </c>
      <c r="P225" s="366">
        <f t="shared" si="88"/>
        <v>0</v>
      </c>
      <c r="Q225" s="365">
        <f t="shared" si="88"/>
        <v>0</v>
      </c>
      <c r="R225" s="358"/>
      <c r="S225" s="342"/>
      <c r="T225" s="342"/>
      <c r="U225" s="342"/>
      <c r="V225" s="342"/>
      <c r="W225" s="280"/>
      <c r="X225" s="280"/>
      <c r="Y225" s="280"/>
      <c r="Z225" s="280"/>
      <c r="AA225" s="280"/>
      <c r="AB225" s="280"/>
      <c r="AC225" s="280"/>
    </row>
    <row r="226" spans="1:251" ht="35.25" hidden="1" customHeight="1" thickBot="1">
      <c r="A226" s="367"/>
      <c r="B226" s="366"/>
      <c r="C226" s="365"/>
      <c r="D226" s="364"/>
      <c r="E226" s="364"/>
      <c r="F226" s="364"/>
      <c r="G226" s="364"/>
      <c r="H226" s="364"/>
      <c r="I226" s="364"/>
      <c r="J226" s="364"/>
      <c r="K226" s="364"/>
      <c r="L226" s="364"/>
      <c r="M226" s="364"/>
      <c r="N226" s="364"/>
      <c r="O226" s="363"/>
      <c r="P226" s="362"/>
      <c r="Q226" s="361"/>
      <c r="R226" s="342"/>
      <c r="S226" s="342"/>
      <c r="T226" s="342"/>
      <c r="U226" s="342"/>
      <c r="V226" s="342"/>
      <c r="W226" s="280"/>
      <c r="X226" s="280"/>
      <c r="Y226" s="280"/>
      <c r="Z226" s="280"/>
      <c r="AA226" s="280"/>
      <c r="AB226" s="280"/>
      <c r="AC226" s="280"/>
    </row>
    <row r="227" spans="1:251" ht="35.25" customHeight="1" thickTop="1" thickBot="1">
      <c r="A227" s="360" t="s">
        <v>321</v>
      </c>
      <c r="B227" s="359">
        <f t="shared" ref="B227:Q227" si="89">B220+B225</f>
        <v>-9251</v>
      </c>
      <c r="C227" s="359">
        <f t="shared" si="89"/>
        <v>2500</v>
      </c>
      <c r="D227" s="359">
        <f t="shared" si="89"/>
        <v>2223</v>
      </c>
      <c r="E227" s="359">
        <f t="shared" si="89"/>
        <v>1876</v>
      </c>
      <c r="F227" s="359">
        <f t="shared" si="89"/>
        <v>1971</v>
      </c>
      <c r="G227" s="359">
        <f t="shared" si="89"/>
        <v>2368</v>
      </c>
      <c r="H227" s="359">
        <f t="shared" si="89"/>
        <v>3601</v>
      </c>
      <c r="I227" s="359">
        <f t="shared" si="89"/>
        <v>3401</v>
      </c>
      <c r="J227" s="359">
        <f t="shared" si="89"/>
        <v>4882</v>
      </c>
      <c r="K227" s="359">
        <f t="shared" si="89"/>
        <v>4882</v>
      </c>
      <c r="L227" s="359">
        <f t="shared" si="89"/>
        <v>4882</v>
      </c>
      <c r="M227" s="359">
        <f t="shared" si="89"/>
        <v>4882</v>
      </c>
      <c r="N227" s="359">
        <f t="shared" si="89"/>
        <v>4882</v>
      </c>
      <c r="O227" s="359">
        <f t="shared" si="89"/>
        <v>4882</v>
      </c>
      <c r="P227" s="359">
        <f t="shared" si="89"/>
        <v>4882</v>
      </c>
      <c r="Q227" s="359">
        <f t="shared" si="89"/>
        <v>4882</v>
      </c>
      <c r="R227" s="358">
        <f>R220</f>
        <v>4881</v>
      </c>
      <c r="S227" s="342">
        <f>S220</f>
        <v>4881</v>
      </c>
      <c r="T227" s="342">
        <f>T220</f>
        <v>4881</v>
      </c>
      <c r="U227" s="342">
        <f>U220</f>
        <v>4881</v>
      </c>
      <c r="V227" s="342">
        <f>V220</f>
        <v>4252</v>
      </c>
      <c r="W227" s="280"/>
      <c r="X227" s="280"/>
      <c r="Y227" s="280"/>
      <c r="Z227" s="280"/>
      <c r="AA227" s="280"/>
      <c r="AB227" s="280"/>
      <c r="AC227" s="280"/>
    </row>
    <row r="228" spans="1:251" ht="21.75" customHeight="1" thickTop="1" thickBot="1">
      <c r="H228" s="347"/>
      <c r="R228" s="342">
        <f>Q227</f>
        <v>4882</v>
      </c>
      <c r="S228" s="342">
        <f>R228</f>
        <v>4882</v>
      </c>
      <c r="T228" s="342">
        <f>S228</f>
        <v>4882</v>
      </c>
      <c r="U228" s="342">
        <f>T228</f>
        <v>4882</v>
      </c>
    </row>
    <row r="229" spans="1:251" ht="52.5" customHeight="1" thickTop="1" thickBot="1">
      <c r="A229" s="302"/>
      <c r="B229" s="677" t="s">
        <v>322</v>
      </c>
      <c r="C229" s="678"/>
      <c r="D229" s="679"/>
      <c r="G229" s="302"/>
      <c r="H229" s="302"/>
      <c r="I229" s="659" t="s">
        <v>322</v>
      </c>
      <c r="J229" s="660"/>
      <c r="K229" s="661"/>
      <c r="M229" s="664" t="s">
        <v>323</v>
      </c>
      <c r="N229" s="665"/>
      <c r="O229" s="654" t="s">
        <v>324</v>
      </c>
      <c r="P229" s="654"/>
      <c r="Q229" s="654" t="s">
        <v>325</v>
      </c>
      <c r="R229" s="654"/>
    </row>
    <row r="230" spans="1:251" ht="35.25" customHeight="1" thickTop="1" thickBot="1">
      <c r="A230" s="302"/>
      <c r="B230" s="323" t="s">
        <v>326</v>
      </c>
      <c r="C230" s="357" t="s">
        <v>327</v>
      </c>
      <c r="D230" s="355" t="s">
        <v>328</v>
      </c>
      <c r="G230" s="302"/>
      <c r="H230" s="302"/>
      <c r="I230" s="323" t="s">
        <v>326</v>
      </c>
      <c r="J230" s="356" t="s">
        <v>327</v>
      </c>
      <c r="K230" s="355" t="s">
        <v>328</v>
      </c>
      <c r="L230" s="302"/>
      <c r="M230" s="657">
        <v>0.02</v>
      </c>
      <c r="N230" s="658"/>
      <c r="O230" s="655">
        <f>NPV(M230,$B$220:$K$220)</f>
        <v>15207.833547556884</v>
      </c>
      <c r="P230" s="656"/>
      <c r="Q230" s="650">
        <f>NPV(M230,M239:V239)</f>
        <v>20876.440299694208</v>
      </c>
      <c r="R230" s="651"/>
    </row>
    <row r="231" spans="1:251" ht="35.25" customHeight="1" thickTop="1" thickBot="1">
      <c r="A231" s="354" t="s">
        <v>329</v>
      </c>
      <c r="B231" s="353" t="str">
        <f>IF(SUM(B220:U220)=0,"   NA",LEFT("",15)&amp;IF(ISERR(IRR(B220:K220,0.3)),"in Error",FIXED(IRR(B220:K220,0.3)*100,1,TRUE)&amp;"%"))</f>
        <v>17.8%</v>
      </c>
      <c r="C231" s="352" t="str">
        <f>IF(SUM(B220:U220)=0,"   NA",LEFT("",15)&amp;IF(ISERR(IRR(B220:P220,0.3)),"in Error",FIXED(IRR(B220:P220,0.3)*100,1,TRUE)&amp;"%"))</f>
        <v>22.4%</v>
      </c>
      <c r="D231" s="351" t="str">
        <f>IF(SUM(B220:U220)=0,"   NA",LEFT("",15)&amp;IF(ISERR(IRR(B220:U220,0.3)),"in Error",FIXED(IRR(B220:U220,0.3)*100,1,TRUE)&amp;"%"))</f>
        <v>23.5%</v>
      </c>
      <c r="F231" s="666" t="s">
        <v>330</v>
      </c>
      <c r="G231" s="667"/>
      <c r="H231" s="668"/>
      <c r="I231" s="350" t="str">
        <f>IF(SUM(B227:U227)=0,"   NA",LEFT("",15)&amp;IF(ISERR(IRR(B227:K227,0.3)),"in Error",FIXED(IRR(B227:K227,0.3)*100,1,TRUE)&amp;"%"))</f>
        <v>24.5%</v>
      </c>
      <c r="J231" s="350" t="str">
        <f>IF(SUM(B227:U227)=0,"   NA",LEFT("",15)&amp;IF(ISERR(IRR(B227:P227,0.3)),"in Error",FIXED(IRR(B227:P227,0.3)*100,1,TRUE)&amp;"%"))</f>
        <v>28.9%</v>
      </c>
      <c r="K231" s="349" t="str">
        <f>IF(SUM(B227:U227)=0,"   NA",LEFT("",15)&amp;IF(ISERR(IRR(B227:U227,0.3)),"in Error",FIXED(IRR(B227:U227,0.3)*100,1,TRUE)&amp;"%"))</f>
        <v>29.8%</v>
      </c>
      <c r="L231" s="302"/>
      <c r="M231" s="657">
        <v>0.04</v>
      </c>
      <c r="N231" s="658"/>
      <c r="O231" s="655">
        <f>NPV(M231,$B$220:$K$220)</f>
        <v>12004.131277978322</v>
      </c>
      <c r="P231" s="656"/>
      <c r="Q231" s="650">
        <f>NPV(M231,$M$239:$V$239)</f>
        <v>16672.279684564586</v>
      </c>
      <c r="R231" s="651"/>
    </row>
    <row r="232" spans="1:251" ht="35.25" customHeight="1" thickTop="1" thickBot="1">
      <c r="B232" s="348"/>
      <c r="C232" s="348"/>
      <c r="D232" s="348"/>
      <c r="F232" s="347"/>
      <c r="M232" s="657">
        <v>0.08</v>
      </c>
      <c r="N232" s="658"/>
      <c r="O232" s="655">
        <f>NPV(M232,$B$220:$K$220)</f>
        <v>7039.7205590088179</v>
      </c>
      <c r="P232" s="656"/>
      <c r="Q232" s="650">
        <f>NPV(M232,$M$239:$V$239)</f>
        <v>10240.387561673984</v>
      </c>
      <c r="R232" s="651"/>
    </row>
    <row r="233" spans="1:251" ht="35.25" customHeight="1" thickTop="1" thickBot="1">
      <c r="M233" s="657">
        <v>0.1</v>
      </c>
      <c r="N233" s="658"/>
      <c r="O233" s="655">
        <f>NPV(M233,$B$220:$K$220)</f>
        <v>5117.0817564043218</v>
      </c>
      <c r="P233" s="656"/>
      <c r="Q233" s="652">
        <f>NPV(M233,$M$239:$V$239)</f>
        <v>7781.1858863623829</v>
      </c>
      <c r="R233" s="653"/>
    </row>
    <row r="234" spans="1:251" ht="35.25" customHeight="1" thickTop="1">
      <c r="L234" s="302"/>
      <c r="M234" s="275" t="s">
        <v>331</v>
      </c>
      <c r="P234" s="345"/>
      <c r="Q234" s="346"/>
      <c r="R234" s="346"/>
      <c r="S234" s="345"/>
      <c r="T234" s="345"/>
      <c r="U234" s="345"/>
      <c r="V234" s="345"/>
      <c r="W234" s="345"/>
      <c r="X234" s="345"/>
      <c r="Y234" s="345"/>
      <c r="Z234" s="345"/>
      <c r="AA234" s="345"/>
      <c r="AB234" s="345"/>
      <c r="AC234" s="345"/>
      <c r="AD234" s="345"/>
      <c r="AE234" s="345"/>
      <c r="AF234" s="345"/>
      <c r="AG234" s="345"/>
      <c r="AH234" s="345"/>
      <c r="AI234" s="345"/>
      <c r="AJ234" s="345"/>
      <c r="AK234" s="345"/>
      <c r="AL234" s="345"/>
      <c r="AM234" s="345"/>
      <c r="AN234" s="345"/>
      <c r="AO234" s="345"/>
      <c r="AP234" s="345"/>
      <c r="AQ234" s="345"/>
      <c r="AR234" s="345"/>
      <c r="AS234" s="345"/>
      <c r="AT234" s="345"/>
      <c r="AU234" s="345"/>
      <c r="AV234" s="345"/>
      <c r="AW234" s="345"/>
      <c r="AX234" s="345"/>
      <c r="AY234" s="345"/>
      <c r="AZ234" s="345"/>
      <c r="BA234" s="345"/>
      <c r="BB234" s="345"/>
      <c r="BC234" s="345"/>
      <c r="BD234" s="345"/>
      <c r="BE234" s="345"/>
      <c r="BF234" s="345"/>
      <c r="BG234" s="345"/>
      <c r="BH234" s="345"/>
      <c r="BI234" s="345"/>
      <c r="BJ234" s="345"/>
      <c r="BK234" s="345"/>
      <c r="BL234" s="345"/>
      <c r="BM234" s="345"/>
      <c r="BN234" s="345"/>
      <c r="BO234" s="345"/>
      <c r="BP234" s="345"/>
      <c r="BQ234" s="345"/>
      <c r="BR234" s="345"/>
      <c r="BS234" s="345"/>
      <c r="BT234" s="345"/>
      <c r="BU234" s="345"/>
      <c r="BV234" s="345"/>
      <c r="BW234" s="345"/>
      <c r="BX234" s="345"/>
      <c r="BY234" s="345"/>
      <c r="BZ234" s="345"/>
      <c r="CA234" s="345"/>
      <c r="CB234" s="345"/>
      <c r="CC234" s="345"/>
      <c r="CD234" s="345"/>
      <c r="CE234" s="345"/>
      <c r="CF234" s="345"/>
      <c r="CG234" s="345"/>
      <c r="CH234" s="345"/>
      <c r="CI234" s="345"/>
      <c r="CJ234" s="345"/>
      <c r="CK234" s="345"/>
      <c r="CL234" s="345"/>
      <c r="CM234" s="345"/>
      <c r="CN234" s="345"/>
      <c r="CO234" s="345"/>
      <c r="CP234" s="345"/>
      <c r="CQ234" s="345"/>
      <c r="CR234" s="345"/>
      <c r="CS234" s="345"/>
      <c r="CT234" s="345"/>
      <c r="CU234" s="345"/>
      <c r="CV234" s="345"/>
      <c r="CW234" s="345"/>
      <c r="CX234" s="345"/>
      <c r="CY234" s="345"/>
      <c r="CZ234" s="345"/>
      <c r="DA234" s="345"/>
      <c r="DB234" s="345"/>
      <c r="DC234" s="345"/>
      <c r="DD234" s="345"/>
      <c r="DE234" s="345"/>
      <c r="DF234" s="345"/>
      <c r="DG234" s="345"/>
      <c r="DH234" s="345"/>
      <c r="DI234" s="345"/>
      <c r="DJ234" s="345"/>
      <c r="DK234" s="345"/>
      <c r="DL234" s="345"/>
      <c r="DM234" s="345"/>
      <c r="DN234" s="345"/>
      <c r="DO234" s="345"/>
      <c r="DP234" s="345"/>
      <c r="DQ234" s="345"/>
      <c r="DR234" s="345"/>
      <c r="DS234" s="345"/>
      <c r="DT234" s="345"/>
      <c r="DU234" s="345"/>
      <c r="DV234" s="345"/>
      <c r="DW234" s="345"/>
      <c r="DX234" s="345"/>
      <c r="DY234" s="345"/>
      <c r="DZ234" s="345"/>
      <c r="EA234" s="345"/>
      <c r="EB234" s="345"/>
      <c r="EC234" s="345"/>
      <c r="ED234" s="345"/>
      <c r="EE234" s="345"/>
      <c r="EF234" s="345"/>
      <c r="EG234" s="345"/>
      <c r="EH234" s="345"/>
      <c r="EI234" s="345"/>
      <c r="EJ234" s="345"/>
      <c r="EK234" s="345"/>
      <c r="EL234" s="345"/>
      <c r="EM234" s="345"/>
      <c r="EN234" s="345"/>
      <c r="EO234" s="345"/>
      <c r="EP234" s="345"/>
      <c r="EQ234" s="345"/>
      <c r="ER234" s="345"/>
      <c r="ES234" s="345"/>
      <c r="ET234" s="345"/>
      <c r="EU234" s="345"/>
      <c r="EV234" s="345"/>
      <c r="EW234" s="345"/>
      <c r="EX234" s="345"/>
      <c r="EY234" s="345"/>
      <c r="EZ234" s="345"/>
      <c r="FA234" s="345"/>
      <c r="FB234" s="345"/>
      <c r="FC234" s="345"/>
      <c r="FD234" s="345"/>
      <c r="FE234" s="345"/>
      <c r="FF234" s="345"/>
      <c r="FG234" s="345"/>
      <c r="FH234" s="345"/>
      <c r="FI234" s="345"/>
      <c r="FJ234" s="345"/>
      <c r="FK234" s="345"/>
      <c r="FL234" s="345"/>
      <c r="FM234" s="345"/>
      <c r="FN234" s="345"/>
      <c r="FO234" s="345"/>
      <c r="FP234" s="345"/>
      <c r="FQ234" s="345"/>
      <c r="FR234" s="345"/>
      <c r="FS234" s="345"/>
      <c r="FT234" s="345"/>
      <c r="FU234" s="345"/>
      <c r="FV234" s="345"/>
      <c r="FW234" s="345"/>
      <c r="FX234" s="345"/>
      <c r="FY234" s="345"/>
      <c r="FZ234" s="345"/>
      <c r="GA234" s="345"/>
      <c r="GB234" s="345"/>
      <c r="GC234" s="345"/>
      <c r="GD234" s="345"/>
      <c r="GE234" s="345"/>
      <c r="GF234" s="345"/>
      <c r="GG234" s="345"/>
      <c r="GH234" s="345"/>
      <c r="GI234" s="345"/>
      <c r="GJ234" s="345"/>
      <c r="GK234" s="345"/>
      <c r="GL234" s="345"/>
      <c r="GM234" s="345"/>
      <c r="GN234" s="345"/>
      <c r="GO234" s="345"/>
      <c r="GP234" s="345"/>
      <c r="GQ234" s="345"/>
      <c r="GR234" s="345"/>
      <c r="GS234" s="345"/>
      <c r="GT234" s="345"/>
      <c r="GU234" s="345"/>
      <c r="GV234" s="345"/>
      <c r="GW234" s="345"/>
      <c r="GX234" s="345"/>
      <c r="GY234" s="345"/>
      <c r="GZ234" s="345"/>
      <c r="HA234" s="345"/>
      <c r="HB234" s="345"/>
      <c r="HC234" s="345"/>
      <c r="HD234" s="345"/>
      <c r="HE234" s="345"/>
      <c r="HF234" s="345"/>
      <c r="HG234" s="345"/>
      <c r="HH234" s="345"/>
      <c r="HI234" s="345"/>
      <c r="HJ234" s="345"/>
      <c r="HK234" s="345"/>
      <c r="HL234" s="345"/>
      <c r="HM234" s="345"/>
      <c r="HN234" s="345"/>
      <c r="HO234" s="345"/>
      <c r="HP234" s="345"/>
      <c r="HQ234" s="345"/>
      <c r="HR234" s="345"/>
      <c r="HS234" s="345"/>
      <c r="HT234" s="345"/>
      <c r="HU234" s="345"/>
      <c r="HV234" s="345"/>
      <c r="HW234" s="345"/>
      <c r="HX234" s="345"/>
      <c r="HY234" s="345"/>
      <c r="HZ234" s="345"/>
      <c r="IA234" s="345"/>
      <c r="IB234" s="345"/>
      <c r="IC234" s="345"/>
      <c r="ID234" s="345"/>
      <c r="IE234" s="345"/>
      <c r="IF234" s="345"/>
      <c r="IG234" s="345"/>
      <c r="IH234" s="345"/>
      <c r="II234" s="345"/>
      <c r="IJ234" s="345"/>
      <c r="IK234" s="345"/>
      <c r="IL234" s="345"/>
      <c r="IM234" s="345"/>
      <c r="IN234" s="345"/>
      <c r="IO234" s="345"/>
      <c r="IP234" s="345"/>
      <c r="IQ234" s="345"/>
    </row>
    <row r="235" spans="1:251" ht="20.25" customHeight="1"/>
    <row r="236" spans="1:251" ht="26.25" customHeight="1"/>
    <row r="237" spans="1:251" ht="26.25" customHeight="1" thickBot="1"/>
    <row r="238" spans="1:251" ht="34.5" customHeight="1" thickTop="1" thickBot="1">
      <c r="B238" s="344" t="s">
        <v>332</v>
      </c>
      <c r="C238" s="343"/>
      <c r="D238" s="343"/>
      <c r="E238" s="313"/>
      <c r="G238" s="522" t="s">
        <v>333</v>
      </c>
      <c r="H238" s="523"/>
      <c r="I238" s="312"/>
    </row>
    <row r="239" spans="1:251" ht="36" customHeight="1" thickTop="1">
      <c r="B239" s="310"/>
      <c r="C239" s="311" t="s">
        <v>250</v>
      </c>
      <c r="D239" s="311"/>
      <c r="E239" s="309" t="s">
        <v>70</v>
      </c>
      <c r="F239" s="309"/>
      <c r="G239" s="524"/>
      <c r="H239" s="524"/>
      <c r="M239" s="342">
        <f t="shared" ref="M239:U239" si="90">B220</f>
        <v>-14251</v>
      </c>
      <c r="N239" s="342">
        <f t="shared" si="90"/>
        <v>2583</v>
      </c>
      <c r="O239" s="342">
        <f t="shared" si="90"/>
        <v>2306</v>
      </c>
      <c r="P239" s="342">
        <f t="shared" si="90"/>
        <v>2559</v>
      </c>
      <c r="Q239" s="342">
        <f t="shared" si="90"/>
        <v>2854</v>
      </c>
      <c r="R239" s="342">
        <f t="shared" si="90"/>
        <v>3451</v>
      </c>
      <c r="S239" s="342">
        <f t="shared" si="90"/>
        <v>4884</v>
      </c>
      <c r="T239" s="342">
        <f t="shared" si="90"/>
        <v>4884</v>
      </c>
      <c r="U239" s="342">
        <f t="shared" si="90"/>
        <v>4882</v>
      </c>
      <c r="V239" s="342">
        <f>K220+P70</f>
        <v>11792</v>
      </c>
    </row>
    <row r="240" spans="1:251" ht="26.25" customHeight="1" thickBot="1">
      <c r="B240" s="309" t="s">
        <v>70</v>
      </c>
      <c r="C240" s="309"/>
      <c r="D240" s="309"/>
      <c r="E240" s="309"/>
      <c r="F240" s="309"/>
    </row>
    <row r="241" spans="1:8" ht="34.5" customHeight="1" thickTop="1" thickBot="1">
      <c r="A241" s="331" t="s">
        <v>334</v>
      </c>
      <c r="B241" s="330"/>
      <c r="C241" s="330"/>
      <c r="D241" s="330"/>
      <c r="E241" s="330"/>
      <c r="F241" s="338"/>
      <c r="G241" s="331" t="str">
        <f>LEFT("  Year ",7)&amp;FIXED(Assumptions!E389,0,TRUE)</f>
        <v xml:space="preserve">  Year 10</v>
      </c>
      <c r="H241" s="313"/>
    </row>
    <row r="242" spans="1:8" ht="34.5" customHeight="1" thickTop="1">
      <c r="A242" s="337" t="s">
        <v>70</v>
      </c>
      <c r="B242" s="336"/>
      <c r="C242" s="336"/>
      <c r="D242" s="336"/>
      <c r="E242" s="336"/>
      <c r="F242" s="322"/>
      <c r="G242" s="341" t="s">
        <v>70</v>
      </c>
      <c r="H242" s="313"/>
    </row>
    <row r="243" spans="1:8" ht="34.5" customHeight="1">
      <c r="A243" s="317" t="s">
        <v>47</v>
      </c>
      <c r="B243" s="316"/>
      <c r="C243" s="316"/>
      <c r="D243" s="316"/>
      <c r="E243" s="316"/>
      <c r="F243" s="316"/>
      <c r="G243" s="340">
        <f>CHOOSE((Assumptions!E389)+1,"            N/A",H8,I8,J8,K8,L8,M8,N8,O8,P8,Q8,R8,S8,T8,U8,V8)</f>
        <v>29721</v>
      </c>
      <c r="H243" s="313"/>
    </row>
    <row r="244" spans="1:8" ht="34.5" customHeight="1">
      <c r="A244" s="317" t="s">
        <v>255</v>
      </c>
      <c r="B244" s="316"/>
      <c r="C244" s="316"/>
      <c r="D244" s="316"/>
      <c r="E244" s="316"/>
      <c r="F244" s="316"/>
      <c r="G244" s="340">
        <f>CHOOSE((Assumptions!E389)+1,"            N/A",H11,I11,J11,K11,L11,M11,N11,O11,P11,Q11,R11,S11,T11,U11,V11)</f>
        <v>15821</v>
      </c>
      <c r="H244" s="313"/>
    </row>
    <row r="245" spans="1:8" ht="34.5" customHeight="1">
      <c r="A245" s="548" t="s">
        <v>77</v>
      </c>
      <c r="B245" s="549"/>
      <c r="C245" s="549"/>
      <c r="D245" s="549"/>
      <c r="E245" s="549"/>
      <c r="F245" s="549"/>
      <c r="G245" s="541">
        <f>IF(ISERR(G243-G244),"     N/A",G243-G244)</f>
        <v>13900</v>
      </c>
      <c r="H245" s="313"/>
    </row>
    <row r="246" spans="1:8" ht="34.5" customHeight="1">
      <c r="A246" s="548" t="s">
        <v>335</v>
      </c>
      <c r="B246" s="549"/>
      <c r="C246" s="549"/>
      <c r="D246" s="549"/>
      <c r="E246" s="550">
        <f>IF(Assumptions!E389&lt;&gt;0,INDEX(H20:V20,1,Assumptions!E389)-G244,"N/A")</f>
        <v>5378</v>
      </c>
      <c r="F246" s="549"/>
      <c r="G246" s="541">
        <f>IF(ISERR(TRIM(E246)),ROUND(E246,0),E246)</f>
        <v>5378</v>
      </c>
      <c r="H246" s="313"/>
    </row>
    <row r="247" spans="1:8" ht="34.5" customHeight="1">
      <c r="A247" s="317" t="str">
        <f>LEFT("Depreciation, Amortization &amp; ",30)&amp;IF(ISERR(TRIM(A17)),"**********",TRIM(A17))</f>
        <v>Depreciation, Amortization &amp; other</v>
      </c>
      <c r="B247" s="316"/>
      <c r="C247" s="316"/>
      <c r="D247" s="316"/>
      <c r="E247" s="316"/>
      <c r="F247" s="316"/>
      <c r="G247" s="340"/>
      <c r="H247" s="313"/>
    </row>
    <row r="248" spans="1:8" ht="34.5" customHeight="1">
      <c r="A248" s="317" t="s">
        <v>336</v>
      </c>
      <c r="B248" s="316"/>
      <c r="C248" s="316"/>
      <c r="D248" s="316"/>
      <c r="E248" s="316"/>
      <c r="F248" s="316"/>
      <c r="G248" s="340">
        <f>CHOOSE((Assumptions!E389)+1,"            N/A",H31,I31,J31,K31,L31,M31,N31,O31,P31,Q31,R31,S31,T31,U31,V31)</f>
        <v>4161</v>
      </c>
      <c r="H248" s="313"/>
    </row>
    <row r="249" spans="1:8" ht="34.5" customHeight="1" thickBot="1">
      <c r="A249" s="548" t="s">
        <v>337</v>
      </c>
      <c r="B249" s="549"/>
      <c r="C249" s="549"/>
      <c r="D249" s="549"/>
      <c r="E249" s="549"/>
      <c r="F249" s="549"/>
      <c r="G249" s="541">
        <f>IF(ISERR(E246+G248),"     N/A",E246+G248)</f>
        <v>9539</v>
      </c>
      <c r="H249" s="313"/>
    </row>
    <row r="250" spans="1:8" ht="34.5" customHeight="1" thickTop="1" thickBot="1">
      <c r="A250" s="331" t="s">
        <v>338</v>
      </c>
      <c r="B250" s="330"/>
      <c r="C250" s="330"/>
      <c r="D250" s="330"/>
      <c r="E250" s="330"/>
      <c r="F250" s="330"/>
      <c r="G250" s="339">
        <f>IF(ISERR(G249/G245),"            N/A",G249/G245)</f>
        <v>0.68625899280575542</v>
      </c>
      <c r="H250" s="313"/>
    </row>
    <row r="251" spans="1:8" ht="34.5" customHeight="1" thickTop="1" thickBot="1">
      <c r="A251" s="310"/>
      <c r="B251" s="310"/>
      <c r="C251" s="310"/>
      <c r="D251" s="310"/>
      <c r="E251" s="310"/>
      <c r="F251" s="310"/>
      <c r="G251" s="310"/>
    </row>
    <row r="252" spans="1:8" ht="34.5" customHeight="1" thickTop="1" thickBot="1">
      <c r="A252" s="331" t="s">
        <v>339</v>
      </c>
      <c r="B252" s="330"/>
      <c r="C252" s="330"/>
      <c r="D252" s="330"/>
      <c r="E252" s="330"/>
      <c r="F252" s="338"/>
      <c r="G252" s="331" t="str">
        <f>LEFT("Years 1-",8)&amp;FIXED(Assumptions!E389,0,TRUE)</f>
        <v>Years 1-10</v>
      </c>
      <c r="H252" s="313"/>
    </row>
    <row r="253" spans="1:8" ht="34.5" customHeight="1" thickTop="1">
      <c r="A253" s="337" t="s">
        <v>70</v>
      </c>
      <c r="B253" s="336"/>
      <c r="C253" s="336"/>
      <c r="D253" s="336"/>
      <c r="E253" s="336"/>
      <c r="F253" s="322"/>
      <c r="G253" s="335" t="s">
        <v>70</v>
      </c>
      <c r="H253" s="313"/>
    </row>
    <row r="254" spans="1:8" ht="34.5" customHeight="1">
      <c r="A254" s="317" t="s">
        <v>340</v>
      </c>
      <c r="B254" s="316"/>
      <c r="C254" s="316"/>
      <c r="D254" s="316"/>
      <c r="E254" s="316"/>
      <c r="F254" s="316"/>
      <c r="G254" s="332">
        <f>CHOOSE((Assumptions!E389)+1,"            N/A",H8,SUM(H8:I8),SUM(H8:J8),SUM(H8:K8),SUM(H8:L8),SUM(H8:M8),SUM(H8:N8),SUM(H8:O8),SUM(H8:P8),SUM(H8:Q8),SUM(H8:R8),SUM(H8:S8),SUM(H8:T8),SUM(H8:U8),SUM(H8:V8))</f>
        <v>265731</v>
      </c>
      <c r="H254" s="313"/>
    </row>
    <row r="255" spans="1:8" ht="34.5" customHeight="1">
      <c r="A255" s="317" t="s">
        <v>341</v>
      </c>
      <c r="B255" s="316"/>
      <c r="C255" s="316"/>
      <c r="D255" s="316"/>
      <c r="E255" s="316"/>
      <c r="F255" s="316"/>
      <c r="G255" s="332">
        <f>CHOOSE((Assumptions!E389)+1,"            N/A",H11,SUM(H11:I11),SUM(H11:J11),SUM(H11:K11),SUM(H11:L11),SUM(H11:M11),SUM(H11:N11),SUM(H11:O11),SUM(H11:P11),SUM(H11:Q11),SUM(H11:R11),SUM(H11:S11),SUM(H11:T11),SUM(H11:U11),SUM(H11:V11))</f>
        <v>140785</v>
      </c>
      <c r="H255" s="313"/>
    </row>
    <row r="256" spans="1:8" ht="34.5" customHeight="1">
      <c r="A256" s="548" t="s">
        <v>342</v>
      </c>
      <c r="B256" s="549"/>
      <c r="C256" s="549"/>
      <c r="D256" s="549"/>
      <c r="E256" s="549"/>
      <c r="F256" s="549"/>
      <c r="G256" s="531">
        <f>IF(ISERR(G254-G255),"     N/A",G254-G255)</f>
        <v>124946</v>
      </c>
      <c r="H256" s="313"/>
    </row>
    <row r="257" spans="1:8" ht="34.5" customHeight="1">
      <c r="A257" s="548" t="str">
        <f>LEFT("Total Labour, Utilities, Maintenance &amp; ",39)&amp;IF(ISERR(TRIM(A17)),"**********",TRIM(A17))</f>
        <v>Total Labour, Utilities, Maintenance &amp; other</v>
      </c>
      <c r="B257" s="549"/>
      <c r="C257" s="549"/>
      <c r="D257" s="549"/>
      <c r="E257" s="549"/>
      <c r="F257" s="549"/>
      <c r="G257" s="531">
        <f>CHOOSE((Assumptions!E389)+1,"            N/A",C310,D310,E310,F310,G310,H310,I310,J310,K310,L310,M310,N310,O310,P310,Q310,R310,T310,U310,V310)</f>
        <v>45409</v>
      </c>
      <c r="H257" s="313"/>
    </row>
    <row r="258" spans="1:8" ht="34.5" customHeight="1">
      <c r="A258" s="317" t="s">
        <v>343</v>
      </c>
      <c r="B258" s="316"/>
      <c r="C258" s="316"/>
      <c r="D258" s="316"/>
      <c r="E258" s="316"/>
      <c r="F258" s="316"/>
      <c r="G258" s="332">
        <f>CHOOSE((Assumptions!E389)+1,"            N/A",H31,SUM(H31:I31),SUM(H31:J31),SUM(H31:K31),SUM(H31:L31),SUM(H31:M31),SUM(H31:N31),SUM(H31:O31),SUM(H31:P31),SUM(H31:Q31),SUM(H31:R31),SUM(H31:S31),SUM(H31:T31),SUM(H31:U31),SUM(H31:V31))</f>
        <v>36510</v>
      </c>
      <c r="H258" s="313"/>
    </row>
    <row r="259" spans="1:8" ht="34.5" customHeight="1">
      <c r="A259" s="317" t="str">
        <f>LEFT("Total Term Loan Repayments - SIDF, Bank &amp; ",42)&amp;A104</f>
        <v xml:space="preserve">Total Term Loan Repayments - SIDF, Bank &amp; </v>
      </c>
      <c r="B259" s="316"/>
      <c r="C259" s="316"/>
      <c r="D259" s="316"/>
      <c r="E259" s="334">
        <f>CHOOSE((Assumptions!E389)+1,"            N/A",SUM(H147:H149),SUM(H147:I149),SUM(H147:J149),SUM(H147:K149),SUM(H147:L149),SUM(H147:M149),SUM(H147:N149),SUM(H147:O149),SUM(H147:P149),SUM(H147:Q149),SUM(H147:R149),SUM(H147:R149),SUM(H147:T149),SUM(H147:U149),SUM(H147:V149))</f>
        <v>5000</v>
      </c>
      <c r="F259" s="333" t="s">
        <v>344</v>
      </c>
      <c r="G259" s="332">
        <f>IF(ISERR(TRIM(E259)),ROUND(E259,0),E259)</f>
        <v>5000</v>
      </c>
      <c r="H259" s="313"/>
    </row>
    <row r="260" spans="1:8" ht="34.5" customHeight="1" thickBot="1">
      <c r="A260" s="548" t="s">
        <v>345</v>
      </c>
      <c r="B260" s="549"/>
      <c r="C260" s="549"/>
      <c r="D260" s="549"/>
      <c r="E260" s="549"/>
      <c r="F260" s="549"/>
      <c r="G260" s="531">
        <f>IF(ISERR(SUM(G257:G259)),"     N/A",SUM(G257:G259))</f>
        <v>86919</v>
      </c>
      <c r="H260" s="313"/>
    </row>
    <row r="261" spans="1:8" ht="34.5" customHeight="1" thickTop="1" thickBot="1">
      <c r="A261" s="331" t="s">
        <v>338</v>
      </c>
      <c r="B261" s="330"/>
      <c r="C261" s="330"/>
      <c r="D261" s="330"/>
      <c r="E261" s="330"/>
      <c r="F261" s="330"/>
      <c r="G261" s="329">
        <f>IF(ISERR(G260/G256),"            N/A",G260/G256)</f>
        <v>0.69565252188945625</v>
      </c>
      <c r="H261" s="313"/>
    </row>
    <row r="262" spans="1:8" ht="34.5" customHeight="1" thickTop="1">
      <c r="A262" s="310"/>
      <c r="B262" s="310"/>
      <c r="C262" s="310"/>
      <c r="D262" s="310"/>
      <c r="E262" s="310"/>
      <c r="F262" s="310"/>
      <c r="G262" s="310"/>
    </row>
    <row r="263" spans="1:8" ht="34.5" customHeight="1" thickBot="1"/>
    <row r="264" spans="1:8" ht="34.5" customHeight="1" thickTop="1">
      <c r="A264" s="328" t="s">
        <v>346</v>
      </c>
      <c r="B264" s="327"/>
      <c r="C264" s="327"/>
      <c r="D264" s="327"/>
      <c r="E264" s="327"/>
      <c r="F264" s="313"/>
    </row>
    <row r="265" spans="1:8" ht="34.5" customHeight="1">
      <c r="A265" s="326" t="s">
        <v>347</v>
      </c>
      <c r="B265" s="325"/>
      <c r="C265" s="325"/>
      <c r="D265" s="325"/>
      <c r="E265" s="324"/>
      <c r="F265" s="313"/>
    </row>
    <row r="266" spans="1:8" ht="34.5" customHeight="1">
      <c r="A266" s="326" t="s">
        <v>348</v>
      </c>
      <c r="B266" s="325"/>
      <c r="C266" s="325"/>
      <c r="D266" s="325"/>
      <c r="E266" s="324"/>
      <c r="F266" s="313"/>
    </row>
    <row r="267" spans="1:8" ht="34.5" customHeight="1">
      <c r="A267" s="326" t="s">
        <v>349</v>
      </c>
      <c r="B267" s="325"/>
      <c r="C267" s="325"/>
      <c r="D267" s="325"/>
      <c r="E267" s="324"/>
      <c r="F267" s="313"/>
    </row>
    <row r="268" spans="1:8" ht="34.5" customHeight="1" thickBot="1">
      <c r="A268" s="326" t="s">
        <v>350</v>
      </c>
      <c r="B268" s="325"/>
      <c r="C268" s="325"/>
      <c r="D268" s="325"/>
      <c r="E268" s="324"/>
      <c r="F268" s="313"/>
    </row>
    <row r="269" spans="1:8" ht="34.5" customHeight="1" thickTop="1">
      <c r="A269" s="673" t="s">
        <v>351</v>
      </c>
      <c r="B269" s="322"/>
      <c r="C269" s="322"/>
      <c r="D269" s="671" t="s">
        <v>352</v>
      </c>
      <c r="E269" s="669" t="s">
        <v>353</v>
      </c>
      <c r="F269" s="313"/>
    </row>
    <row r="270" spans="1:8" ht="34.5" customHeight="1" thickBot="1">
      <c r="A270" s="674"/>
      <c r="B270" s="316"/>
      <c r="C270" s="316"/>
      <c r="D270" s="672"/>
      <c r="E270" s="670"/>
      <c r="F270" s="313"/>
    </row>
    <row r="271" spans="1:8" ht="34.5" customHeight="1" thickTop="1">
      <c r="A271" s="321" t="s">
        <v>354</v>
      </c>
      <c r="B271" s="320"/>
      <c r="C271" s="320"/>
      <c r="D271" s="319">
        <f>IF(ISERR((G256-G260)/G256),"     N/A",(G256-G260)/G256)</f>
        <v>0.30434747811054375</v>
      </c>
      <c r="E271" s="318"/>
      <c r="F271" s="313"/>
    </row>
    <row r="272" spans="1:8" ht="34.5" customHeight="1">
      <c r="A272" s="317" t="s">
        <v>355</v>
      </c>
      <c r="B272" s="316"/>
      <c r="C272" s="316"/>
      <c r="D272" s="314">
        <f>IF(ISERR((G256-G260)/G254),"     N/A",(G256-G260)/G254)</f>
        <v>0.14310336392818301</v>
      </c>
      <c r="E272" s="315"/>
      <c r="F272" s="313"/>
    </row>
    <row r="273" spans="1:20" ht="34.5" customHeight="1">
      <c r="A273" s="317" t="s">
        <v>356</v>
      </c>
      <c r="B273" s="316"/>
      <c r="C273" s="316"/>
      <c r="D273" s="315"/>
      <c r="E273" s="314">
        <f>IF(ISERR((G256-G260)/G255),"     N/A",(G256-G260)/G255)</f>
        <v>0.27010690059310294</v>
      </c>
      <c r="F273" s="313"/>
    </row>
    <row r="274" spans="1:20" ht="34.5" customHeight="1" thickBot="1">
      <c r="A274" s="317" t="s">
        <v>357</v>
      </c>
      <c r="B274" s="316"/>
      <c r="C274" s="316"/>
      <c r="D274" s="315"/>
      <c r="E274" s="314">
        <f>IF(ISERR((G256-G260)/G258),"     N/A",(G256-G260)/G258)</f>
        <v>1.0415502602026843</v>
      </c>
      <c r="F274" s="313"/>
    </row>
    <row r="275" spans="1:20" ht="35.25" customHeight="1" thickTop="1">
      <c r="A275" s="310"/>
      <c r="B275" s="310"/>
      <c r="C275" s="310"/>
      <c r="D275" s="310"/>
      <c r="E275" s="310"/>
    </row>
    <row r="276" spans="1:20" ht="20.25" customHeight="1"/>
    <row r="277" spans="1:20" ht="20.25" customHeight="1"/>
    <row r="278" spans="1:20" ht="20.25" customHeight="1"/>
    <row r="279" spans="1:20" ht="20.25" customHeight="1"/>
    <row r="280" spans="1:20" ht="26.25" customHeight="1" thickBot="1"/>
    <row r="281" spans="1:20" ht="36" customHeight="1" thickTop="1" thickBot="1">
      <c r="B281" s="638" t="s">
        <v>358</v>
      </c>
      <c r="C281" s="662"/>
      <c r="D281" s="662"/>
      <c r="E281" s="662"/>
      <c r="F281" s="663"/>
      <c r="G281" s="313"/>
      <c r="H281" s="522" t="s">
        <v>359</v>
      </c>
      <c r="I281" s="523"/>
      <c r="J281" s="312"/>
    </row>
    <row r="282" spans="1:20" ht="36" customHeight="1" thickTop="1">
      <c r="A282" s="309" t="s">
        <v>70</v>
      </c>
      <c r="B282" s="310"/>
      <c r="C282" s="311"/>
      <c r="D282" s="311" t="s">
        <v>250</v>
      </c>
      <c r="E282" s="310"/>
      <c r="F282" s="310"/>
      <c r="H282" s="524"/>
      <c r="I282" s="524"/>
    </row>
    <row r="283" spans="1:20" ht="30" customHeight="1">
      <c r="A283" s="309"/>
      <c r="B283" s="309" t="s">
        <v>70</v>
      </c>
      <c r="C283" s="309"/>
      <c r="D283" s="309"/>
      <c r="E283" s="309"/>
    </row>
    <row r="284" spans="1:20" ht="30" customHeight="1" thickBot="1"/>
    <row r="285" spans="1:20" ht="36" customHeight="1" thickTop="1">
      <c r="A285" s="695" t="s">
        <v>360</v>
      </c>
      <c r="B285" s="693"/>
      <c r="C285" s="693"/>
      <c r="D285" s="694"/>
      <c r="F285" s="692" t="s">
        <v>361</v>
      </c>
      <c r="G285" s="693"/>
      <c r="H285" s="693"/>
      <c r="I285" s="693"/>
      <c r="J285" s="693"/>
      <c r="K285" s="694"/>
      <c r="L285" s="302"/>
      <c r="M285" s="302"/>
      <c r="N285" s="302"/>
      <c r="O285" s="302"/>
      <c r="P285" s="302"/>
      <c r="Q285" s="302"/>
      <c r="R285" s="302"/>
      <c r="S285" s="302"/>
      <c r="T285" s="302"/>
    </row>
    <row r="286" spans="1:20" ht="2.25" customHeight="1" thickBot="1">
      <c r="A286" s="696"/>
      <c r="B286" s="697"/>
      <c r="C286" s="697"/>
      <c r="D286" s="698"/>
      <c r="F286" s="308"/>
      <c r="G286" s="307"/>
      <c r="H286" s="308"/>
      <c r="I286" s="307"/>
      <c r="J286" s="307"/>
      <c r="K286" s="306"/>
      <c r="L286" s="302"/>
      <c r="M286" s="302"/>
      <c r="N286" s="302"/>
      <c r="O286" s="302"/>
      <c r="P286" s="302"/>
      <c r="Q286" s="302"/>
      <c r="R286" s="302"/>
      <c r="S286" s="302"/>
      <c r="T286" s="302"/>
    </row>
    <row r="287" spans="1:20" ht="36" customHeight="1" thickTop="1" thickBot="1">
      <c r="A287" s="675" t="s">
        <v>362</v>
      </c>
      <c r="B287" s="676"/>
      <c r="C287" s="676"/>
      <c r="D287" s="298">
        <f>'Financial Stat.'!Q12</f>
        <v>2233</v>
      </c>
      <c r="F287" s="687" t="s">
        <v>363</v>
      </c>
      <c r="G287" s="303" t="s">
        <v>364</v>
      </c>
      <c r="H287" s="689" t="s">
        <v>365</v>
      </c>
      <c r="I287" s="690"/>
      <c r="J287" s="690"/>
      <c r="K287" s="691"/>
      <c r="L287" s="305"/>
      <c r="M287" s="302"/>
      <c r="N287" s="302"/>
      <c r="O287" s="302"/>
      <c r="P287" s="302"/>
      <c r="Q287" s="302"/>
      <c r="R287" s="302"/>
      <c r="S287" s="302"/>
      <c r="T287" s="302"/>
    </row>
    <row r="288" spans="1:20" ht="36" customHeight="1" thickTop="1" thickBot="1">
      <c r="A288" s="675" t="s">
        <v>366</v>
      </c>
      <c r="B288" s="676"/>
      <c r="C288" s="676"/>
      <c r="D288" s="298">
        <f>Q26</f>
        <v>0</v>
      </c>
      <c r="F288" s="688"/>
      <c r="G288" s="303" t="str">
        <f>F6</f>
        <v xml:space="preserve"> </v>
      </c>
      <c r="H288" s="303" t="str">
        <f>G6</f>
        <v xml:space="preserve">  2025</v>
      </c>
      <c r="I288" s="303" t="str">
        <f>H6</f>
        <v xml:space="preserve">  2026</v>
      </c>
      <c r="J288" s="304" t="str">
        <f>I6</f>
        <v xml:space="preserve">  2027</v>
      </c>
      <c r="K288" s="303" t="str">
        <f>J6</f>
        <v xml:space="preserve">  2028</v>
      </c>
    </row>
    <row r="289" spans="1:18" ht="36" customHeight="1" thickTop="1">
      <c r="A289" s="675" t="s">
        <v>367</v>
      </c>
      <c r="B289" s="676"/>
      <c r="C289" s="676"/>
      <c r="D289" s="298">
        <f>'Financial Stat.'!Q27</f>
        <v>0</v>
      </c>
      <c r="F289" s="289" t="s">
        <v>47</v>
      </c>
      <c r="G289" s="287" t="str">
        <f>IF(F8=0, "N/A",F8/F8)</f>
        <v>N/A</v>
      </c>
      <c r="H289" s="287">
        <f>IF(G8=0, "N/A",G8/G8)</f>
        <v>1</v>
      </c>
      <c r="I289" s="287">
        <f>IF(H8=0, "N/A",H8/H8)</f>
        <v>1</v>
      </c>
      <c r="J289" s="287">
        <f>IF(I8=0, "N/A",I8/I8)</f>
        <v>1</v>
      </c>
      <c r="K289" s="287">
        <f>IF(J8=0, "N/A",J8/J8)</f>
        <v>1</v>
      </c>
      <c r="R289" s="302"/>
    </row>
    <row r="290" spans="1:18" ht="36" customHeight="1">
      <c r="A290" s="675" t="s">
        <v>368</v>
      </c>
      <c r="B290" s="676"/>
      <c r="C290" s="676"/>
      <c r="D290" s="298">
        <f>Q33</f>
        <v>4361</v>
      </c>
      <c r="F290" s="289" t="s">
        <v>369</v>
      </c>
      <c r="G290" s="287" t="str">
        <f>IF(F11=0,"N/A",F11/F8)</f>
        <v>N/A</v>
      </c>
      <c r="H290" s="287">
        <f>IF(G11=0, "N/A",G11/$G$8)</f>
        <v>0.41299492385786801</v>
      </c>
      <c r="I290" s="288">
        <f>IF(H11=0, "N/A",H11/$H$8)</f>
        <v>0.52011636203962897</v>
      </c>
      <c r="J290" s="287">
        <f>IF(I11=0, "N/A",I11/$I$8)</f>
        <v>0.52180318208603416</v>
      </c>
      <c r="K290" s="286">
        <f>IF(J11=0, "N/A",J11/$J$8)</f>
        <v>0.52562199912701879</v>
      </c>
    </row>
    <row r="291" spans="1:18" ht="36" customHeight="1">
      <c r="A291" s="675" t="s">
        <v>370</v>
      </c>
      <c r="B291" s="676"/>
      <c r="C291" s="676"/>
      <c r="D291" s="298">
        <f>'Financial Stat.'!Q15</f>
        <v>630</v>
      </c>
      <c r="F291" s="289" t="s">
        <v>371</v>
      </c>
      <c r="G291" s="287" t="str">
        <f>IF(F12=0,"N/A",F12/F8)</f>
        <v>N/A</v>
      </c>
      <c r="H291" s="287">
        <f>IF(G12=0, "N/A",G12/G8)</f>
        <v>0.1133502538071066</v>
      </c>
      <c r="I291" s="288">
        <f>IF(H12=0, "N/A",H12/H8)</f>
        <v>0.12256435589220045</v>
      </c>
      <c r="J291" s="287">
        <f>IF(I12=0, "N/A",I12/I8)</f>
        <v>0.10965429188764486</v>
      </c>
      <c r="K291" s="286">
        <f>IF(J12=0, "N/A",J12/J8)</f>
        <v>9.7468354430379753E-2</v>
      </c>
    </row>
    <row r="292" spans="1:18" ht="36" customHeight="1">
      <c r="A292" s="675" t="s">
        <v>372</v>
      </c>
      <c r="B292" s="676"/>
      <c r="C292" s="676"/>
      <c r="D292" s="298">
        <f>Q16</f>
        <v>0</v>
      </c>
      <c r="F292" s="289" t="s">
        <v>257</v>
      </c>
      <c r="G292" s="287" t="str">
        <f>IF(F13=0,"N/A",F13/F8)</f>
        <v>N/A</v>
      </c>
      <c r="H292" s="300">
        <f>IF(G13=0, "N/A",G13/G8)</f>
        <v>5.0253807106598984E-2</v>
      </c>
      <c r="I292" s="301">
        <f>IF(H13=0, "N/A",H13/H8)</f>
        <v>6.312091772325594E-2</v>
      </c>
      <c r="J292" s="300">
        <f>IF(I13=0, "N/A",I13/I8)</f>
        <v>6.3248870555882936E-2</v>
      </c>
      <c r="K292" s="299">
        <f>IF(J13=0, "N/A",J13/J8)</f>
        <v>6.355303360977739E-2</v>
      </c>
    </row>
    <row r="293" spans="1:18" ht="36" customHeight="1">
      <c r="A293" s="675" t="s">
        <v>373</v>
      </c>
      <c r="B293" s="676"/>
      <c r="C293" s="676"/>
      <c r="D293" s="298">
        <f>Q17</f>
        <v>0</v>
      </c>
      <c r="F293" s="289" t="s">
        <v>374</v>
      </c>
      <c r="G293" s="287" t="str">
        <f>IF(F14=0,"N/A",F14/F8)</f>
        <v>N/A</v>
      </c>
      <c r="H293" s="287" t="str">
        <f>IF(G14=0, "N/A",G14/G8)</f>
        <v>N/A</v>
      </c>
      <c r="I293" s="288">
        <f>IF(H14=0, "N/A",H14/H8)</f>
        <v>3.3481530270596631E-2</v>
      </c>
      <c r="J293" s="287">
        <f>IF(I14=0, "N/A",I14/I8)</f>
        <v>2.9954822235317227E-2</v>
      </c>
      <c r="K293" s="286">
        <f>IF(J14=0, "N/A",J14/J8)</f>
        <v>2.6625927542557836E-2</v>
      </c>
    </row>
    <row r="294" spans="1:18" ht="36" customHeight="1">
      <c r="A294" s="685" t="s">
        <v>375</v>
      </c>
      <c r="B294" s="686"/>
      <c r="C294" s="686"/>
      <c r="D294" s="297">
        <f>SUM(D287:D293)</f>
        <v>7224</v>
      </c>
      <c r="F294" s="289" t="s">
        <v>376</v>
      </c>
      <c r="G294" s="287" t="str">
        <f>IF(F15=0,"N/A",F15/F8)</f>
        <v>N/A</v>
      </c>
      <c r="H294" s="287" t="str">
        <f>IF(G15=0, "N/A",G15/G8)</f>
        <v>N/A</v>
      </c>
      <c r="I294" s="287">
        <f>IF(H15=0, "N/A",H15/H8)</f>
        <v>3.8531203688457104E-2</v>
      </c>
      <c r="J294" s="287">
        <f>IF(I15=0, "N/A",I15/I8)</f>
        <v>3.4472598703594579E-2</v>
      </c>
      <c r="K294" s="286">
        <f>IF(J15=0, "N/A",J15/J8)</f>
        <v>3.0641641204714097E-2</v>
      </c>
    </row>
    <row r="295" spans="1:18" ht="28.5" customHeight="1" thickBot="1">
      <c r="A295" s="680" t="s">
        <v>377</v>
      </c>
      <c r="B295" s="681"/>
      <c r="C295" s="682"/>
      <c r="D295" s="296">
        <f>SUM(Assumptions!F234:I234)</f>
        <v>12940</v>
      </c>
      <c r="F295" s="295" t="s">
        <v>378</v>
      </c>
      <c r="G295" s="294" t="str">
        <f>IF(F20=0,"N/A",F20/F8)</f>
        <v>N/A</v>
      </c>
      <c r="H295" s="294">
        <f>IF(G20=0, "N/A",G20/G8)</f>
        <v>0.64319796954314723</v>
      </c>
      <c r="I295" s="293">
        <f>IF(H20=0, "N/A",H20/H8)</f>
        <v>0.79971458367638182</v>
      </c>
      <c r="J295" s="292">
        <f>IF(I20=0, "N/A",I20/I8)</f>
        <v>0.75913376546847378</v>
      </c>
      <c r="K295" s="292">
        <f>IF(J20=0, "N/A",J20/J8)</f>
        <v>0.74391095591444789</v>
      </c>
    </row>
    <row r="296" spans="1:18" ht="36" customHeight="1" thickTop="1" thickBot="1">
      <c r="A296" s="683" t="s">
        <v>379</v>
      </c>
      <c r="B296" s="684"/>
      <c r="C296" s="684"/>
      <c r="D296" s="290">
        <f>IF(D294=0, "N/A",D294/D295)</f>
        <v>0.55826893353941265</v>
      </c>
      <c r="E296" s="291"/>
      <c r="F296" s="289" t="s">
        <v>380</v>
      </c>
      <c r="G296" s="287" t="str">
        <f>IF(F25=0,"N/A",F25/F8)</f>
        <v>N/A</v>
      </c>
      <c r="H296" s="287">
        <f>IF(G25=0, "N/A",G25/G8)</f>
        <v>9.7106345177664963E-2</v>
      </c>
      <c r="I296" s="287">
        <f>IF(H25=0, "N/A",H25/H8)</f>
        <v>0.105</v>
      </c>
      <c r="J296" s="287">
        <f>IF(I25=0, "N/A",I25/I8)</f>
        <v>0.12</v>
      </c>
      <c r="K296" s="286">
        <f>IF(J25=0, "N/A",J25/J8)</f>
        <v>0.13</v>
      </c>
    </row>
    <row r="297" spans="1:18" ht="32.25" customHeight="1" thickTop="1" thickBot="1">
      <c r="A297" s="683" t="s">
        <v>381</v>
      </c>
      <c r="B297" s="684"/>
      <c r="C297" s="684"/>
      <c r="D297" s="290">
        <f>IF(D294=0, "N/A",D294/Q8)</f>
        <v>0.24306046229938427</v>
      </c>
      <c r="F297" s="289" t="s">
        <v>264</v>
      </c>
      <c r="G297" s="287" t="str">
        <f>IF(F26=0,"N/A",F26/F8)</f>
        <v>N/A</v>
      </c>
      <c r="H297" s="287" t="str">
        <f>IF(G26=0, "N/A",G26/G8)</f>
        <v>N/A</v>
      </c>
      <c r="I297" s="288" t="str">
        <f>IF(H26=0, "N/A",H26/H8)</f>
        <v>N/A</v>
      </c>
      <c r="J297" s="287" t="str">
        <f>IF(I26=0, "N/A",I26/I8)</f>
        <v>N/A</v>
      </c>
      <c r="K297" s="286" t="str">
        <f>IF(J26=0, "N/A",J26/J8)</f>
        <v>N/A</v>
      </c>
    </row>
    <row r="298" spans="1:18" ht="36" customHeight="1" thickTop="1">
      <c r="F298" s="289" t="s">
        <v>382</v>
      </c>
      <c r="G298" s="287" t="str">
        <f>IF(F27=0,"N/A",F27/F8)</f>
        <v>N/A</v>
      </c>
      <c r="H298" s="287" t="str">
        <f>IF(G27=0, "N/A",G27/G8)</f>
        <v>N/A</v>
      </c>
      <c r="I298" s="288">
        <f>IF(H27=0, "N/A",H27/H8)</f>
        <v>4.5556836269828203E-3</v>
      </c>
      <c r="J298" s="287">
        <f>IF(I27=0, "N/A",I27/I8)</f>
        <v>4.0758200746415238E-3</v>
      </c>
      <c r="K298" s="286">
        <f>IF(J27=0, "N/A",J27/J8)</f>
        <v>3.6228721082496728E-3</v>
      </c>
    </row>
    <row r="299" spans="1:18" ht="36" customHeight="1" thickBot="1">
      <c r="F299" s="285" t="s">
        <v>383</v>
      </c>
      <c r="G299" s="283" t="str">
        <f>IF(F39=0,"N/A",F39/F8)</f>
        <v>N/A</v>
      </c>
      <c r="H299" s="283">
        <f>IF(G36=0, "N/A",G36/G8)</f>
        <v>0.25319796954314722</v>
      </c>
      <c r="I299" s="284">
        <f>IF(H36=0, "N/A",H36/H8)</f>
        <v>8.8479060321642239E-2</v>
      </c>
      <c r="J299" s="283">
        <f>IF(I36=0, "N/A",I36/I8)</f>
        <v>0.113877430760165</v>
      </c>
      <c r="K299" s="282">
        <f>IF(J36=0, "N/A",J36/J8)</f>
        <v>0.11942383238760367</v>
      </c>
    </row>
    <row r="300" spans="1:18" ht="36" customHeight="1" thickTop="1"/>
    <row r="301" spans="1:18" ht="36" customHeight="1"/>
    <row r="302" spans="1:18" s="280" customFormat="1" ht="36" customHeight="1"/>
    <row r="303" spans="1:18" s="280" customFormat="1" ht="36" customHeight="1"/>
    <row r="304" spans="1:18" s="280" customFormat="1" ht="36" customHeight="1"/>
    <row r="305" spans="1:59" s="280" customFormat="1" ht="36" customHeight="1"/>
    <row r="306" spans="1:59" s="280" customFormat="1" ht="26.25" customHeight="1">
      <c r="H306" s="277"/>
      <c r="I306" s="277"/>
      <c r="J306" s="277"/>
    </row>
    <row r="307" spans="1:59" s="280" customFormat="1" ht="20.25" customHeight="1">
      <c r="A307" s="277"/>
      <c r="B307" s="277"/>
      <c r="C307" s="277"/>
      <c r="D307" s="277"/>
      <c r="E307" s="277"/>
      <c r="F307" s="277"/>
      <c r="G307" s="277"/>
      <c r="H307" s="277"/>
      <c r="I307" s="277"/>
      <c r="J307" s="277"/>
    </row>
    <row r="308" spans="1:59" s="280" customFormat="1" ht="19.5" customHeight="1">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c r="AA308" s="277"/>
      <c r="AB308" s="277"/>
      <c r="AC308" s="277"/>
      <c r="AD308" s="277"/>
      <c r="AE308" s="277"/>
      <c r="AF308" s="277"/>
      <c r="AG308" s="277"/>
      <c r="AH308" s="277"/>
      <c r="AI308" s="277"/>
      <c r="AJ308" s="277"/>
      <c r="AK308" s="277"/>
      <c r="AL308" s="277"/>
      <c r="AM308" s="277"/>
      <c r="AN308" s="277"/>
      <c r="AO308" s="277"/>
      <c r="AP308" s="277"/>
      <c r="AQ308" s="277"/>
      <c r="AR308" s="277"/>
      <c r="AS308" s="277"/>
      <c r="AT308" s="277"/>
      <c r="AU308" s="277"/>
      <c r="AV308" s="277"/>
      <c r="AW308" s="277"/>
      <c r="AX308" s="277"/>
      <c r="AY308" s="277"/>
      <c r="AZ308" s="277"/>
      <c r="BA308" s="277"/>
      <c r="BB308" s="277"/>
      <c r="BC308" s="277"/>
      <c r="BD308" s="277"/>
      <c r="BE308" s="277"/>
      <c r="BF308" s="277"/>
      <c r="BG308" s="277"/>
    </row>
    <row r="309" spans="1:59" s="280" customFormat="1" ht="19.5" customHeight="1">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c r="AA309" s="277"/>
      <c r="AB309" s="277"/>
      <c r="AC309" s="277"/>
      <c r="AD309" s="277"/>
      <c r="AE309" s="277"/>
      <c r="AF309" s="277"/>
      <c r="AG309" s="277"/>
      <c r="AH309" s="277"/>
      <c r="AI309" s="277"/>
      <c r="AJ309" s="277"/>
      <c r="AK309" s="277"/>
      <c r="AL309" s="277"/>
      <c r="AM309" s="277"/>
      <c r="AN309" s="277"/>
      <c r="AO309" s="277"/>
      <c r="AP309" s="277"/>
      <c r="AQ309" s="277"/>
      <c r="AR309" s="277"/>
      <c r="AS309" s="277"/>
      <c r="AT309" s="277"/>
      <c r="AU309" s="277"/>
      <c r="AV309" s="277"/>
      <c r="AW309" s="277"/>
      <c r="AX309" s="277"/>
      <c r="AY309" s="277"/>
      <c r="AZ309" s="277"/>
      <c r="BA309" s="277"/>
      <c r="BB309" s="277"/>
      <c r="BC309" s="277"/>
      <c r="BD309" s="277"/>
      <c r="BE309" s="277"/>
      <c r="BF309" s="277"/>
      <c r="BG309" s="277"/>
    </row>
    <row r="310" spans="1:59" s="280" customFormat="1" ht="19.5" customHeight="1">
      <c r="A310" s="277" t="s">
        <v>384</v>
      </c>
      <c r="B310" s="277"/>
      <c r="C310" s="277">
        <f>ROUND(H12+H13+H14+H17+H18,0)</f>
        <v>3993</v>
      </c>
      <c r="D310" s="277">
        <f>ROUND(SUM($H$12:I12)+SUM($H$13:I13)+SUM($H$14:I14)+SUM($H$17:I17)+SUM($H$18:I18),0)</f>
        <v>8124</v>
      </c>
      <c r="E310" s="277">
        <f>ROUND(SUM($H$12:J12)+SUM($H$13:J13)+SUM($H$14:J14)+SUM($H$17:J17)+SUM($H$18:J18),0)</f>
        <v>12423</v>
      </c>
      <c r="F310" s="277">
        <f>ROUND(SUM($H$12:K12)+SUM($H$13:K13)+SUM($H$14:K14)+SUM($H$17:K17)+SUM($H$18:K18),0)</f>
        <v>16921</v>
      </c>
      <c r="G310" s="277">
        <f>ROUND(SUM($H$12:L12)+SUM($H$13:L13)+SUM($H$14:L14)+SUM($H$17:L17)+SUM($H$18:L18),0)</f>
        <v>21669</v>
      </c>
      <c r="H310" s="277">
        <f>ROUND(SUM($H$12:M12)+SUM($H$13:M13)+SUM($H$14:M14)+SUM($H$17:M17)+SUM($H$18:M18),0)</f>
        <v>26417</v>
      </c>
      <c r="I310" s="277">
        <f>ROUND(SUM($H$12:N12)+SUM($H$13:N13)+SUM($H$14:N14)+SUM($H$17:N17)+SUM($H$18:N18),0)</f>
        <v>31165</v>
      </c>
      <c r="J310" s="277">
        <f>ROUND(SUM($H$12:O12)+SUM($H$13:O13)+SUM($H$14:O14)+SUM($H$17:O17)+SUM($H$18:O18),0)</f>
        <v>35913</v>
      </c>
      <c r="K310" s="277">
        <f>ROUND(SUM($H$12:P12)+SUM($H$13:P13)+SUM($H$14:P14)+SUM($H$17:P17)+SUM($H$18:P18),0)</f>
        <v>40661</v>
      </c>
      <c r="L310" s="277">
        <f>ROUND(SUM($H$12:Q12)+SUM($H$13:Q13)+SUM($H$14:Q14)+SUM($H$17:Q17)+SUM($H$18:Q18),0)</f>
        <v>45409</v>
      </c>
      <c r="M310" s="277">
        <f>ROUND(SUM($H$12:R12)+SUM($H$13:R13)+SUM($H$14:R14)+SUM($H$17:R17)+SUM($H$18:R18),0)</f>
        <v>50157</v>
      </c>
      <c r="N310" s="277">
        <f>ROUND(SUM($H$12:S12)+SUM($H$13:S13)+SUM($H$14:S14)+SUM($H$17:S17)+SUM($H$18:S18),0)</f>
        <v>54905</v>
      </c>
      <c r="O310" s="277">
        <f>ROUND(SUM($H$12:T12)+SUM($H$13:T13)+SUM($H$14:T14)+SUM($H$17:T17)+SUM($H$18:T18),0)</f>
        <v>59653</v>
      </c>
      <c r="P310" s="277">
        <f>ROUND(SUM($H$12:U12)+SUM($H$13:U13)+SUM($H$14:U14)+SUM($H$17:U17)+SUM($H$18:U18),0)</f>
        <v>64401</v>
      </c>
      <c r="Q310" s="277">
        <f>ROUND(SUM($H$12:V12)+SUM($H$13:V13)+SUM($H$14:V14)+SUM($H$17:V17)+SUM($H$18:V18),0)</f>
        <v>69149</v>
      </c>
      <c r="R310" s="277">
        <f>ROUND(SUM($H$12:W12)+SUM($H$13:W13)+SUM($H$14:W14)+SUM($H$17:W17)+SUM($H$18:W18),0)</f>
        <v>69149</v>
      </c>
      <c r="S310" s="277">
        <f>ROUND(SUM($H$12:X12)+SUM($H$13:X13)+SUM($H$14:X14)+SUM($H$17:X17)+SUM($H$18:X18),0)</f>
        <v>69149</v>
      </c>
      <c r="T310" s="277">
        <f>ROUND(SUM($H$12:Y12)+SUM($H$13:Y13)+SUM($H$14:Y14)+SUM($H$17:Y17)+SUM($H$18:Y18),0)</f>
        <v>69149</v>
      </c>
      <c r="U310" s="277">
        <f>ROUND(SUM($H$12:Z12)+SUM($H$13:Z13)+SUM($H$14:Z14)+SUM($H$17:Z17)+SUM($H$18:Z18),0)</f>
        <v>69149</v>
      </c>
      <c r="V310" s="277"/>
      <c r="W310" s="277"/>
      <c r="X310" s="277"/>
      <c r="Y310" s="277"/>
      <c r="Z310" s="277"/>
      <c r="AA310" s="277"/>
      <c r="AB310" s="277"/>
      <c r="AC310" s="277"/>
      <c r="AD310" s="277"/>
      <c r="AE310" s="277"/>
      <c r="AF310" s="277"/>
      <c r="AG310" s="277"/>
      <c r="AH310" s="277"/>
      <c r="AI310" s="277"/>
      <c r="AJ310" s="277"/>
      <c r="AK310" s="277"/>
      <c r="AL310" s="277"/>
      <c r="AM310" s="277"/>
      <c r="AN310" s="277"/>
      <c r="AO310" s="277"/>
      <c r="AP310" s="277"/>
      <c r="AQ310" s="277"/>
      <c r="AR310" s="277"/>
      <c r="AS310" s="277"/>
      <c r="AT310" s="277"/>
      <c r="AU310" s="277"/>
      <c r="AV310" s="277"/>
      <c r="AW310" s="277"/>
      <c r="AX310" s="277"/>
      <c r="AY310" s="277"/>
      <c r="AZ310" s="277"/>
      <c r="BA310" s="277"/>
      <c r="BB310" s="277"/>
      <c r="BC310" s="277"/>
      <c r="BD310" s="277"/>
      <c r="BE310" s="277"/>
      <c r="BF310" s="277"/>
      <c r="BG310" s="277"/>
    </row>
    <row r="311" spans="1:59" s="280" customFormat="1" ht="19.5" customHeight="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c r="AA311" s="277"/>
      <c r="AB311" s="277"/>
      <c r="AC311" s="277"/>
      <c r="AD311" s="277"/>
      <c r="AE311" s="277"/>
      <c r="AF311" s="277"/>
      <c r="AG311" s="277"/>
      <c r="AH311" s="277"/>
      <c r="AI311" s="277"/>
      <c r="AJ311" s="277"/>
      <c r="AK311" s="277"/>
      <c r="AL311" s="277"/>
      <c r="AM311" s="277"/>
      <c r="AN311" s="277"/>
      <c r="AO311" s="277"/>
      <c r="AP311" s="277"/>
      <c r="AQ311" s="277"/>
      <c r="AR311" s="277"/>
      <c r="AS311" s="277"/>
      <c r="AT311" s="277"/>
      <c r="AU311" s="277"/>
      <c r="AV311" s="277"/>
      <c r="AW311" s="277"/>
      <c r="AX311" s="277"/>
      <c r="AY311" s="277"/>
      <c r="AZ311" s="277"/>
      <c r="BA311" s="277"/>
      <c r="BB311" s="277"/>
      <c r="BC311" s="277"/>
      <c r="BD311" s="277"/>
      <c r="BE311" s="277"/>
      <c r="BF311" s="277"/>
      <c r="BG311" s="277"/>
    </row>
    <row r="312" spans="1:59" s="280" customFormat="1" ht="19.5" customHeight="1">
      <c r="A312" s="277" t="s">
        <v>385</v>
      </c>
      <c r="B312" s="277">
        <f>ROUND(SUM(Assumptions!F142:F161)+SUM(Assumptions!F169:F188),0)</f>
        <v>1</v>
      </c>
      <c r="C312" s="277">
        <f>ROUND(SUM(Assumptions!G142:G161)+SUM(Assumptions!G169:G188),0)</f>
        <v>1</v>
      </c>
      <c r="D312" s="277">
        <f>ROUND(SUM(Assumptions!H142:H161)+SUM(Assumptions!H169:H188),0)</f>
        <v>1</v>
      </c>
      <c r="E312" s="277">
        <f>ROUND(SUM(Assumptions!I142:I161)+SUM(Assumptions!I169:I188),0)</f>
        <v>1</v>
      </c>
      <c r="F312" s="277">
        <f>ROUND(SUM(Assumptions!J142:J161)+SUM(Assumptions!J169:J188),0)</f>
        <v>1</v>
      </c>
      <c r="G312" s="277">
        <f>ROUND(SUM(Assumptions!K142:K161)+SUM(Assumptions!K169:K188),0)</f>
        <v>1</v>
      </c>
      <c r="H312" s="277">
        <f>ROUND(SUM(Assumptions!L142:L161)+SUM(Assumptions!L169:L188),0)</f>
        <v>1</v>
      </c>
      <c r="I312" s="277">
        <f>ROUND(SUM(Assumptions!M142:M161)+SUM(Assumptions!M169:M188),0)</f>
        <v>1</v>
      </c>
      <c r="J312" s="277">
        <f>ROUND(SUM(Assumptions!N142:N161)+SUM(Assumptions!N169:N188),0)</f>
        <v>1</v>
      </c>
      <c r="K312" s="277">
        <f>ROUND(SUM(Assumptions!O142:O161)+SUM(Assumptions!O169:O188),0)</f>
        <v>1</v>
      </c>
      <c r="L312" s="277">
        <f>ROUND(SUM(Assumptions!P142:P161)+SUM(Assumptions!P169:P188),0)</f>
        <v>1</v>
      </c>
      <c r="M312" s="277">
        <f>ROUND(SUM(Assumptions!Q142:Q161)+SUM(Assumptions!Q169:Q188),0)</f>
        <v>1</v>
      </c>
      <c r="N312" s="277">
        <f>ROUND(SUM(Assumptions!R142:R161)+SUM(Assumptions!R169:R188),0)</f>
        <v>1</v>
      </c>
      <c r="O312" s="277">
        <f>ROUND(SUM(Assumptions!S142:S161)+SUM(Assumptions!S169:S188),0)</f>
        <v>1</v>
      </c>
      <c r="P312" s="277">
        <f>ROUND(SUM(Assumptions!T142:T161)+SUM(Assumptions!T169:T188),0)</f>
        <v>1</v>
      </c>
      <c r="Q312" s="277">
        <f>ROUND(SUM(Assumptions!U142:U161)+SUM(Assumptions!U169:U188),0)</f>
        <v>0</v>
      </c>
      <c r="R312" s="277">
        <f>ROUND(SUM(Assumptions!V142:V161)+SUM(Assumptions!V169:V188),0)</f>
        <v>0</v>
      </c>
      <c r="S312" s="277"/>
      <c r="T312" s="277"/>
      <c r="U312" s="277"/>
      <c r="V312" s="277"/>
      <c r="W312" s="277"/>
      <c r="X312" s="277"/>
      <c r="Y312" s="277"/>
      <c r="Z312" s="277"/>
      <c r="AA312" s="277"/>
      <c r="AB312" s="277"/>
      <c r="AC312" s="277"/>
      <c r="AD312" s="277"/>
      <c r="AE312" s="277"/>
      <c r="AF312" s="277"/>
      <c r="AG312" s="277"/>
      <c r="AH312" s="277"/>
      <c r="AI312" s="277"/>
      <c r="AJ312" s="277"/>
      <c r="AK312" s="277"/>
      <c r="AL312" s="277"/>
      <c r="AM312" s="277"/>
      <c r="AN312" s="277"/>
      <c r="AO312" s="277"/>
      <c r="AP312" s="277"/>
      <c r="AQ312" s="277"/>
      <c r="AR312" s="277"/>
      <c r="AS312" s="277"/>
      <c r="AT312" s="277"/>
      <c r="AU312" s="277"/>
      <c r="AV312" s="277"/>
      <c r="AW312" s="277"/>
      <c r="AX312" s="277"/>
      <c r="AY312" s="277"/>
      <c r="AZ312" s="277"/>
      <c r="BA312" s="277"/>
      <c r="BB312" s="277"/>
      <c r="BC312" s="277"/>
      <c r="BD312" s="277"/>
      <c r="BE312" s="277"/>
      <c r="BF312" s="277"/>
      <c r="BG312" s="277"/>
    </row>
    <row r="313" spans="1:59" s="280" customFormat="1" ht="19.5" customHeight="1">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c r="AA313" s="277"/>
      <c r="AB313" s="277"/>
      <c r="AC313" s="277"/>
      <c r="AD313" s="277"/>
      <c r="AE313" s="277"/>
      <c r="AF313" s="277"/>
      <c r="AG313" s="277"/>
      <c r="AH313" s="277"/>
      <c r="AI313" s="277"/>
      <c r="AJ313" s="277"/>
      <c r="AK313" s="277"/>
      <c r="AL313" s="277"/>
      <c r="AM313" s="277"/>
      <c r="AN313" s="277"/>
      <c r="AO313" s="277"/>
      <c r="AP313" s="277"/>
      <c r="AQ313" s="277"/>
      <c r="AR313" s="277"/>
      <c r="AS313" s="277"/>
      <c r="AT313" s="277"/>
      <c r="AU313" s="277"/>
      <c r="AV313" s="277"/>
      <c r="AW313" s="277"/>
      <c r="AX313" s="277"/>
      <c r="AY313" s="277"/>
      <c r="AZ313" s="277"/>
      <c r="BA313" s="277"/>
      <c r="BB313" s="277"/>
      <c r="BC313" s="277"/>
      <c r="BD313" s="277"/>
      <c r="BE313" s="277"/>
      <c r="BF313" s="277"/>
      <c r="BG313" s="277"/>
    </row>
    <row r="314" spans="1:59" s="280" customFormat="1" ht="19.5" customHeight="1">
      <c r="A314" s="277" t="s">
        <v>231</v>
      </c>
      <c r="B314" s="277">
        <f t="shared" ref="B314:L314" si="91">ROUND(G54+G55+G72-F54-F55-F72,0)</f>
        <v>0</v>
      </c>
      <c r="C314" s="277">
        <f t="shared" si="91"/>
        <v>0</v>
      </c>
      <c r="D314" s="277">
        <f t="shared" si="91"/>
        <v>0</v>
      </c>
      <c r="E314" s="277">
        <f t="shared" si="91"/>
        <v>0</v>
      </c>
      <c r="F314" s="277">
        <f t="shared" si="91"/>
        <v>0</v>
      </c>
      <c r="G314" s="277">
        <f t="shared" si="91"/>
        <v>0</v>
      </c>
      <c r="H314" s="277">
        <f t="shared" si="91"/>
        <v>0</v>
      </c>
      <c r="I314" s="277">
        <f t="shared" si="91"/>
        <v>0</v>
      </c>
      <c r="J314" s="277">
        <f t="shared" si="91"/>
        <v>0</v>
      </c>
      <c r="K314" s="277">
        <f t="shared" si="91"/>
        <v>0</v>
      </c>
      <c r="L314" s="277">
        <f t="shared" si="91"/>
        <v>0</v>
      </c>
      <c r="M314" s="277"/>
      <c r="N314" s="277"/>
      <c r="O314" s="277"/>
      <c r="P314" s="277"/>
      <c r="Q314" s="277"/>
      <c r="R314" s="277"/>
      <c r="S314" s="277"/>
      <c r="T314" s="277"/>
      <c r="U314" s="277"/>
      <c r="V314" s="277"/>
      <c r="W314" s="277"/>
      <c r="X314" s="277"/>
      <c r="Y314" s="277"/>
      <c r="Z314" s="277"/>
      <c r="AA314" s="277"/>
      <c r="AB314" s="277"/>
      <c r="AC314" s="277"/>
      <c r="AD314" s="277"/>
      <c r="AE314" s="277"/>
      <c r="AF314" s="277"/>
      <c r="AG314" s="277"/>
      <c r="AH314" s="277"/>
      <c r="AI314" s="277"/>
      <c r="AJ314" s="277"/>
      <c r="AK314" s="277"/>
      <c r="AL314" s="277"/>
      <c r="AM314" s="277"/>
      <c r="AN314" s="277"/>
      <c r="AO314" s="277"/>
      <c r="AP314" s="277"/>
      <c r="AQ314" s="277"/>
      <c r="AR314" s="277"/>
      <c r="AS314" s="277"/>
      <c r="AT314" s="277"/>
      <c r="AU314" s="277"/>
      <c r="AV314" s="277"/>
      <c r="AW314" s="277"/>
      <c r="AX314" s="277"/>
      <c r="AY314" s="277"/>
      <c r="AZ314" s="277"/>
      <c r="BA314" s="277"/>
      <c r="BB314" s="277"/>
      <c r="BC314" s="277"/>
      <c r="BD314" s="277"/>
      <c r="BE314" s="277"/>
      <c r="BF314" s="277"/>
      <c r="BG314" s="277"/>
    </row>
    <row r="315" spans="1:59" s="280" customFormat="1" ht="19.5" customHeight="1">
      <c r="A315" s="277" t="s">
        <v>241</v>
      </c>
      <c r="B315" s="277">
        <f>ROUND(-(G96+G97+G108+G116-F96-F97-F108-F116),0)</f>
        <v>-6000</v>
      </c>
      <c r="C315" s="277">
        <f t="shared" ref="C315:L315" si="92">ROUND(-(H96+H97+H108+H116-G96-G97-G108-G116),0)</f>
        <v>0</v>
      </c>
      <c r="D315" s="277">
        <f t="shared" si="92"/>
        <v>0</v>
      </c>
      <c r="E315" s="277">
        <f t="shared" si="92"/>
        <v>0</v>
      </c>
      <c r="F315" s="277">
        <f t="shared" si="92"/>
        <v>0</v>
      </c>
      <c r="G315" s="277">
        <f t="shared" si="92"/>
        <v>0</v>
      </c>
      <c r="H315" s="277">
        <f t="shared" si="92"/>
        <v>0</v>
      </c>
      <c r="I315" s="277">
        <f t="shared" si="92"/>
        <v>0</v>
      </c>
      <c r="J315" s="277">
        <f t="shared" si="92"/>
        <v>0</v>
      </c>
      <c r="K315" s="277">
        <f t="shared" si="92"/>
        <v>0</v>
      </c>
      <c r="L315" s="277">
        <f t="shared" si="92"/>
        <v>0</v>
      </c>
      <c r="M315" s="277"/>
      <c r="N315" s="277"/>
      <c r="O315" s="277"/>
      <c r="P315" s="277"/>
      <c r="Q315" s="277"/>
      <c r="R315" s="277"/>
      <c r="S315" s="277"/>
      <c r="T315" s="277"/>
      <c r="U315" s="277"/>
      <c r="V315" s="277"/>
      <c r="W315" s="277"/>
      <c r="X315" s="277"/>
      <c r="Y315" s="277"/>
      <c r="Z315" s="277"/>
      <c r="AA315" s="277"/>
      <c r="AB315" s="277"/>
      <c r="AC315" s="277"/>
      <c r="AD315" s="277"/>
      <c r="AE315" s="277"/>
      <c r="AF315" s="277"/>
      <c r="AG315" s="277"/>
      <c r="AH315" s="277"/>
      <c r="AI315" s="277"/>
      <c r="AJ315" s="277"/>
      <c r="AK315" s="277"/>
      <c r="AL315" s="277"/>
      <c r="AM315" s="277"/>
      <c r="AN315" s="277"/>
      <c r="AO315" s="277"/>
      <c r="AP315" s="277"/>
      <c r="AQ315" s="277"/>
      <c r="AR315" s="277"/>
      <c r="AS315" s="277"/>
      <c r="AT315" s="277"/>
      <c r="AU315" s="277"/>
      <c r="AV315" s="277"/>
      <c r="AW315" s="277"/>
      <c r="AX315" s="277"/>
      <c r="AY315" s="277"/>
      <c r="AZ315" s="277"/>
      <c r="BA315" s="277"/>
      <c r="BB315" s="277"/>
      <c r="BC315" s="277"/>
      <c r="BD315" s="277"/>
      <c r="BE315" s="277"/>
      <c r="BF315" s="277"/>
      <c r="BG315" s="277"/>
    </row>
    <row r="316" spans="1:59" s="280" customFormat="1" ht="19.5" customHeight="1">
      <c r="A316" s="277" t="s">
        <v>386</v>
      </c>
      <c r="B316" s="277">
        <f t="shared" ref="B316:L316" si="93">B314+B315</f>
        <v>-6000</v>
      </c>
      <c r="C316" s="277">
        <f t="shared" si="93"/>
        <v>0</v>
      </c>
      <c r="D316" s="277">
        <f t="shared" si="93"/>
        <v>0</v>
      </c>
      <c r="E316" s="277">
        <f t="shared" si="93"/>
        <v>0</v>
      </c>
      <c r="F316" s="277">
        <f t="shared" si="93"/>
        <v>0</v>
      </c>
      <c r="G316" s="277">
        <f t="shared" si="93"/>
        <v>0</v>
      </c>
      <c r="H316" s="277">
        <f t="shared" si="93"/>
        <v>0</v>
      </c>
      <c r="I316" s="277">
        <f t="shared" si="93"/>
        <v>0</v>
      </c>
      <c r="J316" s="277">
        <f t="shared" si="93"/>
        <v>0</v>
      </c>
      <c r="K316" s="277">
        <f t="shared" si="93"/>
        <v>0</v>
      </c>
      <c r="L316" s="277">
        <f t="shared" si="93"/>
        <v>0</v>
      </c>
      <c r="M316" s="277"/>
      <c r="N316" s="277"/>
      <c r="O316" s="277"/>
      <c r="P316" s="277"/>
      <c r="Q316" s="277"/>
      <c r="R316" s="277"/>
      <c r="S316" s="277"/>
      <c r="T316" s="277"/>
      <c r="U316" s="277"/>
      <c r="V316" s="277"/>
      <c r="W316" s="277"/>
      <c r="X316" s="277"/>
      <c r="Y316" s="277"/>
      <c r="Z316" s="277"/>
      <c r="AA316" s="277"/>
      <c r="AB316" s="277"/>
      <c r="AC316" s="277"/>
      <c r="AD316" s="277"/>
      <c r="AE316" s="277"/>
      <c r="AF316" s="277"/>
      <c r="AG316" s="277"/>
      <c r="AH316" s="277"/>
      <c r="AI316" s="277"/>
      <c r="AJ316" s="277"/>
      <c r="AK316" s="277"/>
      <c r="AL316" s="277"/>
      <c r="AM316" s="277"/>
      <c r="AN316" s="277"/>
      <c r="AO316" s="277"/>
      <c r="AP316" s="277"/>
      <c r="AQ316" s="277"/>
      <c r="AR316" s="277"/>
      <c r="AS316" s="277"/>
      <c r="AT316" s="277"/>
      <c r="AU316" s="277"/>
      <c r="AV316" s="277"/>
      <c r="AW316" s="277"/>
      <c r="AX316" s="277"/>
      <c r="AY316" s="277"/>
      <c r="AZ316" s="277"/>
      <c r="BA316" s="277"/>
      <c r="BB316" s="277"/>
      <c r="BC316" s="277"/>
      <c r="BD316" s="277"/>
      <c r="BE316" s="277"/>
      <c r="BF316" s="277"/>
      <c r="BG316" s="277"/>
    </row>
    <row r="317" spans="1:59" s="280" customFormat="1" ht="19.5" customHeight="1">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c r="AA317" s="277"/>
      <c r="AB317" s="277"/>
      <c r="AC317" s="277"/>
      <c r="AD317" s="277"/>
      <c r="AE317" s="277"/>
      <c r="AF317" s="277"/>
      <c r="AG317" s="277"/>
      <c r="AH317" s="277"/>
      <c r="AI317" s="277"/>
      <c r="AJ317" s="277"/>
      <c r="AK317" s="277"/>
      <c r="AL317" s="277"/>
      <c r="AM317" s="277"/>
      <c r="AN317" s="277"/>
      <c r="AO317" s="277"/>
      <c r="AP317" s="277"/>
      <c r="AQ317" s="277"/>
      <c r="AR317" s="277"/>
      <c r="AS317" s="277"/>
      <c r="AT317" s="277"/>
      <c r="AU317" s="277"/>
      <c r="AV317" s="277"/>
      <c r="AW317" s="277"/>
      <c r="AX317" s="277"/>
      <c r="AY317" s="277"/>
      <c r="AZ317" s="277"/>
      <c r="BA317" s="277"/>
      <c r="BB317" s="277"/>
      <c r="BC317" s="277"/>
      <c r="BD317" s="277"/>
      <c r="BE317" s="277"/>
      <c r="BF317" s="277"/>
      <c r="BG317" s="277"/>
    </row>
    <row r="318" spans="1:59" s="280" customFormat="1" ht="19.5" customHeight="1">
      <c r="A318" s="277" t="s">
        <v>387</v>
      </c>
      <c r="B318" s="277" t="str">
        <f>IF(BASEYEAR=0,B319,"  "&amp;FIXED(BASEYEAR,0,TRUE))</f>
        <v xml:space="preserve">  2025</v>
      </c>
      <c r="C318" s="277" t="str">
        <f>IF(B320=0,C319,"  "&amp;FIXED(C320,0,TRUE))</f>
        <v xml:space="preserve">  2026</v>
      </c>
      <c r="D318" s="277" t="str">
        <f>IF(B320:B320=0,D319,"  "&amp;FIXED(D320,0,TRUE))</f>
        <v xml:space="preserve">  2027</v>
      </c>
      <c r="E318" s="277" t="str">
        <f t="shared" ref="E318:W318" si="94">IF(BASEYEAR=0,E319,"  "&amp;FIXED(E320,0,TRUE))</f>
        <v xml:space="preserve">  2028</v>
      </c>
      <c r="F318" s="277" t="str">
        <f t="shared" si="94"/>
        <v xml:space="preserve">  2029</v>
      </c>
      <c r="G318" s="277" t="str">
        <f t="shared" si="94"/>
        <v xml:space="preserve">  2030</v>
      </c>
      <c r="H318" s="277" t="str">
        <f t="shared" si="94"/>
        <v xml:space="preserve">  2031</v>
      </c>
      <c r="I318" s="277" t="str">
        <f t="shared" si="94"/>
        <v xml:space="preserve">  2032</v>
      </c>
      <c r="J318" s="277" t="str">
        <f t="shared" si="94"/>
        <v xml:space="preserve">  2033</v>
      </c>
      <c r="K318" s="277" t="str">
        <f t="shared" si="94"/>
        <v xml:space="preserve">  2034</v>
      </c>
      <c r="L318" s="277" t="str">
        <f t="shared" si="94"/>
        <v xml:space="preserve">  2035</v>
      </c>
      <c r="M318" s="277" t="str">
        <f t="shared" si="94"/>
        <v xml:space="preserve">  2036</v>
      </c>
      <c r="N318" s="277" t="str">
        <f t="shared" si="94"/>
        <v xml:space="preserve">  2037</v>
      </c>
      <c r="O318" s="277" t="str">
        <f t="shared" si="94"/>
        <v xml:space="preserve">  2038</v>
      </c>
      <c r="P318" s="277" t="str">
        <f t="shared" si="94"/>
        <v xml:space="preserve">  2039</v>
      </c>
      <c r="Q318" s="277" t="str">
        <f t="shared" si="94"/>
        <v xml:space="preserve">  2040</v>
      </c>
      <c r="R318" s="277" t="str">
        <f t="shared" si="94"/>
        <v xml:space="preserve">  2041</v>
      </c>
      <c r="S318" s="277" t="str">
        <f t="shared" si="94"/>
        <v xml:space="preserve">  2042</v>
      </c>
      <c r="T318" s="277" t="str">
        <f t="shared" si="94"/>
        <v xml:space="preserve">  2043</v>
      </c>
      <c r="U318" s="277" t="str">
        <f t="shared" si="94"/>
        <v xml:space="preserve">  2044</v>
      </c>
      <c r="V318" s="277" t="str">
        <f t="shared" si="94"/>
        <v xml:space="preserve">  2045</v>
      </c>
      <c r="W318" s="277" t="str">
        <f t="shared" si="94"/>
        <v xml:space="preserve">  2046</v>
      </c>
      <c r="X318" s="277"/>
      <c r="Y318" s="277"/>
      <c r="Z318" s="277"/>
      <c r="AA318" s="277"/>
      <c r="AB318" s="277"/>
      <c r="AC318" s="277"/>
      <c r="AD318" s="277"/>
      <c r="AE318" s="277"/>
      <c r="AF318" s="277"/>
      <c r="AG318" s="277"/>
      <c r="AH318" s="277"/>
      <c r="AI318" s="277"/>
      <c r="AJ318" s="277"/>
      <c r="AK318" s="277"/>
      <c r="AL318" s="277"/>
      <c r="AM318" s="277"/>
      <c r="AN318" s="277"/>
      <c r="AO318" s="277"/>
      <c r="AP318" s="277"/>
      <c r="AQ318" s="277"/>
      <c r="AR318" s="277"/>
      <c r="AS318" s="277"/>
      <c r="AT318" s="277"/>
      <c r="AU318" s="277"/>
      <c r="AV318" s="277"/>
      <c r="AW318" s="277"/>
      <c r="AX318" s="277"/>
      <c r="AY318" s="277"/>
      <c r="AZ318" s="277"/>
      <c r="BA318" s="277"/>
      <c r="BB318" s="277"/>
      <c r="BC318" s="277"/>
      <c r="BD318" s="277"/>
      <c r="BE318" s="277"/>
      <c r="BF318" s="277"/>
      <c r="BG318" s="277"/>
    </row>
    <row r="319" spans="1:59" s="280" customFormat="1" ht="19.5" customHeight="1">
      <c r="A319" s="277" t="s">
        <v>388</v>
      </c>
      <c r="B319" s="277" t="s">
        <v>389</v>
      </c>
      <c r="C319" s="277" t="s">
        <v>390</v>
      </c>
      <c r="D319" s="277" t="s">
        <v>391</v>
      </c>
      <c r="E319" s="277" t="s">
        <v>392</v>
      </c>
      <c r="F319" s="277" t="s">
        <v>393</v>
      </c>
      <c r="G319" s="277" t="s">
        <v>394</v>
      </c>
      <c r="H319" s="277" t="s">
        <v>395</v>
      </c>
      <c r="I319" s="277" t="s">
        <v>396</v>
      </c>
      <c r="J319" s="277" t="s">
        <v>397</v>
      </c>
      <c r="K319" s="277" t="s">
        <v>398</v>
      </c>
      <c r="L319" s="277" t="s">
        <v>399</v>
      </c>
      <c r="M319" s="277" t="s">
        <v>400</v>
      </c>
      <c r="N319" s="277" t="s">
        <v>401</v>
      </c>
      <c r="O319" s="277" t="s">
        <v>402</v>
      </c>
      <c r="P319" s="277" t="s">
        <v>403</v>
      </c>
      <c r="Q319" s="277" t="s">
        <v>404</v>
      </c>
      <c r="R319" s="277" t="s">
        <v>405</v>
      </c>
      <c r="S319" s="277" t="s">
        <v>406</v>
      </c>
      <c r="T319" s="277" t="s">
        <v>407</v>
      </c>
      <c r="U319" s="277" t="s">
        <v>408</v>
      </c>
      <c r="V319" s="277" t="s">
        <v>409</v>
      </c>
      <c r="W319" s="277"/>
      <c r="X319" s="277"/>
      <c r="Y319" s="277"/>
      <c r="Z319" s="277"/>
      <c r="AA319" s="277"/>
      <c r="AB319" s="277"/>
      <c r="AC319" s="277"/>
      <c r="AD319" s="277"/>
      <c r="AE319" s="277"/>
      <c r="AF319" s="277"/>
      <c r="AG319" s="277"/>
      <c r="AH319" s="277"/>
      <c r="AI319" s="277"/>
      <c r="AJ319" s="277"/>
      <c r="AK319" s="277"/>
      <c r="AL319" s="277"/>
      <c r="AM319" s="277"/>
      <c r="AN319" s="277"/>
      <c r="AO319" s="277"/>
      <c r="AP319" s="277"/>
      <c r="AQ319" s="277"/>
      <c r="AR319" s="277"/>
      <c r="AS319" s="277"/>
      <c r="AT319" s="277"/>
      <c r="AU319" s="277"/>
      <c r="AV319" s="277"/>
      <c r="AW319" s="277"/>
      <c r="AX319" s="277"/>
      <c r="AY319" s="277"/>
      <c r="AZ319" s="277"/>
      <c r="BA319" s="277"/>
      <c r="BB319" s="277"/>
      <c r="BC319" s="277"/>
      <c r="BD319" s="277"/>
      <c r="BE319" s="277"/>
      <c r="BF319" s="277"/>
      <c r="BG319" s="277"/>
    </row>
    <row r="320" spans="1:59" s="280" customFormat="1" ht="19.5" customHeight="1">
      <c r="A320" s="277" t="s">
        <v>410</v>
      </c>
      <c r="B320" s="281">
        <v>2025</v>
      </c>
      <c r="C320" s="277">
        <f>BASEYEAR+1</f>
        <v>2026</v>
      </c>
      <c r="D320" s="277">
        <f>BASEYEAR+2</f>
        <v>2027</v>
      </c>
      <c r="E320" s="277">
        <f t="shared" ref="E320:W320" si="95">D320+1</f>
        <v>2028</v>
      </c>
      <c r="F320" s="277">
        <f t="shared" si="95"/>
        <v>2029</v>
      </c>
      <c r="G320" s="277">
        <f t="shared" si="95"/>
        <v>2030</v>
      </c>
      <c r="H320" s="277">
        <f t="shared" si="95"/>
        <v>2031</v>
      </c>
      <c r="I320" s="277">
        <f t="shared" si="95"/>
        <v>2032</v>
      </c>
      <c r="J320" s="277">
        <f t="shared" si="95"/>
        <v>2033</v>
      </c>
      <c r="K320" s="277">
        <f t="shared" si="95"/>
        <v>2034</v>
      </c>
      <c r="L320" s="277">
        <f t="shared" si="95"/>
        <v>2035</v>
      </c>
      <c r="M320" s="277">
        <f t="shared" si="95"/>
        <v>2036</v>
      </c>
      <c r="N320" s="277">
        <f t="shared" si="95"/>
        <v>2037</v>
      </c>
      <c r="O320" s="277">
        <f t="shared" si="95"/>
        <v>2038</v>
      </c>
      <c r="P320" s="277">
        <f t="shared" si="95"/>
        <v>2039</v>
      </c>
      <c r="Q320" s="277">
        <f t="shared" si="95"/>
        <v>2040</v>
      </c>
      <c r="R320" s="277">
        <f t="shared" si="95"/>
        <v>2041</v>
      </c>
      <c r="S320" s="277">
        <f t="shared" si="95"/>
        <v>2042</v>
      </c>
      <c r="T320" s="277">
        <f t="shared" si="95"/>
        <v>2043</v>
      </c>
      <c r="U320" s="277">
        <f t="shared" si="95"/>
        <v>2044</v>
      </c>
      <c r="V320" s="277">
        <f t="shared" si="95"/>
        <v>2045</v>
      </c>
      <c r="W320" s="277">
        <f t="shared" si="95"/>
        <v>2046</v>
      </c>
      <c r="X320" s="277"/>
      <c r="Y320" s="277"/>
      <c r="Z320" s="277"/>
      <c r="AA320" s="277"/>
      <c r="AB320" s="277"/>
      <c r="AC320" s="277"/>
      <c r="AD320" s="277"/>
      <c r="AE320" s="277"/>
      <c r="AF320" s="277"/>
      <c r="AG320" s="277"/>
      <c r="AH320" s="277"/>
      <c r="AI320" s="277"/>
      <c r="AJ320" s="277"/>
      <c r="AK320" s="277"/>
      <c r="AL320" s="277"/>
      <c r="AM320" s="277"/>
      <c r="AN320" s="277"/>
      <c r="AO320" s="277"/>
      <c r="AP320" s="277"/>
      <c r="AQ320" s="277"/>
      <c r="AR320" s="277"/>
      <c r="AS320" s="277"/>
      <c r="AT320" s="277"/>
      <c r="AU320" s="277"/>
      <c r="AV320" s="277"/>
      <c r="AW320" s="277"/>
      <c r="AX320" s="277"/>
      <c r="AY320" s="277"/>
      <c r="AZ320" s="277"/>
      <c r="BA320" s="277"/>
      <c r="BB320" s="277"/>
      <c r="BC320" s="277"/>
      <c r="BD320" s="277"/>
      <c r="BE320" s="277"/>
      <c r="BF320" s="277"/>
      <c r="BG320" s="277"/>
    </row>
    <row r="321" spans="1:59" s="280" customFormat="1" ht="19.5" customHeight="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c r="AA321" s="277"/>
      <c r="AB321" s="277"/>
      <c r="AC321" s="277"/>
      <c r="AD321" s="277"/>
      <c r="AE321" s="277"/>
      <c r="AF321" s="277"/>
      <c r="AG321" s="277"/>
      <c r="AH321" s="277"/>
      <c r="AI321" s="277"/>
      <c r="AJ321" s="277"/>
      <c r="AK321" s="277"/>
      <c r="AL321" s="277"/>
      <c r="AM321" s="277"/>
      <c r="AN321" s="277"/>
      <c r="AO321" s="277"/>
      <c r="AP321" s="277"/>
      <c r="AQ321" s="277"/>
      <c r="AR321" s="277"/>
      <c r="AS321" s="277"/>
      <c r="AT321" s="277"/>
      <c r="AU321" s="277"/>
      <c r="AV321" s="277"/>
      <c r="AW321" s="277"/>
      <c r="AX321" s="277"/>
      <c r="AY321" s="277"/>
      <c r="AZ321" s="277"/>
      <c r="BA321" s="277"/>
      <c r="BB321" s="277"/>
      <c r="BC321" s="277"/>
      <c r="BD321" s="277"/>
      <c r="BE321" s="277"/>
      <c r="BF321" s="277"/>
      <c r="BG321" s="277"/>
    </row>
    <row r="322" spans="1:59" s="280" customFormat="1" ht="19.5" customHeight="1">
      <c r="A322" s="277" t="s">
        <v>411</v>
      </c>
      <c r="B322" s="277" t="str">
        <f>IF(Assumptions!AF133=0,B323,"  "&amp;FIXED(B324,0,TRUE))</f>
        <v xml:space="preserve">  2020</v>
      </c>
      <c r="C322" s="277" t="str">
        <f>IF(Assumptions!AF133=0,C323,"  "&amp;FIXED(C324,0,TRUE))</f>
        <v xml:space="preserve">  2021</v>
      </c>
      <c r="D322" s="277" t="str">
        <f>IF(Assumptions!AF133=0,D323,"  "&amp;FIXED(D324,0,TRUE))</f>
        <v xml:space="preserve">  2022</v>
      </c>
      <c r="E322" s="277" t="str">
        <f>IF(Assumptions!AF133=0,E323,"  "&amp;FIXED(E324,0,TRUE))</f>
        <v xml:space="preserve">  2023</v>
      </c>
      <c r="F322" s="277" t="str">
        <f>IF(Assumptions!AF133=0,F323,"  "&amp;FIXED(F324,0,TRUE))</f>
        <v xml:space="preserve">  2024</v>
      </c>
      <c r="G322" s="277" t="str">
        <f>IF(Assumptions!AF133=0,G323,"  "&amp;FIXED(G324,0,TRUE))</f>
        <v xml:space="preserve">  2025</v>
      </c>
      <c r="H322" s="277"/>
      <c r="I322" s="277"/>
      <c r="J322" s="277"/>
      <c r="K322" s="277"/>
      <c r="L322" s="277"/>
      <c r="M322" s="277"/>
      <c r="N322" s="277"/>
      <c r="O322" s="277"/>
      <c r="P322" s="277"/>
      <c r="Q322" s="277"/>
      <c r="R322" s="277"/>
      <c r="S322" s="277"/>
      <c r="T322" s="277"/>
      <c r="U322" s="277"/>
      <c r="V322" s="277"/>
      <c r="W322" s="277"/>
      <c r="X322" s="277"/>
      <c r="Y322" s="277"/>
      <c r="Z322" s="277"/>
      <c r="AA322" s="277"/>
      <c r="AB322" s="277"/>
      <c r="AC322" s="277"/>
      <c r="AD322" s="277"/>
      <c r="AE322" s="277"/>
      <c r="AF322" s="277"/>
      <c r="AG322" s="277"/>
      <c r="AH322" s="277"/>
      <c r="AI322" s="277"/>
      <c r="AJ322" s="277"/>
      <c r="AK322" s="277"/>
      <c r="AL322" s="277"/>
      <c r="AM322" s="277"/>
      <c r="AN322" s="277"/>
      <c r="AO322" s="277"/>
      <c r="AP322" s="277"/>
      <c r="AQ322" s="277"/>
      <c r="AR322" s="277"/>
      <c r="AS322" s="277"/>
      <c r="AT322" s="277"/>
      <c r="AU322" s="277"/>
      <c r="AV322" s="277"/>
      <c r="AW322" s="277"/>
      <c r="AX322" s="277"/>
      <c r="AY322" s="277"/>
      <c r="AZ322" s="277"/>
      <c r="BA322" s="277"/>
      <c r="BB322" s="277"/>
      <c r="BC322" s="277"/>
      <c r="BD322" s="277"/>
      <c r="BE322" s="277"/>
      <c r="BF322" s="277"/>
      <c r="BG322" s="277"/>
    </row>
    <row r="323" spans="1:59" s="280" customFormat="1" ht="19.5" customHeight="1">
      <c r="A323" s="277" t="s">
        <v>388</v>
      </c>
      <c r="B323" s="277" t="s">
        <v>412</v>
      </c>
      <c r="C323" s="277" t="s">
        <v>413</v>
      </c>
      <c r="D323" s="277" t="s">
        <v>414</v>
      </c>
      <c r="E323" s="277" t="s">
        <v>415</v>
      </c>
      <c r="F323" s="277" t="s">
        <v>416</v>
      </c>
      <c r="G323" s="277" t="s">
        <v>417</v>
      </c>
      <c r="H323" s="277"/>
      <c r="I323" s="277"/>
      <c r="J323" s="277"/>
      <c r="K323" s="277"/>
      <c r="L323" s="277"/>
      <c r="M323" s="277"/>
      <c r="N323" s="277"/>
      <c r="O323" s="277"/>
      <c r="P323" s="277"/>
      <c r="Q323" s="277"/>
      <c r="R323" s="277"/>
      <c r="S323" s="277"/>
      <c r="T323" s="277"/>
      <c r="U323" s="277"/>
      <c r="V323" s="277"/>
      <c r="W323" s="277"/>
      <c r="X323" s="277"/>
      <c r="Y323" s="277"/>
      <c r="Z323" s="277"/>
      <c r="AA323" s="277"/>
      <c r="AB323" s="277"/>
      <c r="AC323" s="277"/>
      <c r="AD323" s="277"/>
      <c r="AE323" s="277"/>
      <c r="AF323" s="277"/>
      <c r="AG323" s="277"/>
      <c r="AH323" s="277"/>
      <c r="AI323" s="277"/>
      <c r="AJ323" s="277"/>
      <c r="AK323" s="277"/>
      <c r="AL323" s="277"/>
      <c r="AM323" s="277"/>
      <c r="AN323" s="277"/>
      <c r="AO323" s="277"/>
      <c r="AP323" s="277"/>
      <c r="AQ323" s="277"/>
      <c r="AR323" s="277"/>
      <c r="AS323" s="277"/>
      <c r="AT323" s="277"/>
      <c r="AU323" s="277"/>
      <c r="AV323" s="277"/>
      <c r="AW323" s="277"/>
      <c r="AX323" s="277"/>
      <c r="AY323" s="277"/>
      <c r="AZ323" s="277"/>
      <c r="BA323" s="277"/>
      <c r="BB323" s="277"/>
      <c r="BC323" s="277"/>
      <c r="BD323" s="277"/>
      <c r="BE323" s="277"/>
      <c r="BF323" s="277"/>
      <c r="BG323" s="277"/>
    </row>
    <row r="324" spans="1:59" s="280" customFormat="1" ht="19.5" customHeight="1">
      <c r="A324" s="277" t="s">
        <v>410</v>
      </c>
      <c r="B324" s="277">
        <f>BASEYEAR-5</f>
        <v>2020</v>
      </c>
      <c r="C324" s="277">
        <f>BASEYEAR-4</f>
        <v>2021</v>
      </c>
      <c r="D324" s="277">
        <f>BASEYEAR-3</f>
        <v>2022</v>
      </c>
      <c r="E324" s="277">
        <f>BASEYEAR-2</f>
        <v>2023</v>
      </c>
      <c r="F324" s="277">
        <f>BASEYEAR-1</f>
        <v>2024</v>
      </c>
      <c r="G324" s="277">
        <f>F324+1</f>
        <v>2025</v>
      </c>
      <c r="H324" s="277"/>
      <c r="I324" s="277"/>
      <c r="J324" s="277"/>
      <c r="K324" s="277"/>
      <c r="L324" s="277"/>
      <c r="M324" s="277"/>
      <c r="N324" s="277"/>
      <c r="O324" s="277"/>
      <c r="P324" s="277"/>
      <c r="Q324" s="277"/>
      <c r="R324" s="277"/>
      <c r="S324" s="277"/>
      <c r="T324" s="277"/>
      <c r="U324" s="277"/>
      <c r="V324" s="277"/>
      <c r="W324" s="277"/>
      <c r="X324" s="277"/>
      <c r="Y324" s="277"/>
      <c r="Z324" s="277"/>
      <c r="AA324" s="277"/>
      <c r="AB324" s="277"/>
      <c r="AC324" s="277"/>
      <c r="AD324" s="277"/>
      <c r="AE324" s="277"/>
      <c r="AF324" s="277"/>
      <c r="AG324" s="277"/>
      <c r="AH324" s="277"/>
      <c r="AI324" s="277"/>
      <c r="AJ324" s="277"/>
      <c r="AK324" s="277"/>
      <c r="AL324" s="277"/>
      <c r="AM324" s="277"/>
      <c r="AN324" s="277"/>
      <c r="AO324" s="277"/>
      <c r="AP324" s="277"/>
      <c r="AQ324" s="277"/>
      <c r="AR324" s="277"/>
      <c r="AS324" s="277"/>
      <c r="AT324" s="277"/>
      <c r="AU324" s="277"/>
      <c r="AV324" s="277"/>
      <c r="AW324" s="277"/>
      <c r="AX324" s="277"/>
      <c r="AY324" s="277"/>
      <c r="AZ324" s="277"/>
      <c r="BA324" s="277"/>
      <c r="BB324" s="277"/>
      <c r="BC324" s="277"/>
      <c r="BD324" s="277"/>
      <c r="BE324" s="277"/>
      <c r="BF324" s="277"/>
      <c r="BG324" s="277"/>
    </row>
    <row r="325" spans="1:59" s="280" customFormat="1" ht="19.5" customHeight="1">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c r="AA325" s="277"/>
      <c r="AB325" s="277"/>
      <c r="AC325" s="277"/>
      <c r="AD325" s="277"/>
      <c r="AE325" s="277"/>
      <c r="AF325" s="277"/>
      <c r="AG325" s="277"/>
      <c r="AH325" s="277"/>
      <c r="AI325" s="277"/>
      <c r="AJ325" s="277"/>
      <c r="AK325" s="277"/>
      <c r="AL325" s="277"/>
      <c r="AM325" s="277"/>
      <c r="AN325" s="277"/>
      <c r="AO325" s="277"/>
      <c r="AP325" s="277"/>
      <c r="AQ325" s="277"/>
      <c r="AR325" s="277"/>
      <c r="AS325" s="277"/>
      <c r="AT325" s="277"/>
      <c r="AU325" s="277"/>
      <c r="AV325" s="277"/>
      <c r="AW325" s="277"/>
      <c r="AX325" s="277"/>
      <c r="AY325" s="277"/>
      <c r="AZ325" s="277"/>
      <c r="BA325" s="277"/>
      <c r="BB325" s="277"/>
      <c r="BC325" s="277"/>
      <c r="BD325" s="277"/>
      <c r="BE325" s="277"/>
      <c r="BF325" s="277"/>
      <c r="BG325" s="277"/>
    </row>
    <row r="326" spans="1:59" ht="19.5" customHeight="1">
      <c r="A326" s="278"/>
      <c r="B326" s="278"/>
      <c r="C326" s="278"/>
      <c r="D326" s="278"/>
      <c r="E326" s="278"/>
      <c r="F326" s="278"/>
      <c r="G326" s="278"/>
      <c r="H326" s="278"/>
      <c r="I326" s="278"/>
      <c r="J326" s="278"/>
      <c r="K326" s="278"/>
      <c r="L326" s="278"/>
      <c r="M326" s="278"/>
      <c r="N326" s="278"/>
      <c r="O326" s="278"/>
      <c r="P326" s="278"/>
      <c r="Q326" s="278"/>
      <c r="R326" s="278"/>
      <c r="S326" s="278"/>
      <c r="T326" s="278"/>
      <c r="U326" s="278"/>
      <c r="V326" s="278"/>
      <c r="W326" s="276"/>
      <c r="X326" s="276"/>
      <c r="Y326" s="276"/>
      <c r="Z326" s="276"/>
      <c r="AA326" s="276"/>
      <c r="AB326" s="276"/>
      <c r="AC326" s="276"/>
      <c r="AD326" s="276"/>
      <c r="AE326" s="276"/>
      <c r="AF326" s="276"/>
      <c r="AG326" s="277"/>
      <c r="AH326" s="277"/>
      <c r="AI326" s="277"/>
      <c r="AJ326" s="277"/>
      <c r="AK326" s="277"/>
      <c r="AL326" s="277"/>
      <c r="AM326" s="277"/>
      <c r="AN326" s="277"/>
      <c r="AO326" s="277"/>
      <c r="AP326" s="277"/>
      <c r="AQ326" s="277"/>
      <c r="AR326" s="277"/>
      <c r="AS326" s="277"/>
      <c r="AT326" s="277"/>
      <c r="AU326" s="277"/>
      <c r="AV326" s="277"/>
      <c r="AW326" s="277"/>
      <c r="AX326" s="277"/>
      <c r="AY326" s="277"/>
      <c r="AZ326" s="277"/>
      <c r="BA326" s="277"/>
      <c r="BB326" s="277"/>
      <c r="BC326" s="277"/>
      <c r="BD326" s="277"/>
      <c r="BE326" s="277"/>
      <c r="BF326" s="277"/>
      <c r="BG326" s="276"/>
    </row>
    <row r="327" spans="1:59" ht="19.5" customHeight="1">
      <c r="A327" s="278" t="s">
        <v>418</v>
      </c>
      <c r="B327" s="279"/>
      <c r="C327" s="279"/>
      <c r="D327" s="279"/>
      <c r="E327" s="279"/>
      <c r="F327" s="279"/>
      <c r="G327" s="278"/>
      <c r="H327" s="278"/>
      <c r="I327" s="278"/>
      <c r="J327" s="278"/>
      <c r="K327" s="278"/>
      <c r="L327" s="278"/>
      <c r="M327" s="278"/>
      <c r="N327" s="278"/>
      <c r="O327" s="278"/>
      <c r="P327" s="278"/>
      <c r="Q327" s="278"/>
      <c r="R327" s="278"/>
      <c r="S327" s="278"/>
      <c r="T327" s="278"/>
      <c r="U327" s="278"/>
      <c r="V327" s="278"/>
      <c r="W327" s="276"/>
      <c r="X327" s="276"/>
      <c r="Y327" s="276"/>
      <c r="Z327" s="276"/>
      <c r="AA327" s="276"/>
      <c r="AB327" s="276"/>
      <c r="AC327" s="276"/>
      <c r="AD327" s="276"/>
      <c r="AE327" s="276"/>
      <c r="AF327" s="276"/>
      <c r="AG327" s="277"/>
      <c r="AH327" s="277"/>
      <c r="AI327" s="277"/>
      <c r="AJ327" s="277"/>
      <c r="AK327" s="277"/>
      <c r="AL327" s="277"/>
      <c r="AM327" s="277"/>
      <c r="AN327" s="277"/>
      <c r="AO327" s="277"/>
      <c r="AP327" s="277"/>
      <c r="AQ327" s="277"/>
      <c r="AR327" s="277"/>
      <c r="AS327" s="277"/>
      <c r="AT327" s="277"/>
      <c r="AU327" s="277"/>
      <c r="AV327" s="277"/>
      <c r="AW327" s="277"/>
      <c r="AX327" s="277"/>
      <c r="AY327" s="277"/>
      <c r="AZ327" s="277"/>
      <c r="BA327" s="277"/>
      <c r="BB327" s="277"/>
      <c r="BC327" s="277"/>
      <c r="BD327" s="277"/>
      <c r="BE327" s="277"/>
      <c r="BF327" s="277"/>
      <c r="BG327" s="276"/>
    </row>
    <row r="328" spans="1:59" ht="19.5" customHeight="1">
      <c r="A328" s="278"/>
      <c r="B328" s="278"/>
      <c r="C328" s="278"/>
      <c r="D328" s="278"/>
      <c r="E328" s="278"/>
      <c r="F328" s="278"/>
      <c r="G328" s="278"/>
      <c r="H328" s="278"/>
      <c r="I328" s="278"/>
      <c r="J328" s="278"/>
      <c r="K328" s="278"/>
      <c r="L328" s="278"/>
      <c r="M328" s="278"/>
      <c r="N328" s="278"/>
      <c r="O328" s="278"/>
      <c r="P328" s="278"/>
      <c r="Q328" s="278"/>
      <c r="R328" s="278"/>
      <c r="S328" s="278"/>
      <c r="T328" s="278"/>
      <c r="U328" s="278"/>
      <c r="V328" s="278"/>
      <c r="W328" s="276"/>
      <c r="X328" s="276"/>
      <c r="Y328" s="276"/>
      <c r="Z328" s="276"/>
      <c r="AA328" s="276"/>
      <c r="AB328" s="276"/>
      <c r="AC328" s="276"/>
      <c r="AD328" s="276"/>
      <c r="AE328" s="276"/>
      <c r="AF328" s="276"/>
      <c r="AG328" s="277"/>
      <c r="AH328" s="277"/>
      <c r="AI328" s="277"/>
      <c r="AJ328" s="277"/>
      <c r="AK328" s="277"/>
      <c r="AL328" s="277"/>
      <c r="AM328" s="277"/>
      <c r="AN328" s="277"/>
      <c r="AO328" s="277"/>
      <c r="AP328" s="277"/>
      <c r="AQ328" s="277"/>
      <c r="AR328" s="277"/>
      <c r="AS328" s="277"/>
      <c r="AT328" s="277"/>
      <c r="AU328" s="277"/>
      <c r="AV328" s="277"/>
      <c r="AW328" s="277"/>
      <c r="AX328" s="277"/>
      <c r="AY328" s="277"/>
      <c r="AZ328" s="277"/>
      <c r="BA328" s="277"/>
      <c r="BB328" s="277"/>
      <c r="BC328" s="277"/>
      <c r="BD328" s="277"/>
      <c r="BE328" s="277"/>
      <c r="BF328" s="277"/>
      <c r="BG328" s="276"/>
    </row>
    <row r="329" spans="1:59" ht="19.5" customHeight="1">
      <c r="A329" s="278"/>
      <c r="B329" s="278"/>
      <c r="C329" s="278"/>
      <c r="D329" s="278"/>
      <c r="E329" s="278"/>
      <c r="F329" s="278"/>
      <c r="G329" s="278"/>
      <c r="H329" s="278"/>
      <c r="I329" s="278"/>
      <c r="J329" s="278"/>
      <c r="K329" s="278"/>
      <c r="L329" s="278"/>
      <c r="M329" s="278"/>
      <c r="N329" s="278"/>
      <c r="O329" s="278"/>
      <c r="P329" s="278"/>
      <c r="Q329" s="278"/>
      <c r="R329" s="278"/>
      <c r="S329" s="278"/>
      <c r="T329" s="278"/>
      <c r="U329" s="278"/>
      <c r="V329" s="278"/>
      <c r="W329" s="276"/>
      <c r="X329" s="276"/>
      <c r="Y329" s="276"/>
      <c r="Z329" s="276"/>
      <c r="AA329" s="276"/>
      <c r="AB329" s="276"/>
      <c r="AC329" s="276"/>
      <c r="AD329" s="276"/>
      <c r="AE329" s="276"/>
      <c r="AF329" s="276"/>
      <c r="AG329" s="277"/>
      <c r="AH329" s="277"/>
      <c r="AI329" s="277"/>
      <c r="AJ329" s="277"/>
      <c r="AK329" s="277"/>
      <c r="AL329" s="277"/>
      <c r="AM329" s="277"/>
      <c r="AN329" s="277"/>
      <c r="AO329" s="277"/>
      <c r="AP329" s="277"/>
      <c r="AQ329" s="277"/>
      <c r="AR329" s="277"/>
      <c r="AS329" s="277"/>
      <c r="AT329" s="277"/>
      <c r="AU329" s="277"/>
      <c r="AV329" s="277"/>
      <c r="AW329" s="277"/>
      <c r="AX329" s="277"/>
      <c r="AY329" s="277"/>
      <c r="AZ329" s="277"/>
      <c r="BA329" s="277"/>
      <c r="BB329" s="277"/>
      <c r="BC329" s="277"/>
      <c r="BD329" s="277"/>
      <c r="BE329" s="277"/>
      <c r="BF329" s="277"/>
      <c r="BG329" s="276"/>
    </row>
    <row r="330" spans="1:59" ht="19.5" customHeight="1">
      <c r="A330" s="278"/>
      <c r="B330" s="278"/>
      <c r="C330" s="278"/>
      <c r="D330" s="278"/>
      <c r="E330" s="278"/>
      <c r="F330" s="278"/>
      <c r="G330" s="278"/>
      <c r="H330" s="278"/>
      <c r="I330" s="278"/>
      <c r="J330" s="278"/>
      <c r="K330" s="278"/>
      <c r="L330" s="278"/>
      <c r="M330" s="278"/>
      <c r="N330" s="278"/>
      <c r="O330" s="278"/>
      <c r="P330" s="278"/>
      <c r="Q330" s="278"/>
      <c r="R330" s="278"/>
      <c r="S330" s="278"/>
      <c r="T330" s="278"/>
      <c r="U330" s="278"/>
      <c r="V330" s="278"/>
      <c r="W330" s="276"/>
      <c r="X330" s="276"/>
      <c r="Y330" s="276"/>
      <c r="Z330" s="276"/>
      <c r="AA330" s="276"/>
      <c r="AB330" s="276"/>
      <c r="AC330" s="276"/>
      <c r="AD330" s="276"/>
      <c r="AE330" s="276"/>
      <c r="AF330" s="276"/>
      <c r="AG330" s="277"/>
      <c r="AH330" s="277"/>
      <c r="AI330" s="277"/>
      <c r="AJ330" s="277"/>
      <c r="AK330" s="277"/>
      <c r="AL330" s="277"/>
      <c r="AM330" s="277"/>
      <c r="AN330" s="277"/>
      <c r="AO330" s="277"/>
      <c r="AP330" s="277"/>
      <c r="AQ330" s="277"/>
      <c r="AR330" s="277"/>
      <c r="AS330" s="277"/>
      <c r="AT330" s="277"/>
      <c r="AU330" s="277"/>
      <c r="AV330" s="277"/>
      <c r="AW330" s="277"/>
      <c r="AX330" s="277"/>
      <c r="AY330" s="277"/>
      <c r="AZ330" s="277"/>
      <c r="BA330" s="277"/>
      <c r="BB330" s="277"/>
      <c r="BC330" s="277"/>
      <c r="BD330" s="277"/>
      <c r="BE330" s="277"/>
      <c r="BF330" s="277"/>
      <c r="BG330" s="276"/>
    </row>
    <row r="331" spans="1:59" ht="19.5" customHeight="1">
      <c r="A331" s="278"/>
      <c r="B331" s="278"/>
      <c r="C331" s="278"/>
      <c r="D331" s="278"/>
      <c r="E331" s="278"/>
      <c r="F331" s="278"/>
      <c r="G331" s="278"/>
      <c r="H331" s="278"/>
      <c r="I331" s="278"/>
      <c r="J331" s="278"/>
      <c r="K331" s="278"/>
      <c r="L331" s="278"/>
      <c r="M331" s="278"/>
      <c r="N331" s="278"/>
      <c r="O331" s="278"/>
      <c r="P331" s="278"/>
      <c r="Q331" s="278"/>
      <c r="R331" s="278"/>
      <c r="S331" s="278"/>
      <c r="T331" s="278"/>
      <c r="U331" s="278"/>
      <c r="V331" s="278"/>
      <c r="W331" s="276"/>
      <c r="X331" s="276"/>
      <c r="Y331" s="276"/>
      <c r="Z331" s="276"/>
      <c r="AA331" s="276"/>
      <c r="AB331" s="276"/>
      <c r="AC331" s="276"/>
      <c r="AD331" s="276"/>
      <c r="AE331" s="276"/>
      <c r="AF331" s="276"/>
      <c r="AG331" s="277"/>
      <c r="AH331" s="277"/>
      <c r="AI331" s="277"/>
      <c r="AJ331" s="277"/>
      <c r="AK331" s="277"/>
      <c r="AL331" s="277"/>
      <c r="AM331" s="277"/>
      <c r="AN331" s="277"/>
      <c r="AO331" s="277"/>
      <c r="AP331" s="277"/>
      <c r="AQ331" s="277"/>
      <c r="AR331" s="277"/>
      <c r="AS331" s="277"/>
      <c r="AT331" s="277"/>
      <c r="AU331" s="277"/>
      <c r="AV331" s="277"/>
      <c r="AW331" s="277"/>
      <c r="AX331" s="277"/>
      <c r="AY331" s="277"/>
      <c r="AZ331" s="277"/>
      <c r="BA331" s="277"/>
      <c r="BB331" s="277"/>
      <c r="BC331" s="277"/>
      <c r="BD331" s="277"/>
      <c r="BE331" s="277"/>
      <c r="BF331" s="277"/>
      <c r="BG331" s="276"/>
    </row>
    <row r="332" spans="1:59" ht="19.5" customHeight="1">
      <c r="A332" s="278"/>
      <c r="B332" s="278"/>
      <c r="C332" s="278"/>
      <c r="D332" s="278"/>
      <c r="E332" s="278"/>
      <c r="F332" s="278"/>
      <c r="G332" s="278"/>
      <c r="H332" s="278"/>
      <c r="I332" s="278"/>
      <c r="J332" s="278"/>
      <c r="K332" s="278"/>
      <c r="L332" s="278"/>
      <c r="M332" s="278"/>
      <c r="N332" s="278"/>
      <c r="O332" s="278"/>
      <c r="P332" s="278"/>
      <c r="Q332" s="278"/>
      <c r="R332" s="278"/>
      <c r="S332" s="278"/>
      <c r="T332" s="278"/>
      <c r="U332" s="278"/>
      <c r="V332" s="278"/>
      <c r="W332" s="276"/>
      <c r="X332" s="276"/>
      <c r="Y332" s="276"/>
      <c r="Z332" s="276"/>
      <c r="AA332" s="276"/>
      <c r="AB332" s="276"/>
      <c r="AC332" s="276"/>
      <c r="AD332" s="276"/>
      <c r="AE332" s="276"/>
      <c r="AF332" s="276"/>
      <c r="AG332" s="277"/>
      <c r="AH332" s="277"/>
      <c r="AI332" s="277"/>
      <c r="AJ332" s="277"/>
      <c r="AK332" s="277"/>
      <c r="AL332" s="277"/>
      <c r="AM332" s="277"/>
      <c r="AN332" s="277"/>
      <c r="AO332" s="277"/>
      <c r="AP332" s="277"/>
      <c r="AQ332" s="277"/>
      <c r="AR332" s="277"/>
      <c r="AS332" s="277"/>
      <c r="AT332" s="277"/>
      <c r="AU332" s="277"/>
      <c r="AV332" s="277"/>
      <c r="AW332" s="277"/>
      <c r="AX332" s="277"/>
      <c r="AY332" s="277"/>
      <c r="AZ332" s="277"/>
      <c r="BA332" s="277"/>
      <c r="BB332" s="277"/>
      <c r="BC332" s="277"/>
      <c r="BD332" s="277"/>
      <c r="BE332" s="277"/>
      <c r="BF332" s="277"/>
      <c r="BG332" s="276"/>
    </row>
    <row r="333" spans="1:59" ht="19.5" customHeight="1">
      <c r="A333" s="278" t="s">
        <v>419</v>
      </c>
      <c r="B333" s="278"/>
      <c r="C333" s="278"/>
      <c r="D333" s="278"/>
      <c r="E333" s="278"/>
      <c r="F333" s="278"/>
      <c r="G333" s="278"/>
      <c r="H333" s="278"/>
      <c r="I333" s="278"/>
      <c r="J333" s="278"/>
      <c r="K333" s="278"/>
      <c r="L333" s="278"/>
      <c r="M333" s="278"/>
      <c r="N333" s="278"/>
      <c r="O333" s="278"/>
      <c r="P333" s="278"/>
      <c r="Q333" s="278"/>
      <c r="R333" s="278"/>
      <c r="S333" s="278"/>
      <c r="T333" s="278"/>
      <c r="U333" s="278"/>
      <c r="V333" s="278"/>
      <c r="W333" s="276"/>
      <c r="X333" s="276"/>
      <c r="Y333" s="276"/>
      <c r="Z333" s="276"/>
      <c r="AA333" s="276"/>
      <c r="AB333" s="276"/>
      <c r="AC333" s="276"/>
      <c r="AD333" s="276"/>
      <c r="AE333" s="276"/>
      <c r="AF333" s="276"/>
      <c r="AG333" s="277"/>
      <c r="AH333" s="277"/>
      <c r="AI333" s="277"/>
      <c r="AJ333" s="277"/>
      <c r="AK333" s="277"/>
      <c r="AL333" s="277"/>
      <c r="AM333" s="277"/>
      <c r="AN333" s="277"/>
      <c r="AO333" s="277"/>
      <c r="AP333" s="277"/>
      <c r="AQ333" s="277"/>
      <c r="AR333" s="277"/>
      <c r="AS333" s="277"/>
      <c r="AT333" s="277"/>
      <c r="AU333" s="277"/>
      <c r="AV333" s="277"/>
      <c r="AW333" s="277"/>
      <c r="AX333" s="277"/>
      <c r="AY333" s="277"/>
      <c r="AZ333" s="277"/>
      <c r="BA333" s="277"/>
      <c r="BB333" s="277"/>
      <c r="BC333" s="277"/>
      <c r="BD333" s="277"/>
      <c r="BE333" s="277"/>
      <c r="BF333" s="277"/>
      <c r="BG333" s="276"/>
    </row>
    <row r="334" spans="1:59" ht="19.5" customHeight="1">
      <c r="A334" s="278"/>
      <c r="B334" s="278" t="s">
        <v>70</v>
      </c>
      <c r="C334" s="278" t="s">
        <v>70</v>
      </c>
      <c r="D334" s="278" t="s">
        <v>70</v>
      </c>
      <c r="E334" s="278" t="s">
        <v>70</v>
      </c>
      <c r="F334" s="278" t="s">
        <v>70</v>
      </c>
      <c r="G334" s="278" t="s">
        <v>70</v>
      </c>
      <c r="H334" s="278" t="s">
        <v>70</v>
      </c>
      <c r="I334" s="278" t="s">
        <v>70</v>
      </c>
      <c r="J334" s="278" t="s">
        <v>70</v>
      </c>
      <c r="K334" s="278" t="s">
        <v>70</v>
      </c>
      <c r="L334" s="278" t="s">
        <v>198</v>
      </c>
      <c r="M334" s="278" t="s">
        <v>70</v>
      </c>
      <c r="N334" s="278" t="s">
        <v>70</v>
      </c>
      <c r="O334" s="278" t="s">
        <v>70</v>
      </c>
      <c r="P334" s="278" t="s">
        <v>70</v>
      </c>
      <c r="Q334" s="278" t="s">
        <v>70</v>
      </c>
      <c r="R334" s="278" t="s">
        <v>70</v>
      </c>
      <c r="S334" s="278" t="s">
        <v>70</v>
      </c>
      <c r="T334" s="278" t="s">
        <v>70</v>
      </c>
      <c r="U334" s="278" t="s">
        <v>70</v>
      </c>
      <c r="V334" s="278" t="s">
        <v>70</v>
      </c>
      <c r="W334" s="276"/>
      <c r="X334" s="276"/>
      <c r="Y334" s="276"/>
      <c r="Z334" s="276"/>
      <c r="AA334" s="276"/>
      <c r="AB334" s="276"/>
      <c r="AC334" s="276"/>
      <c r="AD334" s="276"/>
      <c r="AE334" s="276"/>
      <c r="AF334" s="276"/>
      <c r="AG334" s="277"/>
      <c r="AH334" s="277"/>
      <c r="AI334" s="277"/>
      <c r="AJ334" s="277"/>
      <c r="AK334" s="277"/>
      <c r="AL334" s="277"/>
      <c r="AM334" s="277"/>
      <c r="AN334" s="277"/>
      <c r="AO334" s="277"/>
      <c r="AP334" s="277"/>
      <c r="AQ334" s="277"/>
      <c r="AR334" s="277"/>
      <c r="AS334" s="277"/>
      <c r="AT334" s="277"/>
      <c r="AU334" s="277"/>
      <c r="AV334" s="277"/>
      <c r="AW334" s="277"/>
      <c r="AX334" s="277"/>
      <c r="AY334" s="277"/>
      <c r="AZ334" s="277"/>
      <c r="BA334" s="277"/>
      <c r="BB334" s="277"/>
      <c r="BC334" s="277"/>
      <c r="BD334" s="277"/>
      <c r="BE334" s="277"/>
      <c r="BF334" s="277"/>
      <c r="BG334" s="276"/>
    </row>
    <row r="335" spans="1:59" ht="19.5" customHeight="1">
      <c r="A335" s="278"/>
      <c r="B335" s="278"/>
      <c r="C335" s="278"/>
      <c r="D335" s="278"/>
      <c r="E335" s="278"/>
      <c r="F335" s="278"/>
      <c r="G335" s="278"/>
      <c r="H335" s="278"/>
      <c r="I335" s="278"/>
      <c r="J335" s="278"/>
      <c r="K335" s="278"/>
      <c r="L335" s="278"/>
      <c r="M335" s="278"/>
      <c r="N335" s="278"/>
      <c r="O335" s="278"/>
      <c r="P335" s="278"/>
      <c r="Q335" s="278"/>
      <c r="R335" s="278"/>
      <c r="S335" s="278"/>
      <c r="T335" s="278"/>
      <c r="U335" s="278"/>
      <c r="V335" s="278"/>
      <c r="W335" s="276"/>
      <c r="X335" s="276"/>
      <c r="Y335" s="276"/>
      <c r="Z335" s="276"/>
      <c r="AA335" s="276"/>
      <c r="AB335" s="276"/>
      <c r="AC335" s="276"/>
      <c r="AD335" s="276"/>
      <c r="AE335" s="276"/>
      <c r="AF335" s="276"/>
      <c r="AG335" s="277"/>
      <c r="AH335" s="277"/>
      <c r="AI335" s="277"/>
      <c r="AJ335" s="277"/>
      <c r="AK335" s="277"/>
      <c r="AL335" s="277"/>
      <c r="AM335" s="277"/>
      <c r="AN335" s="277"/>
      <c r="AO335" s="277"/>
      <c r="AP335" s="277"/>
      <c r="AQ335" s="277"/>
      <c r="AR335" s="277"/>
      <c r="AS335" s="277"/>
      <c r="AT335" s="277"/>
      <c r="AU335" s="277"/>
      <c r="AV335" s="277"/>
      <c r="AW335" s="277"/>
      <c r="AX335" s="277"/>
      <c r="AY335" s="277"/>
      <c r="AZ335" s="277"/>
      <c r="BA335" s="277"/>
      <c r="BB335" s="277"/>
      <c r="BC335" s="277"/>
      <c r="BD335" s="277"/>
      <c r="BE335" s="277"/>
      <c r="BF335" s="277"/>
      <c r="BG335" s="276"/>
    </row>
    <row r="336" spans="1:59" ht="19.5" customHeight="1">
      <c r="A336" s="278"/>
      <c r="B336" s="278"/>
      <c r="C336" s="278"/>
      <c r="D336" s="278"/>
      <c r="E336" s="278"/>
      <c r="F336" s="278"/>
      <c r="G336" s="278"/>
      <c r="H336" s="278"/>
      <c r="I336" s="278"/>
      <c r="J336" s="278"/>
      <c r="K336" s="278"/>
      <c r="L336" s="278"/>
      <c r="M336" s="278"/>
      <c r="N336" s="278"/>
      <c r="O336" s="278"/>
      <c r="P336" s="278"/>
      <c r="Q336" s="278"/>
      <c r="R336" s="278"/>
      <c r="S336" s="278"/>
      <c r="T336" s="278"/>
      <c r="U336" s="278"/>
      <c r="V336" s="278"/>
      <c r="W336" s="276"/>
      <c r="X336" s="276"/>
      <c r="Y336" s="276"/>
      <c r="Z336" s="276"/>
      <c r="AA336" s="276"/>
      <c r="AB336" s="276"/>
      <c r="AC336" s="276"/>
      <c r="AD336" s="276"/>
      <c r="AE336" s="276"/>
      <c r="AF336" s="276"/>
      <c r="AG336" s="277"/>
      <c r="AH336" s="277"/>
      <c r="AI336" s="277"/>
      <c r="AJ336" s="277"/>
      <c r="AK336" s="277"/>
      <c r="AL336" s="277"/>
      <c r="AM336" s="277"/>
      <c r="AN336" s="277"/>
      <c r="AO336" s="277"/>
      <c r="AP336" s="277"/>
      <c r="AQ336" s="277"/>
      <c r="AR336" s="277"/>
      <c r="AS336" s="277"/>
      <c r="AT336" s="277"/>
      <c r="AU336" s="277"/>
      <c r="AV336" s="277"/>
      <c r="AW336" s="277"/>
      <c r="AX336" s="277"/>
      <c r="AY336" s="277"/>
      <c r="AZ336" s="277"/>
      <c r="BA336" s="277"/>
      <c r="BB336" s="277"/>
      <c r="BC336" s="277"/>
      <c r="BD336" s="277"/>
      <c r="BE336" s="277"/>
      <c r="BF336" s="277"/>
      <c r="BG336" s="276"/>
    </row>
    <row r="337" spans="1:59" ht="21" customHeight="1">
      <c r="A337" s="278"/>
      <c r="B337" s="278"/>
      <c r="C337" s="278"/>
      <c r="D337" s="278"/>
      <c r="E337" s="278"/>
      <c r="F337" s="278"/>
      <c r="G337" s="278"/>
      <c r="H337" s="278"/>
      <c r="I337" s="278"/>
      <c r="J337" s="278"/>
      <c r="K337" s="278"/>
      <c r="L337" s="278"/>
      <c r="M337" s="278"/>
      <c r="N337" s="278"/>
      <c r="O337" s="278"/>
      <c r="P337" s="278"/>
      <c r="Q337" s="278"/>
      <c r="R337" s="278"/>
      <c r="S337" s="278"/>
      <c r="T337" s="278"/>
      <c r="U337" s="278"/>
      <c r="V337" s="278"/>
      <c r="W337" s="276"/>
      <c r="X337" s="276"/>
      <c r="Y337" s="276"/>
      <c r="Z337" s="276"/>
      <c r="AA337" s="276"/>
      <c r="AB337" s="276"/>
      <c r="AC337" s="276"/>
      <c r="AD337" s="276"/>
      <c r="AE337" s="276"/>
      <c r="AF337" s="276"/>
      <c r="AG337" s="277"/>
      <c r="AH337" s="277"/>
      <c r="AI337" s="277"/>
      <c r="AJ337" s="277"/>
      <c r="AK337" s="277"/>
      <c r="AL337" s="277"/>
      <c r="AM337" s="277"/>
      <c r="AN337" s="277"/>
      <c r="AO337" s="277"/>
      <c r="AP337" s="277"/>
      <c r="AQ337" s="277"/>
      <c r="AR337" s="277"/>
      <c r="AS337" s="277"/>
      <c r="AT337" s="277"/>
      <c r="AU337" s="277"/>
      <c r="AV337" s="277"/>
      <c r="AW337" s="277"/>
      <c r="AX337" s="277"/>
      <c r="AY337" s="277"/>
      <c r="AZ337" s="277"/>
      <c r="BA337" s="277"/>
      <c r="BB337" s="277"/>
      <c r="BC337" s="277"/>
      <c r="BD337" s="277"/>
      <c r="BE337" s="277"/>
      <c r="BF337" s="277"/>
      <c r="BG337" s="276"/>
    </row>
    <row r="338" spans="1:59" ht="21" customHeight="1">
      <c r="A338" s="278"/>
      <c r="B338" s="278"/>
      <c r="C338" s="278"/>
      <c r="D338" s="278"/>
      <c r="E338" s="278"/>
      <c r="F338" s="278"/>
      <c r="G338" s="278"/>
      <c r="H338" s="278"/>
      <c r="I338" s="278"/>
      <c r="J338" s="278"/>
      <c r="K338" s="278"/>
      <c r="L338" s="278"/>
      <c r="M338" s="278"/>
      <c r="N338" s="278"/>
      <c r="O338" s="278"/>
      <c r="P338" s="278"/>
      <c r="Q338" s="278"/>
      <c r="R338" s="278"/>
      <c r="S338" s="278"/>
      <c r="T338" s="278"/>
      <c r="U338" s="278"/>
      <c r="V338" s="278"/>
      <c r="W338" s="276"/>
      <c r="X338" s="276"/>
      <c r="Y338" s="276"/>
      <c r="Z338" s="276"/>
      <c r="AA338" s="276"/>
      <c r="AB338" s="276"/>
      <c r="AC338" s="276"/>
      <c r="AD338" s="276"/>
      <c r="AE338" s="276"/>
      <c r="AF338" s="276"/>
      <c r="AG338" s="277"/>
      <c r="AH338" s="277"/>
      <c r="AI338" s="277"/>
      <c r="AJ338" s="277"/>
      <c r="AK338" s="277"/>
      <c r="AL338" s="277"/>
      <c r="AM338" s="277"/>
      <c r="AN338" s="277"/>
      <c r="AO338" s="277"/>
      <c r="AP338" s="277"/>
      <c r="AQ338" s="277"/>
      <c r="AR338" s="277"/>
      <c r="AS338" s="277"/>
      <c r="AT338" s="277"/>
      <c r="AU338" s="277"/>
      <c r="AV338" s="277"/>
      <c r="AW338" s="277"/>
      <c r="AX338" s="277"/>
      <c r="AY338" s="277"/>
      <c r="AZ338" s="277"/>
      <c r="BA338" s="277"/>
      <c r="BB338" s="277"/>
      <c r="BC338" s="277"/>
      <c r="BD338" s="277"/>
      <c r="BE338" s="277"/>
      <c r="BF338" s="277"/>
      <c r="BG338" s="276"/>
    </row>
    <row r="339" spans="1:59" ht="21" customHeight="1">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c r="AA339" s="276"/>
      <c r="AB339" s="276"/>
      <c r="AC339" s="276"/>
      <c r="AD339" s="276"/>
      <c r="AE339" s="276"/>
      <c r="AF339" s="276"/>
      <c r="AG339" s="277"/>
      <c r="AH339" s="277"/>
      <c r="AI339" s="277"/>
      <c r="AJ339" s="277"/>
      <c r="AK339" s="277"/>
      <c r="AL339" s="277"/>
      <c r="AM339" s="277"/>
      <c r="AN339" s="277"/>
      <c r="AO339" s="277"/>
      <c r="AP339" s="277"/>
      <c r="AQ339" s="277"/>
      <c r="AR339" s="277"/>
      <c r="AS339" s="277"/>
      <c r="AT339" s="277"/>
      <c r="AU339" s="277"/>
      <c r="AV339" s="277"/>
      <c r="AW339" s="277"/>
      <c r="AX339" s="277"/>
      <c r="AY339" s="277"/>
      <c r="AZ339" s="277"/>
      <c r="BA339" s="277"/>
      <c r="BB339" s="277"/>
      <c r="BC339" s="277"/>
      <c r="BD339" s="277"/>
      <c r="BE339" s="277"/>
      <c r="BF339" s="277"/>
      <c r="BG339" s="276"/>
    </row>
    <row r="340" spans="1:59" ht="21" customHeight="1">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c r="AA340" s="276"/>
      <c r="AB340" s="276"/>
      <c r="AC340" s="276"/>
      <c r="AD340" s="276"/>
      <c r="AE340" s="276"/>
      <c r="AF340" s="276"/>
      <c r="AG340" s="277"/>
      <c r="AH340" s="277"/>
      <c r="AI340" s="277"/>
      <c r="AJ340" s="277"/>
      <c r="AK340" s="277"/>
      <c r="AL340" s="277"/>
      <c r="AM340" s="277"/>
      <c r="AN340" s="277"/>
      <c r="AO340" s="277"/>
      <c r="AP340" s="277"/>
      <c r="AQ340" s="277"/>
      <c r="AR340" s="277"/>
      <c r="AS340" s="277"/>
      <c r="AT340" s="277"/>
      <c r="AU340" s="277"/>
      <c r="AV340" s="277"/>
      <c r="AW340" s="277"/>
      <c r="AX340" s="277"/>
      <c r="AY340" s="277"/>
      <c r="AZ340" s="277"/>
      <c r="BA340" s="277"/>
      <c r="BB340" s="277"/>
      <c r="BC340" s="277"/>
      <c r="BD340" s="277"/>
      <c r="BE340" s="277"/>
      <c r="BF340" s="277"/>
      <c r="BG340" s="276"/>
    </row>
    <row r="341" spans="1:59" ht="21" customHeight="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c r="AA341" s="276"/>
      <c r="AB341" s="276"/>
      <c r="AC341" s="276"/>
      <c r="AD341" s="276"/>
      <c r="AE341" s="276"/>
      <c r="AF341" s="276"/>
      <c r="AG341" s="277"/>
      <c r="AH341" s="277"/>
      <c r="AI341" s="277"/>
      <c r="AJ341" s="277"/>
      <c r="AK341" s="277"/>
      <c r="AL341" s="277"/>
      <c r="AM341" s="277"/>
      <c r="AN341" s="277"/>
      <c r="AO341" s="277"/>
      <c r="AP341" s="277"/>
      <c r="AQ341" s="277"/>
      <c r="AR341" s="277"/>
      <c r="AS341" s="277"/>
      <c r="AT341" s="277"/>
      <c r="AU341" s="277"/>
      <c r="AV341" s="277"/>
      <c r="AW341" s="277"/>
      <c r="AX341" s="277"/>
      <c r="AY341" s="277"/>
      <c r="AZ341" s="277"/>
      <c r="BA341" s="277"/>
      <c r="BB341" s="277"/>
      <c r="BC341" s="277"/>
      <c r="BD341" s="277"/>
      <c r="BE341" s="277"/>
      <c r="BF341" s="277"/>
      <c r="BG341" s="276"/>
    </row>
    <row r="342" spans="1:59" ht="21" customHeight="1">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c r="AA342" s="276"/>
      <c r="AB342" s="276"/>
      <c r="AC342" s="276"/>
      <c r="AD342" s="276"/>
      <c r="AE342" s="276"/>
      <c r="AF342" s="276"/>
      <c r="AG342" s="277"/>
      <c r="AH342" s="277"/>
      <c r="AI342" s="277"/>
      <c r="AJ342" s="277"/>
      <c r="AK342" s="277"/>
      <c r="AL342" s="277"/>
      <c r="AM342" s="277"/>
      <c r="AN342" s="277"/>
      <c r="AO342" s="277"/>
      <c r="AP342" s="277"/>
      <c r="AQ342" s="277"/>
      <c r="AR342" s="277"/>
      <c r="AS342" s="277"/>
      <c r="AT342" s="277"/>
      <c r="AU342" s="277"/>
      <c r="AV342" s="277"/>
      <c r="AW342" s="277"/>
      <c r="AX342" s="277"/>
      <c r="AY342" s="277"/>
      <c r="AZ342" s="277"/>
      <c r="BA342" s="277"/>
      <c r="BB342" s="277"/>
      <c r="BC342" s="277"/>
      <c r="BD342" s="277"/>
      <c r="BE342" s="277"/>
      <c r="BF342" s="277"/>
      <c r="BG342" s="276"/>
    </row>
    <row r="343" spans="1:59" ht="21" customHeight="1">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c r="AA343" s="276"/>
      <c r="AB343" s="276"/>
      <c r="AC343" s="276"/>
      <c r="AD343" s="276"/>
      <c r="AE343" s="276"/>
      <c r="AF343" s="276"/>
      <c r="AG343" s="277"/>
      <c r="AH343" s="277"/>
      <c r="AI343" s="277"/>
      <c r="AJ343" s="277"/>
      <c r="AK343" s="277"/>
      <c r="AL343" s="277"/>
      <c r="AM343" s="277"/>
      <c r="AN343" s="277"/>
      <c r="AO343" s="277"/>
      <c r="AP343" s="277"/>
      <c r="AQ343" s="277"/>
      <c r="AR343" s="277"/>
      <c r="AS343" s="277"/>
      <c r="AT343" s="277"/>
      <c r="AU343" s="277"/>
      <c r="AV343" s="277"/>
      <c r="AW343" s="277"/>
      <c r="AX343" s="277"/>
      <c r="AY343" s="277"/>
      <c r="AZ343" s="277"/>
      <c r="BA343" s="277"/>
      <c r="BB343" s="277"/>
      <c r="BC343" s="277"/>
      <c r="BD343" s="277"/>
      <c r="BE343" s="277"/>
      <c r="BF343" s="277"/>
      <c r="BG343" s="276"/>
    </row>
    <row r="344" spans="1:59" ht="21" customHeight="1">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c r="AA344" s="276"/>
      <c r="AB344" s="276"/>
      <c r="AC344" s="276"/>
      <c r="AD344" s="276"/>
      <c r="AE344" s="276"/>
      <c r="AF344" s="276"/>
      <c r="AG344" s="277"/>
      <c r="AH344" s="277"/>
      <c r="AI344" s="277"/>
      <c r="AJ344" s="277"/>
      <c r="AK344" s="277"/>
      <c r="AL344" s="277"/>
      <c r="AM344" s="277"/>
      <c r="AN344" s="277"/>
      <c r="AO344" s="277"/>
      <c r="AP344" s="277"/>
      <c r="AQ344" s="277"/>
      <c r="AR344" s="277"/>
      <c r="AS344" s="277"/>
      <c r="AT344" s="277"/>
      <c r="AU344" s="277"/>
      <c r="AV344" s="277"/>
      <c r="AW344" s="277"/>
      <c r="AX344" s="277"/>
      <c r="AY344" s="277"/>
      <c r="AZ344" s="277"/>
      <c r="BA344" s="277"/>
      <c r="BB344" s="277"/>
      <c r="BC344" s="277"/>
      <c r="BD344" s="277"/>
      <c r="BE344" s="277"/>
      <c r="BF344" s="277"/>
      <c r="BG344" s="276"/>
    </row>
    <row r="345" spans="1:59" ht="21" customHeight="1">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c r="AA345" s="276"/>
      <c r="AB345" s="276"/>
      <c r="AC345" s="276"/>
      <c r="AD345" s="276"/>
      <c r="AE345" s="276"/>
      <c r="AF345" s="276"/>
      <c r="AG345" s="277"/>
      <c r="AH345" s="277"/>
      <c r="AI345" s="277"/>
      <c r="AJ345" s="277"/>
      <c r="AK345" s="277"/>
      <c r="AL345" s="277"/>
      <c r="AM345" s="277"/>
      <c r="AN345" s="277"/>
      <c r="AO345" s="277"/>
      <c r="AP345" s="277"/>
      <c r="AQ345" s="277"/>
      <c r="AR345" s="277"/>
      <c r="AS345" s="277"/>
      <c r="AT345" s="277"/>
      <c r="AU345" s="277"/>
      <c r="AV345" s="277"/>
      <c r="AW345" s="277"/>
      <c r="AX345" s="277"/>
      <c r="AY345" s="277"/>
      <c r="AZ345" s="277"/>
      <c r="BA345" s="277"/>
      <c r="BB345" s="277"/>
      <c r="BC345" s="277"/>
      <c r="BD345" s="277"/>
      <c r="BE345" s="277"/>
      <c r="BF345" s="277"/>
      <c r="BG345" s="276"/>
    </row>
    <row r="346" spans="1:59" ht="21" customHeight="1">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c r="AA346" s="276"/>
      <c r="AB346" s="276"/>
      <c r="AC346" s="276"/>
      <c r="AD346" s="276"/>
      <c r="AE346" s="276"/>
      <c r="AF346" s="276"/>
      <c r="AG346" s="277"/>
      <c r="AH346" s="277"/>
      <c r="AI346" s="277"/>
      <c r="AJ346" s="277"/>
      <c r="AK346" s="277"/>
      <c r="AL346" s="277"/>
      <c r="AM346" s="277"/>
      <c r="AN346" s="277"/>
      <c r="AO346" s="277"/>
      <c r="AP346" s="277"/>
      <c r="AQ346" s="277"/>
      <c r="AR346" s="277"/>
      <c r="AS346" s="277"/>
      <c r="AT346" s="277"/>
      <c r="AU346" s="277"/>
      <c r="AV346" s="277"/>
      <c r="AW346" s="277"/>
      <c r="AX346" s="277"/>
      <c r="AY346" s="277"/>
      <c r="AZ346" s="277"/>
      <c r="BA346" s="277"/>
      <c r="BB346" s="277"/>
      <c r="BC346" s="277"/>
      <c r="BD346" s="277"/>
      <c r="BE346" s="277"/>
      <c r="BF346" s="277"/>
      <c r="BG346" s="276"/>
    </row>
    <row r="347" spans="1:59" ht="21" customHeight="1">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c r="AA347" s="276"/>
      <c r="AB347" s="276"/>
      <c r="AC347" s="276"/>
      <c r="AD347" s="276"/>
      <c r="AE347" s="276"/>
      <c r="AF347" s="276"/>
      <c r="AG347" s="277"/>
      <c r="AH347" s="277"/>
      <c r="AI347" s="277"/>
      <c r="AJ347" s="277"/>
      <c r="AK347" s="277"/>
      <c r="AL347" s="277"/>
      <c r="AM347" s="277"/>
      <c r="AN347" s="277"/>
      <c r="AO347" s="277"/>
      <c r="AP347" s="277"/>
      <c r="AQ347" s="277"/>
      <c r="AR347" s="277"/>
      <c r="AS347" s="277"/>
      <c r="AT347" s="277"/>
      <c r="AU347" s="277"/>
      <c r="AV347" s="277"/>
      <c r="AW347" s="277"/>
      <c r="AX347" s="277"/>
      <c r="AY347" s="277"/>
      <c r="AZ347" s="277"/>
      <c r="BA347" s="277"/>
      <c r="BB347" s="277"/>
      <c r="BC347" s="277"/>
      <c r="BD347" s="277"/>
      <c r="BE347" s="277"/>
      <c r="BF347" s="277"/>
      <c r="BG347" s="276"/>
    </row>
    <row r="348" spans="1:59" ht="21" customHeight="1">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c r="AA348" s="276"/>
      <c r="AB348" s="276"/>
      <c r="AC348" s="276"/>
      <c r="AD348" s="276"/>
      <c r="AE348" s="276"/>
      <c r="AF348" s="276"/>
      <c r="AG348" s="277"/>
      <c r="AH348" s="277"/>
      <c r="AI348" s="277"/>
      <c r="AJ348" s="277"/>
      <c r="AK348" s="277"/>
      <c r="AL348" s="277"/>
      <c r="AM348" s="277"/>
      <c r="AN348" s="277"/>
      <c r="AO348" s="277"/>
      <c r="AP348" s="277"/>
      <c r="AQ348" s="277"/>
      <c r="AR348" s="277"/>
      <c r="AS348" s="277"/>
      <c r="AT348" s="277"/>
      <c r="AU348" s="277"/>
      <c r="AV348" s="277"/>
      <c r="AW348" s="277"/>
      <c r="AX348" s="277"/>
      <c r="AY348" s="277"/>
      <c r="AZ348" s="277"/>
      <c r="BA348" s="277"/>
      <c r="BB348" s="277"/>
      <c r="BC348" s="277"/>
      <c r="BD348" s="277"/>
      <c r="BE348" s="277"/>
      <c r="BF348" s="277"/>
      <c r="BG348" s="276"/>
    </row>
    <row r="349" spans="1:59" ht="21" customHeight="1">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c r="AA349" s="276"/>
      <c r="AB349" s="276"/>
      <c r="AC349" s="276"/>
      <c r="AD349" s="276"/>
      <c r="AE349" s="276"/>
      <c r="AF349" s="276"/>
      <c r="AG349" s="277"/>
      <c r="AH349" s="277"/>
      <c r="AI349" s="277"/>
      <c r="AJ349" s="277"/>
      <c r="AK349" s="277"/>
      <c r="AL349" s="277"/>
      <c r="AM349" s="277"/>
      <c r="AN349" s="277"/>
      <c r="AO349" s="277"/>
      <c r="AP349" s="277"/>
      <c r="AQ349" s="277"/>
      <c r="AR349" s="277"/>
      <c r="AS349" s="277"/>
      <c r="AT349" s="277"/>
      <c r="AU349" s="277"/>
      <c r="AV349" s="277"/>
      <c r="AW349" s="277"/>
      <c r="AX349" s="277"/>
      <c r="AY349" s="277"/>
      <c r="AZ349" s="277"/>
      <c r="BA349" s="277"/>
      <c r="BB349" s="277"/>
      <c r="BC349" s="277"/>
      <c r="BD349" s="277"/>
      <c r="BE349" s="277"/>
      <c r="BF349" s="277"/>
      <c r="BG349" s="276"/>
    </row>
    <row r="350" spans="1:59" ht="21" customHeight="1">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c r="AA350" s="276"/>
      <c r="AB350" s="276"/>
      <c r="AC350" s="276"/>
      <c r="AD350" s="276"/>
      <c r="AE350" s="276"/>
      <c r="AF350" s="276"/>
      <c r="AG350" s="277"/>
      <c r="AH350" s="277"/>
      <c r="AI350" s="277"/>
      <c r="AJ350" s="277"/>
      <c r="AK350" s="277"/>
      <c r="AL350" s="277"/>
      <c r="AM350" s="277"/>
      <c r="AN350" s="277"/>
      <c r="AO350" s="277"/>
      <c r="AP350" s="277"/>
      <c r="AQ350" s="277"/>
      <c r="AR350" s="277"/>
      <c r="AS350" s="277"/>
      <c r="AT350" s="277"/>
      <c r="AU350" s="277"/>
      <c r="AV350" s="277"/>
      <c r="AW350" s="277"/>
      <c r="AX350" s="277"/>
      <c r="AY350" s="277"/>
      <c r="AZ350" s="277"/>
      <c r="BA350" s="277"/>
      <c r="BB350" s="277"/>
      <c r="BC350" s="277"/>
      <c r="BD350" s="277"/>
      <c r="BE350" s="277"/>
      <c r="BF350" s="277"/>
      <c r="BG350" s="276"/>
    </row>
    <row r="351" spans="1:59" ht="21" customHeight="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c r="AA351" s="276"/>
      <c r="AB351" s="276"/>
      <c r="AC351" s="276"/>
      <c r="AD351" s="276"/>
      <c r="AE351" s="276"/>
      <c r="AF351" s="276"/>
      <c r="AG351" s="277"/>
      <c r="AH351" s="277"/>
      <c r="AI351" s="277"/>
      <c r="AJ351" s="277"/>
      <c r="AK351" s="277"/>
      <c r="AL351" s="277"/>
      <c r="AM351" s="277"/>
      <c r="AN351" s="277"/>
      <c r="AO351" s="277"/>
      <c r="AP351" s="277"/>
      <c r="AQ351" s="277"/>
      <c r="AR351" s="277"/>
      <c r="AS351" s="277"/>
      <c r="AT351" s="277"/>
      <c r="AU351" s="277"/>
      <c r="AV351" s="277"/>
      <c r="AW351" s="277"/>
      <c r="AX351" s="277"/>
      <c r="AY351" s="277"/>
      <c r="AZ351" s="277"/>
      <c r="BA351" s="277"/>
      <c r="BB351" s="277"/>
      <c r="BC351" s="277"/>
      <c r="BD351" s="277"/>
      <c r="BE351" s="277"/>
      <c r="BF351" s="277"/>
      <c r="BG351" s="276"/>
    </row>
    <row r="352" spans="1:59" ht="21" customHeight="1">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c r="AA352" s="276"/>
      <c r="AB352" s="276"/>
      <c r="AC352" s="276"/>
      <c r="AD352" s="276"/>
      <c r="AE352" s="276"/>
      <c r="AF352" s="276"/>
      <c r="AG352" s="277"/>
      <c r="AH352" s="277"/>
      <c r="AI352" s="277"/>
      <c r="AJ352" s="277"/>
      <c r="AK352" s="277"/>
      <c r="AL352" s="277"/>
      <c r="AM352" s="277"/>
      <c r="AN352" s="277"/>
      <c r="AO352" s="277"/>
      <c r="AP352" s="277"/>
      <c r="AQ352" s="277"/>
      <c r="AR352" s="277"/>
      <c r="AS352" s="277"/>
      <c r="AT352" s="277"/>
      <c r="AU352" s="277"/>
      <c r="AV352" s="277"/>
      <c r="AW352" s="277"/>
      <c r="AX352" s="277"/>
      <c r="AY352" s="277"/>
      <c r="AZ352" s="277"/>
      <c r="BA352" s="277"/>
      <c r="BB352" s="277"/>
      <c r="BC352" s="277"/>
      <c r="BD352" s="277"/>
      <c r="BE352" s="277"/>
      <c r="BF352" s="277"/>
      <c r="BG352" s="276"/>
    </row>
    <row r="353" spans="1:59" ht="21" customHeight="1">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c r="AA353" s="276"/>
      <c r="AB353" s="276"/>
      <c r="AC353" s="276"/>
      <c r="AD353" s="276"/>
      <c r="AE353" s="276"/>
      <c r="AF353" s="276"/>
      <c r="AG353" s="277"/>
      <c r="AH353" s="277"/>
      <c r="AI353" s="277"/>
      <c r="AJ353" s="277"/>
      <c r="AK353" s="277"/>
      <c r="AL353" s="277"/>
      <c r="AM353" s="277"/>
      <c r="AN353" s="277"/>
      <c r="AO353" s="277"/>
      <c r="AP353" s="277"/>
      <c r="AQ353" s="277"/>
      <c r="AR353" s="277"/>
      <c r="AS353" s="277"/>
      <c r="AT353" s="277"/>
      <c r="AU353" s="277"/>
      <c r="AV353" s="277"/>
      <c r="AW353" s="277"/>
      <c r="AX353" s="277"/>
      <c r="AY353" s="277"/>
      <c r="AZ353" s="277"/>
      <c r="BA353" s="277"/>
      <c r="BB353" s="277"/>
      <c r="BC353" s="277"/>
      <c r="BD353" s="277"/>
      <c r="BE353" s="277"/>
      <c r="BF353" s="277"/>
      <c r="BG353" s="276"/>
    </row>
    <row r="354" spans="1:59" ht="21" customHeight="1">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c r="AA354" s="276"/>
      <c r="AB354" s="276"/>
      <c r="AC354" s="276"/>
      <c r="AD354" s="276"/>
      <c r="AE354" s="276"/>
      <c r="AF354" s="276"/>
      <c r="AG354" s="277"/>
      <c r="AH354" s="277"/>
      <c r="AI354" s="277"/>
      <c r="AJ354" s="277"/>
      <c r="AK354" s="277"/>
      <c r="AL354" s="277"/>
      <c r="AM354" s="277"/>
      <c r="AN354" s="277"/>
      <c r="AO354" s="277"/>
      <c r="AP354" s="277"/>
      <c r="AQ354" s="277"/>
      <c r="AR354" s="277"/>
      <c r="AS354" s="277"/>
      <c r="AT354" s="277"/>
      <c r="AU354" s="277"/>
      <c r="AV354" s="277"/>
      <c r="AW354" s="277"/>
      <c r="AX354" s="277"/>
      <c r="AY354" s="277"/>
      <c r="AZ354" s="277"/>
      <c r="BA354" s="277"/>
      <c r="BB354" s="277"/>
      <c r="BC354" s="277"/>
      <c r="BD354" s="277"/>
      <c r="BE354" s="277"/>
      <c r="BF354" s="277"/>
      <c r="BG354" s="276"/>
    </row>
    <row r="355" spans="1:59" ht="21" customHeight="1">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c r="AA355" s="276"/>
      <c r="AB355" s="276"/>
      <c r="AC355" s="276"/>
      <c r="AD355" s="276"/>
      <c r="AE355" s="276"/>
      <c r="AF355" s="276"/>
      <c r="AG355" s="277"/>
      <c r="AH355" s="277"/>
      <c r="AI355" s="277"/>
      <c r="AJ355" s="277"/>
      <c r="AK355" s="277"/>
      <c r="AL355" s="277"/>
      <c r="AM355" s="277"/>
      <c r="AN355" s="277"/>
      <c r="AO355" s="277"/>
      <c r="AP355" s="277"/>
      <c r="AQ355" s="277"/>
      <c r="AR355" s="277"/>
      <c r="AS355" s="277"/>
      <c r="AT355" s="277"/>
      <c r="AU355" s="277"/>
      <c r="AV355" s="277"/>
      <c r="AW355" s="277"/>
      <c r="AX355" s="277"/>
      <c r="AY355" s="277"/>
      <c r="AZ355" s="277"/>
      <c r="BA355" s="277"/>
      <c r="BB355" s="277"/>
      <c r="BC355" s="277"/>
      <c r="BD355" s="277"/>
      <c r="BE355" s="277"/>
      <c r="BF355" s="277"/>
      <c r="BG355" s="276"/>
    </row>
    <row r="356" spans="1:59" ht="20.100000000000001" customHeight="1">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c r="AA356" s="276"/>
      <c r="AB356" s="276"/>
      <c r="AC356" s="276"/>
      <c r="AD356" s="276"/>
      <c r="AE356" s="276"/>
      <c r="AF356" s="276"/>
      <c r="AG356" s="277"/>
      <c r="AH356" s="277"/>
      <c r="AI356" s="277"/>
      <c r="AJ356" s="277"/>
      <c r="AK356" s="277"/>
      <c r="AL356" s="277"/>
      <c r="AM356" s="277"/>
      <c r="AN356" s="277"/>
      <c r="AO356" s="277"/>
      <c r="AP356" s="277"/>
      <c r="AQ356" s="277"/>
      <c r="AR356" s="277"/>
      <c r="AS356" s="277"/>
      <c r="AT356" s="277"/>
      <c r="AU356" s="277"/>
      <c r="AV356" s="277"/>
      <c r="AW356" s="277"/>
      <c r="AX356" s="277"/>
      <c r="AY356" s="277"/>
      <c r="AZ356" s="277"/>
      <c r="BA356" s="277"/>
      <c r="BB356" s="277"/>
      <c r="BC356" s="277"/>
      <c r="BD356" s="277"/>
      <c r="BE356" s="277"/>
      <c r="BF356" s="277"/>
      <c r="BG356" s="276"/>
    </row>
    <row r="357" spans="1:59">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c r="AA357" s="276"/>
      <c r="AB357" s="276"/>
      <c r="AC357" s="276"/>
      <c r="AD357" s="276"/>
      <c r="AE357" s="276"/>
      <c r="AF357" s="276"/>
      <c r="AG357" s="277"/>
      <c r="AH357" s="277"/>
      <c r="AI357" s="277"/>
      <c r="AJ357" s="277"/>
      <c r="AK357" s="277"/>
      <c r="AL357" s="277"/>
      <c r="AM357" s="277"/>
      <c r="AN357" s="277"/>
      <c r="AO357" s="277"/>
      <c r="AP357" s="277"/>
      <c r="AQ357" s="277"/>
      <c r="AR357" s="277"/>
      <c r="AS357" s="277"/>
      <c r="AT357" s="277"/>
      <c r="AU357" s="277"/>
      <c r="AV357" s="277"/>
      <c r="AW357" s="277"/>
      <c r="AX357" s="277"/>
      <c r="AY357" s="277"/>
      <c r="AZ357" s="277"/>
      <c r="BA357" s="277"/>
      <c r="BB357" s="277"/>
      <c r="BC357" s="277"/>
      <c r="BD357" s="277"/>
      <c r="BE357" s="277"/>
      <c r="BF357" s="277"/>
      <c r="BG357" s="276"/>
    </row>
    <row r="358" spans="1:59">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c r="AA358" s="276"/>
      <c r="AB358" s="276"/>
      <c r="AC358" s="276"/>
      <c r="AD358" s="276"/>
      <c r="AE358" s="276"/>
      <c r="AF358" s="276"/>
      <c r="AG358" s="277"/>
      <c r="AH358" s="277"/>
      <c r="AI358" s="277"/>
      <c r="AJ358" s="277"/>
      <c r="AK358" s="277"/>
      <c r="AL358" s="277"/>
      <c r="AM358" s="277"/>
      <c r="AN358" s="277"/>
      <c r="AO358" s="277"/>
      <c r="AP358" s="277"/>
      <c r="AQ358" s="277"/>
      <c r="AR358" s="277"/>
      <c r="AS358" s="277"/>
      <c r="AT358" s="277"/>
      <c r="AU358" s="277"/>
      <c r="AV358" s="277"/>
      <c r="AW358" s="277"/>
      <c r="AX358" s="277"/>
      <c r="AY358" s="277"/>
      <c r="AZ358" s="277"/>
      <c r="BA358" s="277"/>
      <c r="BB358" s="277"/>
      <c r="BC358" s="277"/>
      <c r="BD358" s="277"/>
      <c r="BE358" s="277"/>
      <c r="BF358" s="277"/>
      <c r="BG358" s="276"/>
    </row>
    <row r="359" spans="1:59">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c r="AA359" s="276"/>
      <c r="AB359" s="276"/>
      <c r="AC359" s="276"/>
      <c r="AD359" s="276"/>
      <c r="AE359" s="276"/>
      <c r="AF359" s="276"/>
      <c r="AG359" s="277"/>
      <c r="AH359" s="277"/>
      <c r="AI359" s="277"/>
      <c r="AJ359" s="277"/>
      <c r="AK359" s="277"/>
      <c r="AL359" s="277"/>
      <c r="AM359" s="277"/>
      <c r="AN359" s="277"/>
      <c r="AO359" s="277"/>
      <c r="AP359" s="277"/>
      <c r="AQ359" s="277"/>
      <c r="AR359" s="277"/>
      <c r="AS359" s="277"/>
      <c r="AT359" s="277"/>
      <c r="AU359" s="277"/>
      <c r="AV359" s="277"/>
      <c r="AW359" s="277"/>
      <c r="AX359" s="277"/>
      <c r="AY359" s="277"/>
      <c r="AZ359" s="277"/>
      <c r="BA359" s="277"/>
      <c r="BB359" s="277"/>
      <c r="BC359" s="277"/>
      <c r="BD359" s="277"/>
      <c r="BE359" s="277"/>
      <c r="BF359" s="277"/>
      <c r="BG359" s="276"/>
    </row>
    <row r="360" spans="1:59">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c r="AA360" s="276"/>
      <c r="AB360" s="276"/>
      <c r="AC360" s="276"/>
      <c r="AD360" s="276"/>
      <c r="AE360" s="276"/>
      <c r="AF360" s="276"/>
      <c r="AG360" s="277"/>
      <c r="AH360" s="277"/>
      <c r="AI360" s="277"/>
      <c r="AJ360" s="277"/>
      <c r="AK360" s="277"/>
      <c r="AL360" s="277"/>
      <c r="AM360" s="277"/>
      <c r="AN360" s="277"/>
      <c r="AO360" s="277"/>
      <c r="AP360" s="277"/>
      <c r="AQ360" s="277"/>
      <c r="AR360" s="277"/>
      <c r="AS360" s="277"/>
      <c r="AT360" s="277"/>
      <c r="AU360" s="277"/>
      <c r="AV360" s="277"/>
      <c r="AW360" s="277"/>
      <c r="AX360" s="277"/>
      <c r="AY360" s="277"/>
      <c r="AZ360" s="277"/>
      <c r="BA360" s="277"/>
      <c r="BB360" s="277"/>
      <c r="BC360" s="277"/>
      <c r="BD360" s="277"/>
      <c r="BE360" s="277"/>
      <c r="BF360" s="277"/>
      <c r="BG360" s="276"/>
    </row>
    <row r="361" spans="1:59">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c r="AA361" s="276"/>
      <c r="AB361" s="276"/>
      <c r="AC361" s="276"/>
      <c r="AD361" s="276"/>
      <c r="AE361" s="276"/>
      <c r="AF361" s="276"/>
      <c r="AG361" s="277"/>
      <c r="AH361" s="277"/>
      <c r="AI361" s="277"/>
      <c r="AJ361" s="277"/>
      <c r="AK361" s="277"/>
      <c r="AL361" s="277"/>
      <c r="AM361" s="277"/>
      <c r="AN361" s="277"/>
      <c r="AO361" s="277"/>
      <c r="AP361" s="277"/>
      <c r="AQ361" s="277"/>
      <c r="AR361" s="277"/>
      <c r="AS361" s="277"/>
      <c r="AT361" s="277"/>
      <c r="AU361" s="277"/>
      <c r="AV361" s="277"/>
      <c r="AW361" s="277"/>
      <c r="AX361" s="277"/>
      <c r="AY361" s="277"/>
      <c r="AZ361" s="277"/>
      <c r="BA361" s="277"/>
      <c r="BB361" s="277"/>
      <c r="BC361" s="277"/>
      <c r="BD361" s="277"/>
      <c r="BE361" s="277"/>
      <c r="BF361" s="277"/>
      <c r="BG361" s="276"/>
    </row>
    <row r="362" spans="1:59">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c r="AA362" s="276"/>
      <c r="AB362" s="276"/>
      <c r="AC362" s="276"/>
      <c r="AD362" s="276"/>
      <c r="AE362" s="276"/>
      <c r="AF362" s="276"/>
      <c r="AG362" s="277"/>
      <c r="AH362" s="277"/>
      <c r="AI362" s="277"/>
      <c r="AJ362" s="277"/>
      <c r="AK362" s="277"/>
      <c r="AL362" s="277"/>
      <c r="AM362" s="277"/>
      <c r="AN362" s="277"/>
      <c r="AO362" s="277"/>
      <c r="AP362" s="277"/>
      <c r="AQ362" s="277"/>
      <c r="AR362" s="277"/>
      <c r="AS362" s="277"/>
      <c r="AT362" s="277"/>
      <c r="AU362" s="277"/>
      <c r="AV362" s="277"/>
      <c r="AW362" s="277"/>
      <c r="AX362" s="277"/>
      <c r="AY362" s="277"/>
      <c r="AZ362" s="277"/>
      <c r="BA362" s="277"/>
      <c r="BB362" s="277"/>
      <c r="BC362" s="277"/>
      <c r="BD362" s="277"/>
      <c r="BE362" s="277"/>
      <c r="BF362" s="277"/>
      <c r="BG362" s="276"/>
    </row>
    <row r="363" spans="1:59">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c r="AA363" s="276"/>
      <c r="AB363" s="276"/>
      <c r="AC363" s="276"/>
      <c r="AD363" s="276"/>
      <c r="AE363" s="276"/>
      <c r="AF363" s="276"/>
      <c r="AG363" s="277"/>
      <c r="AH363" s="277"/>
      <c r="AI363" s="277"/>
      <c r="AJ363" s="277"/>
      <c r="AK363" s="277"/>
      <c r="AL363" s="277"/>
      <c r="AM363" s="277"/>
      <c r="AN363" s="277"/>
      <c r="AO363" s="277"/>
      <c r="AP363" s="277"/>
      <c r="AQ363" s="277"/>
      <c r="AR363" s="277"/>
      <c r="AS363" s="277"/>
      <c r="AT363" s="277"/>
      <c r="AU363" s="277"/>
      <c r="AV363" s="277"/>
      <c r="AW363" s="277"/>
      <c r="AX363" s="277"/>
      <c r="AY363" s="277"/>
      <c r="AZ363" s="277"/>
      <c r="BA363" s="277"/>
      <c r="BB363" s="277"/>
      <c r="BC363" s="277"/>
      <c r="BD363" s="277"/>
      <c r="BE363" s="277"/>
      <c r="BF363" s="277"/>
      <c r="BG363" s="276"/>
    </row>
    <row r="364" spans="1:59">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c r="AA364" s="276"/>
      <c r="AB364" s="276"/>
      <c r="AC364" s="276"/>
      <c r="AD364" s="276"/>
      <c r="AE364" s="276"/>
      <c r="AF364" s="276"/>
      <c r="AG364" s="277"/>
      <c r="AH364" s="277"/>
      <c r="AI364" s="277"/>
      <c r="AJ364" s="277"/>
      <c r="AK364" s="277"/>
      <c r="AL364" s="277"/>
      <c r="AM364" s="277"/>
      <c r="AN364" s="277"/>
      <c r="AO364" s="277"/>
      <c r="AP364" s="277"/>
      <c r="AQ364" s="277"/>
      <c r="AR364" s="277"/>
      <c r="AS364" s="277"/>
      <c r="AT364" s="277"/>
      <c r="AU364" s="277"/>
      <c r="AV364" s="277"/>
      <c r="AW364" s="277"/>
      <c r="AX364" s="277"/>
      <c r="AY364" s="277"/>
      <c r="AZ364" s="277"/>
      <c r="BA364" s="277"/>
      <c r="BB364" s="277"/>
      <c r="BC364" s="277"/>
      <c r="BD364" s="277"/>
      <c r="BE364" s="277"/>
      <c r="BF364" s="277"/>
      <c r="BG364" s="276"/>
    </row>
    <row r="365" spans="1:59">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c r="AA365" s="276"/>
      <c r="AB365" s="276"/>
      <c r="AC365" s="276"/>
      <c r="AD365" s="276"/>
      <c r="AE365" s="276"/>
      <c r="AF365" s="276"/>
      <c r="AG365" s="277"/>
      <c r="AH365" s="277"/>
      <c r="AI365" s="277"/>
      <c r="AJ365" s="277"/>
      <c r="AK365" s="277"/>
      <c r="AL365" s="277"/>
      <c r="AM365" s="277"/>
      <c r="AN365" s="277"/>
      <c r="AO365" s="277"/>
      <c r="AP365" s="277"/>
      <c r="AQ365" s="277"/>
      <c r="AR365" s="277"/>
      <c r="AS365" s="277"/>
      <c r="AT365" s="277"/>
      <c r="AU365" s="277"/>
      <c r="AV365" s="277"/>
      <c r="AW365" s="277"/>
      <c r="AX365" s="277"/>
      <c r="AY365" s="277"/>
      <c r="AZ365" s="277"/>
      <c r="BA365" s="277"/>
      <c r="BB365" s="277"/>
      <c r="BC365" s="277"/>
      <c r="BD365" s="277"/>
      <c r="BE365" s="277"/>
      <c r="BF365" s="277"/>
      <c r="BG365" s="276"/>
    </row>
    <row r="366" spans="1:59">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c r="AA366" s="276"/>
      <c r="AB366" s="276"/>
      <c r="AC366" s="276"/>
      <c r="AD366" s="276"/>
      <c r="AE366" s="276"/>
      <c r="AF366" s="276"/>
      <c r="AG366" s="277"/>
      <c r="AH366" s="277"/>
      <c r="AI366" s="277"/>
      <c r="AJ366" s="277"/>
      <c r="AK366" s="277"/>
      <c r="AL366" s="277"/>
      <c r="AM366" s="277"/>
      <c r="AN366" s="277"/>
      <c r="AO366" s="277"/>
      <c r="AP366" s="277"/>
      <c r="AQ366" s="277"/>
      <c r="AR366" s="277"/>
      <c r="AS366" s="277"/>
      <c r="AT366" s="277"/>
      <c r="AU366" s="277"/>
      <c r="AV366" s="277"/>
      <c r="AW366" s="277"/>
      <c r="AX366" s="277"/>
      <c r="AY366" s="277"/>
      <c r="AZ366" s="277"/>
      <c r="BA366" s="277"/>
      <c r="BB366" s="277"/>
      <c r="BC366" s="277"/>
      <c r="BD366" s="277"/>
      <c r="BE366" s="277"/>
      <c r="BF366" s="277"/>
      <c r="BG366" s="276"/>
    </row>
    <row r="367" spans="1:59">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c r="AA367" s="276"/>
      <c r="AB367" s="276"/>
      <c r="AC367" s="276"/>
      <c r="AD367" s="276"/>
      <c r="AE367" s="276"/>
      <c r="AF367" s="276"/>
      <c r="AG367" s="277"/>
      <c r="AH367" s="277"/>
      <c r="AI367" s="277"/>
      <c r="AJ367" s="277"/>
      <c r="AK367" s="277"/>
      <c r="AL367" s="277"/>
      <c r="AM367" s="277"/>
      <c r="AN367" s="277"/>
      <c r="AO367" s="277"/>
      <c r="AP367" s="277"/>
      <c r="AQ367" s="277"/>
      <c r="AR367" s="277"/>
      <c r="AS367" s="277"/>
      <c r="AT367" s="277"/>
      <c r="AU367" s="277"/>
      <c r="AV367" s="277"/>
      <c r="AW367" s="277"/>
      <c r="AX367" s="277"/>
      <c r="AY367" s="277"/>
      <c r="AZ367" s="277"/>
      <c r="BA367" s="277"/>
      <c r="BB367" s="277"/>
      <c r="BC367" s="277"/>
      <c r="BD367" s="277"/>
      <c r="BE367" s="277"/>
      <c r="BF367" s="277"/>
      <c r="BG367" s="276"/>
    </row>
    <row r="368" spans="1:59">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c r="AA368" s="276"/>
      <c r="AB368" s="276"/>
      <c r="AC368" s="276"/>
      <c r="AD368" s="276"/>
      <c r="AE368" s="276"/>
      <c r="AF368" s="276"/>
      <c r="AG368" s="277"/>
      <c r="AH368" s="277"/>
      <c r="AI368" s="277"/>
      <c r="AJ368" s="277"/>
      <c r="AK368" s="277"/>
      <c r="AL368" s="277"/>
      <c r="AM368" s="277"/>
      <c r="AN368" s="277"/>
      <c r="AO368" s="277"/>
      <c r="AP368" s="277"/>
      <c r="AQ368" s="277"/>
      <c r="AR368" s="277"/>
      <c r="AS368" s="277"/>
      <c r="AT368" s="277"/>
      <c r="AU368" s="277"/>
      <c r="AV368" s="277"/>
      <c r="AW368" s="277"/>
      <c r="AX368" s="277"/>
      <c r="AY368" s="277"/>
      <c r="AZ368" s="277"/>
      <c r="BA368" s="277"/>
      <c r="BB368" s="277"/>
      <c r="BC368" s="277"/>
      <c r="BD368" s="277"/>
      <c r="BE368" s="277"/>
      <c r="BF368" s="277"/>
      <c r="BG368" s="276"/>
    </row>
    <row r="369" spans="1:59">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c r="AA369" s="276"/>
      <c r="AB369" s="276"/>
      <c r="AC369" s="276"/>
      <c r="AD369" s="276"/>
      <c r="AE369" s="276"/>
      <c r="AF369" s="276"/>
      <c r="AG369" s="277"/>
      <c r="AH369" s="277"/>
      <c r="AI369" s="277"/>
      <c r="AJ369" s="277"/>
      <c r="AK369" s="277"/>
      <c r="AL369" s="277"/>
      <c r="AM369" s="277"/>
      <c r="AN369" s="277"/>
      <c r="AO369" s="277"/>
      <c r="AP369" s="277"/>
      <c r="AQ369" s="277"/>
      <c r="AR369" s="277"/>
      <c r="AS369" s="277"/>
      <c r="AT369" s="277"/>
      <c r="AU369" s="277"/>
      <c r="AV369" s="277"/>
      <c r="AW369" s="277"/>
      <c r="AX369" s="277"/>
      <c r="AY369" s="277"/>
      <c r="AZ369" s="277"/>
      <c r="BA369" s="277"/>
      <c r="BB369" s="277"/>
      <c r="BC369" s="277"/>
      <c r="BD369" s="277"/>
      <c r="BE369" s="277"/>
      <c r="BF369" s="277"/>
      <c r="BG369" s="276"/>
    </row>
    <row r="370" spans="1:59">
      <c r="A370" s="276"/>
      <c r="B370" s="276"/>
      <c r="C370" s="276"/>
      <c r="D370" s="276"/>
      <c r="E370" s="276"/>
      <c r="F370" s="276"/>
      <c r="G370" s="276" t="s">
        <v>420</v>
      </c>
      <c r="H370" s="276"/>
      <c r="I370" s="276"/>
      <c r="J370" s="276"/>
      <c r="K370" s="276"/>
      <c r="L370" s="276"/>
      <c r="M370" s="276"/>
      <c r="N370" s="276"/>
      <c r="O370" s="276"/>
      <c r="P370" s="276"/>
      <c r="Q370" s="276"/>
      <c r="R370" s="276"/>
      <c r="S370" s="276"/>
      <c r="T370" s="276"/>
      <c r="U370" s="276"/>
      <c r="V370" s="276"/>
      <c r="W370" s="276"/>
      <c r="X370" s="276"/>
      <c r="Y370" s="276"/>
      <c r="Z370" s="276"/>
      <c r="AA370" s="276"/>
      <c r="AB370" s="276"/>
      <c r="AC370" s="276"/>
      <c r="AD370" s="276"/>
      <c r="AE370" s="276"/>
      <c r="AF370" s="276"/>
      <c r="AG370" s="277"/>
      <c r="AH370" s="277"/>
      <c r="AI370" s="277"/>
      <c r="AJ370" s="277"/>
      <c r="AK370" s="277"/>
      <c r="AL370" s="277"/>
      <c r="AM370" s="277"/>
      <c r="AN370" s="277"/>
      <c r="AO370" s="277"/>
      <c r="AP370" s="277"/>
      <c r="AQ370" s="277"/>
      <c r="AR370" s="277"/>
      <c r="AS370" s="277"/>
      <c r="AT370" s="277"/>
      <c r="AU370" s="277"/>
      <c r="AV370" s="277"/>
      <c r="AW370" s="277"/>
      <c r="AX370" s="277"/>
      <c r="AY370" s="277"/>
      <c r="AZ370" s="277"/>
      <c r="BA370" s="277"/>
      <c r="BB370" s="277"/>
      <c r="BC370" s="277"/>
      <c r="BD370" s="277"/>
      <c r="BE370" s="277"/>
      <c r="BF370" s="277"/>
      <c r="BG370" s="276"/>
    </row>
    <row r="371" spans="1:59">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c r="AA371" s="276"/>
      <c r="AB371" s="276"/>
      <c r="AC371" s="276"/>
      <c r="AD371" s="276"/>
      <c r="AE371" s="276"/>
      <c r="AF371" s="276"/>
      <c r="AG371" s="277"/>
      <c r="AH371" s="277"/>
      <c r="AI371" s="277"/>
      <c r="AJ371" s="277"/>
      <c r="AK371" s="277"/>
      <c r="AL371" s="277"/>
      <c r="AM371" s="277"/>
      <c r="AN371" s="277"/>
      <c r="AO371" s="277"/>
      <c r="AP371" s="277"/>
      <c r="AQ371" s="277"/>
      <c r="AR371" s="277"/>
      <c r="AS371" s="277"/>
      <c r="AT371" s="277"/>
      <c r="AU371" s="277"/>
      <c r="AV371" s="277"/>
      <c r="AW371" s="277"/>
      <c r="AX371" s="277"/>
      <c r="AY371" s="277"/>
      <c r="AZ371" s="277"/>
      <c r="BA371" s="277"/>
      <c r="BB371" s="277"/>
      <c r="BC371" s="277"/>
      <c r="BD371" s="277"/>
      <c r="BE371" s="277"/>
      <c r="BF371" s="277"/>
      <c r="BG371" s="276"/>
    </row>
    <row r="372" spans="1:59">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c r="AA372" s="276"/>
      <c r="AB372" s="276"/>
      <c r="AC372" s="276"/>
      <c r="AD372" s="276"/>
      <c r="AE372" s="276"/>
      <c r="AF372" s="276"/>
      <c r="AG372" s="277"/>
      <c r="AH372" s="277"/>
      <c r="AI372" s="277"/>
      <c r="AJ372" s="277"/>
      <c r="AK372" s="277"/>
      <c r="AL372" s="277"/>
      <c r="AM372" s="277"/>
      <c r="AN372" s="277"/>
      <c r="AO372" s="277"/>
      <c r="AP372" s="277"/>
      <c r="AQ372" s="277"/>
      <c r="AR372" s="277"/>
      <c r="AS372" s="277"/>
      <c r="AT372" s="277"/>
      <c r="AU372" s="277"/>
      <c r="AV372" s="277"/>
      <c r="AW372" s="277"/>
      <c r="AX372" s="277"/>
      <c r="AY372" s="277"/>
      <c r="AZ372" s="277"/>
      <c r="BA372" s="277"/>
      <c r="BB372" s="277"/>
      <c r="BC372" s="277"/>
      <c r="BD372" s="277"/>
      <c r="BE372" s="277"/>
      <c r="BF372" s="277"/>
      <c r="BG372" s="276"/>
    </row>
    <row r="373" spans="1:59">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c r="AA373" s="276"/>
      <c r="AB373" s="276"/>
      <c r="AC373" s="276"/>
      <c r="AD373" s="276"/>
      <c r="AE373" s="276"/>
      <c r="AF373" s="276"/>
      <c r="AG373" s="277"/>
      <c r="AH373" s="277"/>
      <c r="AI373" s="277"/>
      <c r="AJ373" s="277"/>
      <c r="AK373" s="277"/>
      <c r="AL373" s="277"/>
      <c r="AM373" s="277"/>
      <c r="AN373" s="277"/>
      <c r="AO373" s="277"/>
      <c r="AP373" s="277"/>
      <c r="AQ373" s="277"/>
      <c r="AR373" s="277"/>
      <c r="AS373" s="277"/>
      <c r="AT373" s="277"/>
      <c r="AU373" s="277"/>
      <c r="AV373" s="277"/>
      <c r="AW373" s="277"/>
      <c r="AX373" s="277"/>
      <c r="AY373" s="277"/>
      <c r="AZ373" s="277"/>
      <c r="BA373" s="277"/>
      <c r="BB373" s="277"/>
      <c r="BC373" s="277"/>
      <c r="BD373" s="277"/>
      <c r="BE373" s="277"/>
      <c r="BF373" s="277"/>
      <c r="BG373" s="276"/>
    </row>
    <row r="374" spans="1:59">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c r="AA374" s="276"/>
      <c r="AB374" s="276"/>
      <c r="AC374" s="276"/>
      <c r="AD374" s="276"/>
      <c r="AE374" s="276"/>
      <c r="AF374" s="276"/>
      <c r="AG374" s="277"/>
      <c r="AH374" s="277"/>
      <c r="AI374" s="277"/>
      <c r="AJ374" s="277"/>
      <c r="AK374" s="277"/>
      <c r="AL374" s="277"/>
      <c r="AM374" s="277"/>
      <c r="AN374" s="277"/>
      <c r="AO374" s="277"/>
      <c r="AP374" s="277"/>
      <c r="AQ374" s="277"/>
      <c r="AR374" s="277"/>
      <c r="AS374" s="277"/>
      <c r="AT374" s="277"/>
      <c r="AU374" s="277"/>
      <c r="AV374" s="277"/>
      <c r="AW374" s="277"/>
      <c r="AX374" s="277"/>
      <c r="AY374" s="277"/>
      <c r="AZ374" s="277"/>
      <c r="BA374" s="277"/>
      <c r="BB374" s="277"/>
      <c r="BC374" s="277"/>
      <c r="BD374" s="277"/>
      <c r="BE374" s="277"/>
      <c r="BF374" s="277"/>
      <c r="BG374" s="276"/>
    </row>
    <row r="375" spans="1:59">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c r="AA375" s="276"/>
      <c r="AB375" s="276"/>
      <c r="AC375" s="276"/>
      <c r="AD375" s="276"/>
      <c r="AE375" s="276"/>
      <c r="AF375" s="276"/>
      <c r="AG375" s="277"/>
      <c r="AH375" s="277"/>
      <c r="AI375" s="277"/>
      <c r="AJ375" s="277"/>
      <c r="AK375" s="277"/>
      <c r="AL375" s="277"/>
      <c r="AM375" s="277"/>
      <c r="AN375" s="277"/>
      <c r="AO375" s="277"/>
      <c r="AP375" s="277"/>
      <c r="AQ375" s="277"/>
      <c r="AR375" s="277"/>
      <c r="AS375" s="277"/>
      <c r="AT375" s="277"/>
      <c r="AU375" s="277"/>
      <c r="AV375" s="277"/>
      <c r="AW375" s="277"/>
      <c r="AX375" s="277"/>
      <c r="AY375" s="277"/>
      <c r="AZ375" s="277"/>
      <c r="BA375" s="277"/>
      <c r="BB375" s="277"/>
      <c r="BC375" s="277"/>
      <c r="BD375" s="277"/>
      <c r="BE375" s="277"/>
      <c r="BF375" s="277"/>
      <c r="BG375" s="276"/>
    </row>
    <row r="376" spans="1:59">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c r="AA376" s="276"/>
      <c r="AB376" s="276"/>
      <c r="AC376" s="276"/>
      <c r="AD376" s="276"/>
      <c r="AE376" s="276"/>
      <c r="AF376" s="276"/>
      <c r="AG376" s="277"/>
      <c r="AH376" s="277"/>
      <c r="AI376" s="277"/>
      <c r="AJ376" s="277"/>
      <c r="AK376" s="277"/>
      <c r="AL376" s="277"/>
      <c r="AM376" s="277"/>
      <c r="AN376" s="277"/>
      <c r="AO376" s="277"/>
      <c r="AP376" s="277"/>
      <c r="AQ376" s="277"/>
      <c r="AR376" s="277"/>
      <c r="AS376" s="277"/>
      <c r="AT376" s="277"/>
      <c r="AU376" s="277"/>
      <c r="AV376" s="277"/>
      <c r="AW376" s="277"/>
      <c r="AX376" s="277"/>
      <c r="AY376" s="277"/>
      <c r="AZ376" s="277"/>
      <c r="BA376" s="277"/>
      <c r="BB376" s="277"/>
      <c r="BC376" s="277"/>
      <c r="BD376" s="277"/>
      <c r="BE376" s="277"/>
      <c r="BF376" s="277"/>
      <c r="BG376" s="276"/>
    </row>
    <row r="377" spans="1:59">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c r="AA377" s="276"/>
      <c r="AB377" s="276"/>
      <c r="AC377" s="276"/>
      <c r="AD377" s="276"/>
      <c r="AE377" s="276"/>
      <c r="AF377" s="276"/>
      <c r="AG377" s="277"/>
      <c r="AH377" s="277"/>
      <c r="AI377" s="277"/>
      <c r="AJ377" s="277"/>
      <c r="AK377" s="277"/>
      <c r="AL377" s="277"/>
      <c r="AM377" s="277"/>
      <c r="AN377" s="277"/>
      <c r="AO377" s="277"/>
      <c r="AP377" s="277"/>
      <c r="AQ377" s="277"/>
      <c r="AR377" s="277"/>
      <c r="AS377" s="277"/>
      <c r="AT377" s="277"/>
      <c r="AU377" s="277"/>
      <c r="AV377" s="277"/>
      <c r="AW377" s="277"/>
      <c r="AX377" s="277"/>
      <c r="AY377" s="277"/>
      <c r="AZ377" s="277"/>
      <c r="BA377" s="277"/>
      <c r="BB377" s="277"/>
      <c r="BC377" s="277"/>
      <c r="BD377" s="277"/>
      <c r="BE377" s="277"/>
      <c r="BF377" s="277"/>
      <c r="BG377" s="276"/>
    </row>
    <row r="378" spans="1:59">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c r="AA378" s="276"/>
      <c r="AB378" s="276"/>
      <c r="AC378" s="276"/>
      <c r="AD378" s="276"/>
      <c r="AE378" s="276"/>
      <c r="AF378" s="276"/>
      <c r="AG378" s="277"/>
      <c r="AH378" s="277"/>
      <c r="AI378" s="277"/>
      <c r="AJ378" s="277"/>
      <c r="AK378" s="277"/>
      <c r="AL378" s="277"/>
      <c r="AM378" s="277"/>
      <c r="AN378" s="277"/>
      <c r="AO378" s="277"/>
      <c r="AP378" s="277"/>
      <c r="AQ378" s="277"/>
      <c r="AR378" s="277"/>
      <c r="AS378" s="277"/>
      <c r="AT378" s="277"/>
      <c r="AU378" s="277"/>
      <c r="AV378" s="277"/>
      <c r="AW378" s="277"/>
      <c r="AX378" s="277"/>
      <c r="AY378" s="277"/>
      <c r="AZ378" s="277"/>
      <c r="BA378" s="277"/>
      <c r="BB378" s="277"/>
      <c r="BC378" s="277"/>
      <c r="BD378" s="277"/>
      <c r="BE378" s="277"/>
      <c r="BF378" s="277"/>
      <c r="BG378" s="276"/>
    </row>
    <row r="379" spans="1:59">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c r="AA379" s="276"/>
      <c r="AB379" s="276"/>
      <c r="AC379" s="276"/>
      <c r="AD379" s="276"/>
      <c r="AE379" s="276"/>
      <c r="AF379" s="276"/>
      <c r="AG379" s="277"/>
      <c r="AH379" s="277"/>
      <c r="AI379" s="277"/>
      <c r="AJ379" s="277"/>
      <c r="AK379" s="277"/>
      <c r="AL379" s="277"/>
      <c r="AM379" s="277"/>
      <c r="AN379" s="277"/>
      <c r="AO379" s="277"/>
      <c r="AP379" s="277"/>
      <c r="AQ379" s="277"/>
      <c r="AR379" s="277"/>
      <c r="AS379" s="277"/>
      <c r="AT379" s="277"/>
      <c r="AU379" s="277"/>
      <c r="AV379" s="277"/>
      <c r="AW379" s="277"/>
      <c r="AX379" s="277"/>
      <c r="AY379" s="277"/>
      <c r="AZ379" s="277"/>
      <c r="BA379" s="277"/>
      <c r="BB379" s="277"/>
      <c r="BC379" s="277"/>
      <c r="BD379" s="277"/>
      <c r="BE379" s="277"/>
      <c r="BF379" s="277"/>
      <c r="BG379" s="276"/>
    </row>
    <row r="380" spans="1:59">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c r="AA380" s="276"/>
      <c r="AB380" s="276"/>
      <c r="AC380" s="276"/>
      <c r="AD380" s="276"/>
      <c r="AE380" s="276"/>
      <c r="AF380" s="276"/>
      <c r="AG380" s="277"/>
      <c r="AH380" s="277"/>
      <c r="AI380" s="277"/>
      <c r="AJ380" s="277"/>
      <c r="AK380" s="277"/>
      <c r="AL380" s="277"/>
      <c r="AM380" s="277"/>
      <c r="AN380" s="277"/>
      <c r="AO380" s="277"/>
      <c r="AP380" s="277"/>
      <c r="AQ380" s="277"/>
      <c r="AR380" s="277"/>
      <c r="AS380" s="277"/>
      <c r="AT380" s="277"/>
      <c r="AU380" s="277"/>
      <c r="AV380" s="277"/>
      <c r="AW380" s="277"/>
      <c r="AX380" s="277"/>
      <c r="AY380" s="277"/>
      <c r="AZ380" s="277"/>
      <c r="BA380" s="277"/>
      <c r="BB380" s="277"/>
      <c r="BC380" s="277"/>
      <c r="BD380" s="277"/>
      <c r="BE380" s="277"/>
      <c r="BF380" s="277"/>
      <c r="BG380" s="276"/>
    </row>
    <row r="381" spans="1:59">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c r="AA381" s="276"/>
      <c r="AB381" s="276"/>
      <c r="AC381" s="276"/>
      <c r="AD381" s="276"/>
      <c r="AE381" s="276"/>
      <c r="AF381" s="276"/>
      <c r="AG381" s="277"/>
      <c r="AH381" s="277"/>
      <c r="AI381" s="277"/>
      <c r="AJ381" s="277"/>
      <c r="AK381" s="277"/>
      <c r="AL381" s="277"/>
      <c r="AM381" s="277"/>
      <c r="AN381" s="277"/>
      <c r="AO381" s="277"/>
      <c r="AP381" s="277"/>
      <c r="AQ381" s="277"/>
      <c r="AR381" s="277"/>
      <c r="AS381" s="277"/>
      <c r="AT381" s="277"/>
      <c r="AU381" s="277"/>
      <c r="AV381" s="277"/>
      <c r="AW381" s="277"/>
      <c r="AX381" s="277"/>
      <c r="AY381" s="277"/>
      <c r="AZ381" s="277"/>
      <c r="BA381" s="277"/>
      <c r="BB381" s="277"/>
      <c r="BC381" s="277"/>
      <c r="BD381" s="277"/>
      <c r="BE381" s="277"/>
      <c r="BF381" s="277"/>
      <c r="BG381" s="276"/>
    </row>
    <row r="382" spans="1:59">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c r="AA382" s="276"/>
      <c r="AB382" s="276"/>
      <c r="AC382" s="276"/>
      <c r="AD382" s="276"/>
      <c r="AE382" s="276"/>
      <c r="AF382" s="276"/>
      <c r="AG382" s="277"/>
      <c r="AH382" s="277"/>
      <c r="AI382" s="277"/>
      <c r="AJ382" s="277"/>
      <c r="AK382" s="277"/>
      <c r="AL382" s="277"/>
      <c r="AM382" s="277"/>
      <c r="AN382" s="277"/>
      <c r="AO382" s="277"/>
      <c r="AP382" s="277"/>
      <c r="AQ382" s="277"/>
      <c r="AR382" s="277"/>
      <c r="AS382" s="277"/>
      <c r="AT382" s="277"/>
      <c r="AU382" s="277"/>
      <c r="AV382" s="277"/>
      <c r="AW382" s="277"/>
      <c r="AX382" s="277"/>
      <c r="AY382" s="277"/>
      <c r="AZ382" s="277"/>
      <c r="BA382" s="277"/>
      <c r="BB382" s="277"/>
      <c r="BC382" s="277"/>
      <c r="BD382" s="277"/>
      <c r="BE382" s="277"/>
      <c r="BF382" s="277"/>
      <c r="BG382" s="276"/>
    </row>
    <row r="383" spans="1:59">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c r="AA383" s="276"/>
      <c r="AB383" s="276"/>
      <c r="AC383" s="276"/>
      <c r="AD383" s="276"/>
      <c r="AE383" s="276"/>
      <c r="AF383" s="276"/>
      <c r="AG383" s="277"/>
      <c r="AH383" s="277"/>
      <c r="AI383" s="277"/>
      <c r="AJ383" s="277"/>
      <c r="AK383" s="277"/>
      <c r="AL383" s="277"/>
      <c r="AM383" s="277"/>
      <c r="AN383" s="277"/>
      <c r="AO383" s="277"/>
      <c r="AP383" s="277"/>
      <c r="AQ383" s="277"/>
      <c r="AR383" s="277"/>
      <c r="AS383" s="277"/>
      <c r="AT383" s="277"/>
      <c r="AU383" s="277"/>
      <c r="AV383" s="277"/>
      <c r="AW383" s="277"/>
      <c r="AX383" s="277"/>
      <c r="AY383" s="277"/>
      <c r="AZ383" s="277"/>
      <c r="BA383" s="277"/>
      <c r="BB383" s="277"/>
      <c r="BC383" s="277"/>
      <c r="BD383" s="277"/>
      <c r="BE383" s="277"/>
      <c r="BF383" s="277"/>
      <c r="BG383" s="276"/>
    </row>
    <row r="384" spans="1:59">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c r="AA384" s="276"/>
      <c r="AB384" s="276"/>
      <c r="AC384" s="276"/>
      <c r="AD384" s="276"/>
      <c r="AE384" s="276"/>
      <c r="AF384" s="276"/>
      <c r="AG384" s="277"/>
      <c r="AH384" s="277"/>
      <c r="AI384" s="277"/>
      <c r="AJ384" s="277"/>
      <c r="AK384" s="277"/>
      <c r="AL384" s="277"/>
      <c r="AM384" s="277"/>
      <c r="AN384" s="277"/>
      <c r="AO384" s="277"/>
      <c r="AP384" s="277"/>
      <c r="AQ384" s="277"/>
      <c r="AR384" s="277"/>
      <c r="AS384" s="277"/>
      <c r="AT384" s="277"/>
      <c r="AU384" s="277"/>
      <c r="AV384" s="277"/>
      <c r="AW384" s="277"/>
      <c r="AX384" s="277"/>
      <c r="AY384" s="277"/>
      <c r="AZ384" s="277"/>
      <c r="BA384" s="277"/>
      <c r="BB384" s="277"/>
      <c r="BC384" s="277"/>
      <c r="BD384" s="277"/>
      <c r="BE384" s="277"/>
      <c r="BF384" s="277"/>
      <c r="BG384" s="276"/>
    </row>
    <row r="385" spans="1:59">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c r="AA385" s="276"/>
      <c r="AB385" s="276"/>
      <c r="AC385" s="276"/>
      <c r="AD385" s="276"/>
      <c r="AE385" s="276"/>
      <c r="AF385" s="276"/>
      <c r="AG385" s="277"/>
      <c r="AH385" s="277"/>
      <c r="AI385" s="277"/>
      <c r="AJ385" s="277"/>
      <c r="AK385" s="277"/>
      <c r="AL385" s="277"/>
      <c r="AM385" s="277"/>
      <c r="AN385" s="277"/>
      <c r="AO385" s="277"/>
      <c r="AP385" s="277"/>
      <c r="AQ385" s="277"/>
      <c r="AR385" s="277"/>
      <c r="AS385" s="277"/>
      <c r="AT385" s="277"/>
      <c r="AU385" s="277"/>
      <c r="AV385" s="277"/>
      <c r="AW385" s="277"/>
      <c r="AX385" s="277"/>
      <c r="AY385" s="277"/>
      <c r="AZ385" s="277"/>
      <c r="BA385" s="277"/>
      <c r="BB385" s="277"/>
      <c r="BC385" s="277"/>
      <c r="BD385" s="277"/>
      <c r="BE385" s="277"/>
      <c r="BF385" s="277"/>
      <c r="BG385" s="276"/>
    </row>
    <row r="386" spans="1:59">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c r="AA386" s="276"/>
      <c r="AB386" s="276"/>
      <c r="AC386" s="276"/>
      <c r="AD386" s="276"/>
      <c r="AE386" s="276"/>
      <c r="AF386" s="276"/>
      <c r="AG386" s="277"/>
      <c r="AH386" s="277"/>
      <c r="AI386" s="277"/>
      <c r="AJ386" s="277"/>
      <c r="AK386" s="277"/>
      <c r="AL386" s="277"/>
      <c r="AM386" s="277"/>
      <c r="AN386" s="277"/>
      <c r="AO386" s="277"/>
      <c r="AP386" s="277"/>
      <c r="AQ386" s="277"/>
      <c r="AR386" s="277"/>
      <c r="AS386" s="277"/>
      <c r="AT386" s="277"/>
      <c r="AU386" s="277"/>
      <c r="AV386" s="277"/>
      <c r="AW386" s="277"/>
      <c r="AX386" s="277"/>
      <c r="AY386" s="277"/>
      <c r="AZ386" s="277"/>
      <c r="BA386" s="277"/>
      <c r="BB386" s="277"/>
      <c r="BC386" s="277"/>
      <c r="BD386" s="277"/>
      <c r="BE386" s="277"/>
      <c r="BF386" s="277"/>
      <c r="BG386" s="276"/>
    </row>
    <row r="387" spans="1:59">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c r="AA387" s="276"/>
      <c r="AB387" s="276"/>
      <c r="AC387" s="276"/>
      <c r="AD387" s="276"/>
      <c r="AE387" s="276"/>
      <c r="AF387" s="276"/>
      <c r="AG387" s="277"/>
      <c r="AH387" s="277"/>
      <c r="AI387" s="277"/>
      <c r="AJ387" s="277"/>
      <c r="AK387" s="277"/>
      <c r="AL387" s="277"/>
      <c r="AM387" s="277"/>
      <c r="AN387" s="277"/>
      <c r="AO387" s="277"/>
      <c r="AP387" s="277"/>
      <c r="AQ387" s="277"/>
      <c r="AR387" s="277"/>
      <c r="AS387" s="277"/>
      <c r="AT387" s="277"/>
      <c r="AU387" s="277"/>
      <c r="AV387" s="277"/>
      <c r="AW387" s="277"/>
      <c r="AX387" s="277"/>
      <c r="AY387" s="277"/>
      <c r="AZ387" s="277"/>
      <c r="BA387" s="277"/>
      <c r="BB387" s="277"/>
      <c r="BC387" s="277"/>
      <c r="BD387" s="277"/>
      <c r="BE387" s="277"/>
      <c r="BF387" s="277"/>
      <c r="BG387" s="276"/>
    </row>
    <row r="388" spans="1:59">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c r="AA388" s="276"/>
      <c r="AB388" s="276"/>
      <c r="AC388" s="276"/>
      <c r="AD388" s="276"/>
      <c r="AE388" s="276"/>
      <c r="AF388" s="276"/>
      <c r="AG388" s="277"/>
      <c r="AH388" s="277"/>
      <c r="AI388" s="277"/>
      <c r="AJ388" s="277"/>
      <c r="AK388" s="277"/>
      <c r="AL388" s="277"/>
      <c r="AM388" s="277"/>
      <c r="AN388" s="277"/>
      <c r="AO388" s="277"/>
      <c r="AP388" s="277"/>
      <c r="AQ388" s="277"/>
      <c r="AR388" s="277"/>
      <c r="AS388" s="277"/>
      <c r="AT388" s="277"/>
      <c r="AU388" s="277"/>
      <c r="AV388" s="277"/>
      <c r="AW388" s="277"/>
      <c r="AX388" s="277"/>
      <c r="AY388" s="277"/>
      <c r="AZ388" s="277"/>
      <c r="BA388" s="277"/>
      <c r="BB388" s="277"/>
      <c r="BC388" s="277"/>
      <c r="BD388" s="277"/>
      <c r="BE388" s="277"/>
      <c r="BF388" s="277"/>
      <c r="BG388" s="276"/>
    </row>
    <row r="389" spans="1:59">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c r="AA389" s="276"/>
      <c r="AB389" s="276"/>
      <c r="AC389" s="276"/>
      <c r="AD389" s="276"/>
      <c r="AE389" s="276"/>
      <c r="AF389" s="276"/>
      <c r="AG389" s="277"/>
      <c r="AH389" s="277"/>
      <c r="AI389" s="277"/>
      <c r="AJ389" s="277"/>
      <c r="AK389" s="277"/>
      <c r="AL389" s="277"/>
      <c r="AM389" s="277"/>
      <c r="AN389" s="277"/>
      <c r="AO389" s="277"/>
      <c r="AP389" s="277"/>
      <c r="AQ389" s="277"/>
      <c r="AR389" s="277"/>
      <c r="AS389" s="277"/>
      <c r="AT389" s="277"/>
      <c r="AU389" s="277"/>
      <c r="AV389" s="277"/>
      <c r="AW389" s="277"/>
      <c r="AX389" s="277"/>
      <c r="AY389" s="277"/>
      <c r="AZ389" s="277"/>
      <c r="BA389" s="277"/>
      <c r="BB389" s="277"/>
      <c r="BC389" s="277"/>
      <c r="BD389" s="277"/>
      <c r="BE389" s="277"/>
      <c r="BF389" s="277"/>
      <c r="BG389" s="276"/>
    </row>
    <row r="390" spans="1:59">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c r="AA390" s="276"/>
      <c r="AB390" s="276"/>
      <c r="AC390" s="276"/>
      <c r="AD390" s="276"/>
      <c r="AE390" s="276"/>
      <c r="AF390" s="276"/>
      <c r="AG390" s="277"/>
      <c r="AH390" s="277"/>
      <c r="AI390" s="277"/>
      <c r="AJ390" s="277"/>
      <c r="AK390" s="277"/>
      <c r="AL390" s="277"/>
      <c r="AM390" s="277"/>
      <c r="AN390" s="277"/>
      <c r="AO390" s="277"/>
      <c r="AP390" s="277"/>
      <c r="AQ390" s="277"/>
      <c r="AR390" s="277"/>
      <c r="AS390" s="277"/>
      <c r="AT390" s="277"/>
      <c r="AU390" s="277"/>
      <c r="AV390" s="277"/>
      <c r="AW390" s="277"/>
      <c r="AX390" s="277"/>
      <c r="AY390" s="277"/>
      <c r="AZ390" s="277"/>
      <c r="BA390" s="277"/>
      <c r="BB390" s="277"/>
      <c r="BC390" s="277"/>
      <c r="BD390" s="277"/>
      <c r="BE390" s="277"/>
      <c r="BF390" s="277"/>
      <c r="BG390" s="276"/>
    </row>
    <row r="391" spans="1:59">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c r="AA391" s="276"/>
      <c r="AB391" s="276"/>
      <c r="AC391" s="276"/>
      <c r="AD391" s="276"/>
      <c r="AE391" s="276"/>
      <c r="AF391" s="276"/>
      <c r="AG391" s="277"/>
      <c r="AH391" s="277"/>
      <c r="AI391" s="277"/>
      <c r="AJ391" s="277"/>
      <c r="AK391" s="277"/>
      <c r="AL391" s="277"/>
      <c r="AM391" s="277"/>
      <c r="AN391" s="277"/>
      <c r="AO391" s="277"/>
      <c r="AP391" s="277"/>
      <c r="AQ391" s="277"/>
      <c r="AR391" s="277"/>
      <c r="AS391" s="277"/>
      <c r="AT391" s="277"/>
      <c r="AU391" s="277"/>
      <c r="AV391" s="277"/>
      <c r="AW391" s="277"/>
      <c r="AX391" s="277"/>
      <c r="AY391" s="277"/>
      <c r="AZ391" s="277"/>
      <c r="BA391" s="277"/>
      <c r="BB391" s="277"/>
      <c r="BC391" s="277"/>
      <c r="BD391" s="277"/>
      <c r="BE391" s="277"/>
      <c r="BF391" s="277"/>
      <c r="BG391" s="276"/>
    </row>
    <row r="392" spans="1:59">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c r="AA392" s="276"/>
      <c r="AB392" s="276"/>
      <c r="AC392" s="276"/>
      <c r="AD392" s="276"/>
      <c r="AE392" s="276"/>
      <c r="AF392" s="276"/>
      <c r="AG392" s="277"/>
      <c r="AH392" s="277"/>
      <c r="AI392" s="277"/>
      <c r="AJ392" s="277"/>
      <c r="AK392" s="277"/>
      <c r="AL392" s="277"/>
      <c r="AM392" s="277"/>
      <c r="AN392" s="277"/>
      <c r="AO392" s="277"/>
      <c r="AP392" s="277"/>
      <c r="AQ392" s="277"/>
      <c r="AR392" s="277"/>
      <c r="AS392" s="277"/>
      <c r="AT392" s="277"/>
      <c r="AU392" s="277"/>
      <c r="AV392" s="277"/>
      <c r="AW392" s="277"/>
      <c r="AX392" s="277"/>
      <c r="AY392" s="277"/>
      <c r="AZ392" s="277"/>
      <c r="BA392" s="277"/>
      <c r="BB392" s="277"/>
      <c r="BC392" s="277"/>
      <c r="BD392" s="277"/>
      <c r="BE392" s="277"/>
      <c r="BF392" s="277"/>
      <c r="BG392" s="276"/>
    </row>
    <row r="393" spans="1:59">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c r="AA393" s="276"/>
      <c r="AB393" s="276"/>
      <c r="AC393" s="276"/>
      <c r="AD393" s="276"/>
      <c r="AE393" s="276"/>
      <c r="AF393" s="276"/>
      <c r="AG393" s="277"/>
      <c r="AH393" s="277"/>
      <c r="AI393" s="277"/>
      <c r="AJ393" s="277"/>
      <c r="AK393" s="277"/>
      <c r="AL393" s="277"/>
      <c r="AM393" s="277"/>
      <c r="AN393" s="277"/>
      <c r="AO393" s="277"/>
      <c r="AP393" s="277"/>
      <c r="AQ393" s="277"/>
      <c r="AR393" s="277"/>
      <c r="AS393" s="277"/>
      <c r="AT393" s="277"/>
      <c r="AU393" s="277"/>
      <c r="AV393" s="277"/>
      <c r="AW393" s="277"/>
      <c r="AX393" s="277"/>
      <c r="AY393" s="277"/>
      <c r="AZ393" s="277"/>
      <c r="BA393" s="277"/>
      <c r="BB393" s="277"/>
      <c r="BC393" s="277"/>
      <c r="BD393" s="277"/>
      <c r="BE393" s="277"/>
      <c r="BF393" s="277"/>
      <c r="BG393" s="276"/>
    </row>
    <row r="394" spans="1:59">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c r="AA394" s="276"/>
      <c r="AB394" s="276"/>
      <c r="AC394" s="276"/>
      <c r="AD394" s="276"/>
      <c r="AE394" s="276"/>
      <c r="AF394" s="276"/>
      <c r="AG394" s="277"/>
      <c r="AH394" s="277"/>
      <c r="AI394" s="277"/>
      <c r="AJ394" s="277"/>
      <c r="AK394" s="277"/>
      <c r="AL394" s="277"/>
      <c r="AM394" s="277"/>
      <c r="AN394" s="277"/>
      <c r="AO394" s="277"/>
      <c r="AP394" s="277"/>
      <c r="AQ394" s="277"/>
      <c r="AR394" s="277"/>
      <c r="AS394" s="277"/>
      <c r="AT394" s="277"/>
      <c r="AU394" s="277"/>
      <c r="AV394" s="277"/>
      <c r="AW394" s="277"/>
      <c r="AX394" s="277"/>
      <c r="AY394" s="277"/>
      <c r="AZ394" s="277"/>
      <c r="BA394" s="277"/>
      <c r="BB394" s="277"/>
      <c r="BC394" s="277"/>
      <c r="BD394" s="277"/>
      <c r="BE394" s="277"/>
      <c r="BF394" s="277"/>
      <c r="BG394" s="276"/>
    </row>
    <row r="395" spans="1:59">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c r="AA395" s="276"/>
      <c r="AB395" s="276"/>
      <c r="AC395" s="276"/>
      <c r="AD395" s="276"/>
      <c r="AE395" s="276"/>
      <c r="AF395" s="276"/>
      <c r="AG395" s="277"/>
      <c r="AH395" s="277"/>
      <c r="AI395" s="277"/>
      <c r="AJ395" s="277"/>
      <c r="AK395" s="277"/>
      <c r="AL395" s="277"/>
      <c r="AM395" s="277"/>
      <c r="AN395" s="277"/>
      <c r="AO395" s="277"/>
      <c r="AP395" s="277"/>
      <c r="AQ395" s="277"/>
      <c r="AR395" s="277"/>
      <c r="AS395" s="277"/>
      <c r="AT395" s="277"/>
      <c r="AU395" s="277"/>
      <c r="AV395" s="277"/>
      <c r="AW395" s="277"/>
      <c r="AX395" s="277"/>
      <c r="AY395" s="277"/>
      <c r="AZ395" s="277"/>
      <c r="BA395" s="277"/>
      <c r="BB395" s="277"/>
      <c r="BC395" s="277"/>
      <c r="BD395" s="277"/>
      <c r="BE395" s="277"/>
      <c r="BF395" s="277"/>
      <c r="BG395" s="276"/>
    </row>
    <row r="396" spans="1:59">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c r="AA396" s="276"/>
      <c r="AB396" s="276"/>
      <c r="AC396" s="276"/>
      <c r="AD396" s="276"/>
      <c r="AE396" s="276"/>
      <c r="AF396" s="276"/>
      <c r="AG396" s="276"/>
      <c r="AH396" s="276"/>
      <c r="AI396" s="276"/>
      <c r="AJ396" s="276"/>
      <c r="AK396" s="276"/>
      <c r="AL396" s="276"/>
      <c r="AM396" s="276"/>
      <c r="AN396" s="276"/>
      <c r="AO396" s="276"/>
      <c r="AP396" s="276"/>
      <c r="AQ396" s="276"/>
      <c r="AR396" s="276"/>
      <c r="AS396" s="276"/>
      <c r="AT396" s="276"/>
      <c r="AU396" s="276"/>
      <c r="AV396" s="276"/>
      <c r="AW396" s="276"/>
      <c r="AX396" s="276"/>
      <c r="AY396" s="276"/>
      <c r="AZ396" s="276"/>
      <c r="BA396" s="276"/>
      <c r="BB396" s="276"/>
      <c r="BC396" s="276"/>
      <c r="BD396" s="276"/>
      <c r="BE396" s="276"/>
      <c r="BF396" s="276"/>
      <c r="BG396" s="276"/>
    </row>
    <row r="397" spans="1:59">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c r="AA397" s="276"/>
      <c r="AB397" s="276"/>
      <c r="AC397" s="276"/>
      <c r="AD397" s="276"/>
      <c r="AE397" s="276"/>
      <c r="AF397" s="276"/>
      <c r="AG397" s="276"/>
      <c r="AH397" s="276"/>
      <c r="AI397" s="276"/>
      <c r="AJ397" s="276"/>
      <c r="AK397" s="276"/>
      <c r="AL397" s="276"/>
      <c r="AM397" s="276"/>
      <c r="AN397" s="276"/>
      <c r="AO397" s="276"/>
      <c r="AP397" s="276"/>
      <c r="AQ397" s="276"/>
      <c r="AR397" s="276"/>
      <c r="AS397" s="276"/>
      <c r="AT397" s="276"/>
      <c r="AU397" s="276"/>
      <c r="AV397" s="276"/>
      <c r="AW397" s="276"/>
      <c r="AX397" s="276"/>
      <c r="AY397" s="276"/>
      <c r="AZ397" s="276"/>
      <c r="BA397" s="276"/>
      <c r="BB397" s="276"/>
      <c r="BC397" s="276"/>
      <c r="BD397" s="276"/>
      <c r="BE397" s="276"/>
      <c r="BF397" s="276"/>
      <c r="BG397" s="276"/>
    </row>
    <row r="398" spans="1:59">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c r="AA398" s="276"/>
      <c r="AB398" s="276"/>
      <c r="AC398" s="276"/>
      <c r="AD398" s="276"/>
      <c r="AE398" s="276"/>
      <c r="AF398" s="276"/>
      <c r="AG398" s="276"/>
      <c r="AH398" s="276"/>
      <c r="AI398" s="276"/>
      <c r="AJ398" s="276"/>
      <c r="AK398" s="276"/>
      <c r="AL398" s="276"/>
      <c r="AM398" s="276"/>
      <c r="AN398" s="276"/>
      <c r="AO398" s="276"/>
      <c r="AP398" s="276"/>
      <c r="AQ398" s="276"/>
      <c r="AR398" s="276"/>
      <c r="AS398" s="276"/>
      <c r="AT398" s="276"/>
      <c r="AU398" s="276"/>
      <c r="AV398" s="276"/>
      <c r="AW398" s="276"/>
      <c r="AX398" s="276"/>
      <c r="AY398" s="276"/>
      <c r="AZ398" s="276"/>
      <c r="BA398" s="276"/>
      <c r="BB398" s="276"/>
      <c r="BC398" s="276"/>
      <c r="BD398" s="276"/>
      <c r="BE398" s="276"/>
      <c r="BF398" s="276"/>
      <c r="BG398" s="276"/>
    </row>
    <row r="399" spans="1:59">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c r="AA399" s="276"/>
      <c r="AB399" s="276"/>
      <c r="AC399" s="276"/>
      <c r="AD399" s="276"/>
      <c r="AE399" s="276"/>
      <c r="AF399" s="276"/>
      <c r="AG399" s="276"/>
      <c r="AH399" s="276"/>
      <c r="AI399" s="276"/>
      <c r="AJ399" s="276"/>
      <c r="AK399" s="276"/>
      <c r="AL399" s="276"/>
      <c r="AM399" s="276"/>
      <c r="AN399" s="276"/>
      <c r="AO399" s="276"/>
      <c r="AP399" s="276"/>
      <c r="AQ399" s="276"/>
      <c r="AR399" s="276"/>
      <c r="AS399" s="276"/>
      <c r="AT399" s="276"/>
      <c r="AU399" s="276"/>
      <c r="AV399" s="276"/>
      <c r="AW399" s="276"/>
      <c r="AX399" s="276"/>
      <c r="AY399" s="276"/>
      <c r="AZ399" s="276"/>
      <c r="BA399" s="276"/>
      <c r="BB399" s="276"/>
      <c r="BC399" s="276"/>
      <c r="BD399" s="276"/>
      <c r="BE399" s="276"/>
      <c r="BF399" s="276"/>
      <c r="BG399" s="276"/>
    </row>
    <row r="400" spans="1:59">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c r="AA400" s="276"/>
      <c r="AB400" s="276"/>
      <c r="AC400" s="276"/>
      <c r="AD400" s="276"/>
      <c r="AE400" s="276"/>
      <c r="AF400" s="276"/>
      <c r="AG400" s="276"/>
      <c r="AH400" s="276"/>
      <c r="AI400" s="276"/>
      <c r="AJ400" s="276"/>
      <c r="AK400" s="276"/>
      <c r="AL400" s="276"/>
      <c r="AM400" s="276"/>
      <c r="AN400" s="276"/>
      <c r="AO400" s="276"/>
      <c r="AP400" s="276"/>
      <c r="AQ400" s="276"/>
      <c r="AR400" s="276"/>
      <c r="AS400" s="276"/>
      <c r="AT400" s="276"/>
      <c r="AU400" s="276"/>
      <c r="AV400" s="276"/>
      <c r="AW400" s="276"/>
      <c r="AX400" s="276"/>
      <c r="AY400" s="276"/>
      <c r="AZ400" s="276"/>
      <c r="BA400" s="276"/>
      <c r="BB400" s="276"/>
      <c r="BC400" s="276"/>
      <c r="BD400" s="276"/>
      <c r="BE400" s="276"/>
      <c r="BF400" s="276"/>
      <c r="BG400" s="276"/>
    </row>
    <row r="401" spans="1:59">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c r="AA401" s="276"/>
      <c r="AB401" s="276"/>
      <c r="AC401" s="276"/>
      <c r="AD401" s="276"/>
      <c r="AE401" s="276"/>
      <c r="AF401" s="276"/>
      <c r="AG401" s="276"/>
      <c r="AH401" s="276"/>
      <c r="AI401" s="276"/>
      <c r="AJ401" s="276"/>
      <c r="AK401" s="276"/>
      <c r="AL401" s="276"/>
      <c r="AM401" s="276"/>
      <c r="AN401" s="276"/>
      <c r="AO401" s="276"/>
      <c r="AP401" s="276"/>
      <c r="AQ401" s="276"/>
      <c r="AR401" s="276"/>
      <c r="AS401" s="276"/>
      <c r="AT401" s="276"/>
      <c r="AU401" s="276"/>
      <c r="AV401" s="276"/>
      <c r="AW401" s="276"/>
      <c r="AX401" s="276"/>
      <c r="AY401" s="276"/>
      <c r="AZ401" s="276"/>
      <c r="BA401" s="276"/>
      <c r="BB401" s="276"/>
      <c r="BC401" s="276"/>
      <c r="BD401" s="276"/>
      <c r="BE401" s="276"/>
      <c r="BF401" s="276"/>
      <c r="BG401" s="276"/>
    </row>
    <row r="402" spans="1:59">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c r="AA402" s="276"/>
      <c r="AB402" s="276"/>
      <c r="AC402" s="276"/>
      <c r="AD402" s="276"/>
      <c r="AE402" s="276"/>
      <c r="AF402" s="276"/>
      <c r="AG402" s="276"/>
      <c r="AH402" s="276"/>
      <c r="AI402" s="276"/>
      <c r="AJ402" s="276"/>
      <c r="AK402" s="276"/>
      <c r="AL402" s="276"/>
      <c r="AM402" s="276"/>
      <c r="AN402" s="276"/>
      <c r="AO402" s="276"/>
      <c r="AP402" s="276"/>
      <c r="AQ402" s="276"/>
      <c r="AR402" s="276"/>
      <c r="AS402" s="276"/>
      <c r="AT402" s="276"/>
      <c r="AU402" s="276"/>
      <c r="AV402" s="276"/>
      <c r="AW402" s="276"/>
      <c r="AX402" s="276"/>
      <c r="AY402" s="276"/>
      <c r="AZ402" s="276"/>
      <c r="BA402" s="276"/>
      <c r="BB402" s="276"/>
      <c r="BC402" s="276"/>
      <c r="BD402" s="276"/>
      <c r="BE402" s="276"/>
      <c r="BF402" s="276"/>
      <c r="BG402" s="276"/>
    </row>
    <row r="403" spans="1:59">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c r="AA403" s="276"/>
      <c r="AB403" s="276"/>
      <c r="AC403" s="276"/>
      <c r="AD403" s="276"/>
      <c r="AE403" s="276"/>
      <c r="AF403" s="276"/>
      <c r="AG403" s="276"/>
      <c r="AH403" s="276"/>
      <c r="AI403" s="276"/>
      <c r="AJ403" s="276"/>
      <c r="AK403" s="276"/>
      <c r="AL403" s="276"/>
      <c r="AM403" s="276"/>
      <c r="AN403" s="276"/>
      <c r="AO403" s="276"/>
      <c r="AP403" s="276"/>
      <c r="AQ403" s="276"/>
      <c r="AR403" s="276"/>
      <c r="AS403" s="276"/>
      <c r="AT403" s="276"/>
      <c r="AU403" s="276"/>
      <c r="AV403" s="276"/>
      <c r="AW403" s="276"/>
      <c r="AX403" s="276"/>
      <c r="AY403" s="276"/>
      <c r="AZ403" s="276"/>
      <c r="BA403" s="276"/>
      <c r="BB403" s="276"/>
      <c r="BC403" s="276"/>
      <c r="BD403" s="276"/>
      <c r="BE403" s="276"/>
      <c r="BF403" s="276"/>
      <c r="BG403" s="276"/>
    </row>
    <row r="404" spans="1:59">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c r="AA404" s="276"/>
      <c r="AB404" s="276"/>
      <c r="AC404" s="276"/>
      <c r="AD404" s="276"/>
      <c r="AE404" s="276"/>
      <c r="AF404" s="276"/>
      <c r="AG404" s="276"/>
      <c r="AH404" s="276"/>
      <c r="AI404" s="276"/>
      <c r="AJ404" s="276"/>
      <c r="AK404" s="276"/>
      <c r="AL404" s="276"/>
      <c r="AM404" s="276"/>
      <c r="AN404" s="276"/>
      <c r="AO404" s="276"/>
      <c r="AP404" s="276"/>
      <c r="AQ404" s="276"/>
      <c r="AR404" s="276"/>
      <c r="AS404" s="276"/>
      <c r="AT404" s="276"/>
      <c r="AU404" s="276"/>
      <c r="AV404" s="276"/>
      <c r="AW404" s="276"/>
      <c r="AX404" s="276"/>
      <c r="AY404" s="276"/>
      <c r="AZ404" s="276"/>
      <c r="BA404" s="276"/>
      <c r="BB404" s="276"/>
      <c r="BC404" s="276"/>
      <c r="BD404" s="276"/>
      <c r="BE404" s="276"/>
      <c r="BF404" s="276"/>
      <c r="BG404" s="276"/>
    </row>
    <row r="405" spans="1:59">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c r="AA405" s="276"/>
      <c r="AB405" s="276"/>
      <c r="AC405" s="276"/>
      <c r="AD405" s="276"/>
      <c r="AE405" s="276"/>
      <c r="AF405" s="276"/>
      <c r="AG405" s="276"/>
      <c r="AH405" s="276"/>
      <c r="AI405" s="276"/>
      <c r="AJ405" s="276"/>
      <c r="AK405" s="276"/>
      <c r="AL405" s="276"/>
      <c r="AM405" s="276"/>
      <c r="AN405" s="276"/>
      <c r="AO405" s="276"/>
      <c r="AP405" s="276"/>
      <c r="AQ405" s="276"/>
      <c r="AR405" s="276"/>
      <c r="AS405" s="276"/>
      <c r="AT405" s="276"/>
      <c r="AU405" s="276"/>
      <c r="AV405" s="276"/>
      <c r="AW405" s="276"/>
      <c r="AX405" s="276"/>
      <c r="AY405" s="276"/>
      <c r="AZ405" s="276"/>
      <c r="BA405" s="276"/>
      <c r="BB405" s="276"/>
      <c r="BC405" s="276"/>
      <c r="BD405" s="276"/>
      <c r="BE405" s="276"/>
      <c r="BF405" s="276"/>
      <c r="BG405" s="276"/>
    </row>
    <row r="406" spans="1:59">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c r="AA406" s="276"/>
      <c r="AB406" s="276"/>
      <c r="AC406" s="276"/>
      <c r="AD406" s="276"/>
      <c r="AE406" s="276"/>
      <c r="AF406" s="276"/>
      <c r="AG406" s="276"/>
      <c r="AH406" s="276"/>
      <c r="AI406" s="276"/>
      <c r="AJ406" s="276"/>
      <c r="AK406" s="276"/>
      <c r="AL406" s="276"/>
      <c r="AM406" s="276"/>
      <c r="AN406" s="276"/>
      <c r="AO406" s="276"/>
      <c r="AP406" s="276"/>
      <c r="AQ406" s="276"/>
      <c r="AR406" s="276"/>
      <c r="AS406" s="276"/>
      <c r="AT406" s="276"/>
      <c r="AU406" s="276"/>
      <c r="AV406" s="276"/>
      <c r="AW406" s="276"/>
      <c r="AX406" s="276"/>
      <c r="AY406" s="276"/>
      <c r="AZ406" s="276"/>
      <c r="BA406" s="276"/>
      <c r="BB406" s="276"/>
      <c r="BC406" s="276"/>
      <c r="BD406" s="276"/>
      <c r="BE406" s="276"/>
      <c r="BF406" s="276"/>
      <c r="BG406" s="276"/>
    </row>
    <row r="407" spans="1:59">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c r="AA407" s="276"/>
      <c r="AB407" s="276"/>
      <c r="AC407" s="276"/>
      <c r="AD407" s="276"/>
      <c r="AE407" s="276"/>
      <c r="AF407" s="276"/>
      <c r="AG407" s="276"/>
      <c r="AH407" s="276"/>
      <c r="AI407" s="276"/>
      <c r="AJ407" s="276"/>
      <c r="AK407" s="276"/>
      <c r="AL407" s="276"/>
      <c r="AM407" s="276"/>
      <c r="AN407" s="276"/>
      <c r="AO407" s="276"/>
      <c r="AP407" s="276"/>
      <c r="AQ407" s="276"/>
      <c r="AR407" s="276"/>
      <c r="AS407" s="276"/>
      <c r="AT407" s="276"/>
      <c r="AU407" s="276"/>
      <c r="AV407" s="276"/>
      <c r="AW407" s="276"/>
      <c r="AX407" s="276"/>
      <c r="AY407" s="276"/>
      <c r="AZ407" s="276"/>
      <c r="BA407" s="276"/>
      <c r="BB407" s="276"/>
      <c r="BC407" s="276"/>
      <c r="BD407" s="276"/>
      <c r="BE407" s="276"/>
      <c r="BF407" s="276"/>
      <c r="BG407" s="276"/>
    </row>
    <row r="408" spans="1:59">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c r="AA408" s="276"/>
      <c r="AB408" s="276"/>
      <c r="AC408" s="276"/>
      <c r="AD408" s="276"/>
      <c r="AE408" s="276"/>
      <c r="AF408" s="276"/>
      <c r="AG408" s="276"/>
      <c r="AH408" s="276"/>
      <c r="AI408" s="276"/>
      <c r="AJ408" s="276"/>
      <c r="AK408" s="276"/>
      <c r="AL408" s="276"/>
      <c r="AM408" s="276"/>
      <c r="AN408" s="276"/>
      <c r="AO408" s="276"/>
      <c r="AP408" s="276"/>
      <c r="AQ408" s="276"/>
      <c r="AR408" s="276"/>
      <c r="AS408" s="276"/>
      <c r="AT408" s="276"/>
      <c r="AU408" s="276"/>
      <c r="AV408" s="276"/>
      <c r="AW408" s="276"/>
      <c r="AX408" s="276"/>
      <c r="AY408" s="276"/>
      <c r="AZ408" s="276"/>
      <c r="BA408" s="276"/>
      <c r="BB408" s="276"/>
      <c r="BC408" s="276"/>
      <c r="BD408" s="276"/>
      <c r="BE408" s="276"/>
      <c r="BF408" s="276"/>
      <c r="BG408" s="276"/>
    </row>
    <row r="409" spans="1:59">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c r="AA409" s="276"/>
      <c r="AB409" s="276"/>
      <c r="AC409" s="276"/>
      <c r="AD409" s="276"/>
      <c r="AE409" s="276"/>
      <c r="AF409" s="276"/>
      <c r="AG409" s="276"/>
      <c r="AH409" s="276"/>
      <c r="AI409" s="276"/>
      <c r="AJ409" s="276"/>
      <c r="AK409" s="276"/>
      <c r="AL409" s="276"/>
      <c r="AM409" s="276"/>
      <c r="AN409" s="276"/>
      <c r="AO409" s="276"/>
      <c r="AP409" s="276"/>
      <c r="AQ409" s="276"/>
      <c r="AR409" s="276"/>
      <c r="AS409" s="276"/>
      <c r="AT409" s="276"/>
      <c r="AU409" s="276"/>
      <c r="AV409" s="276"/>
      <c r="AW409" s="276"/>
      <c r="AX409" s="276"/>
      <c r="AY409" s="276"/>
      <c r="AZ409" s="276"/>
      <c r="BA409" s="276"/>
      <c r="BB409" s="276"/>
      <c r="BC409" s="276"/>
      <c r="BD409" s="276"/>
      <c r="BE409" s="276"/>
      <c r="BF409" s="276"/>
      <c r="BG409" s="276"/>
    </row>
    <row r="410" spans="1:59">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c r="AA410" s="276"/>
      <c r="AB410" s="276"/>
      <c r="AC410" s="276"/>
      <c r="AD410" s="276"/>
      <c r="AE410" s="276"/>
      <c r="AF410" s="276"/>
      <c r="AG410" s="276"/>
      <c r="AH410" s="276"/>
      <c r="AI410" s="276"/>
      <c r="AJ410" s="276"/>
      <c r="AK410" s="276"/>
      <c r="AL410" s="276"/>
      <c r="AM410" s="276"/>
      <c r="AN410" s="276"/>
      <c r="AO410" s="276"/>
      <c r="AP410" s="276"/>
      <c r="AQ410" s="276"/>
      <c r="AR410" s="276"/>
      <c r="AS410" s="276"/>
      <c r="AT410" s="276"/>
      <c r="AU410" s="276"/>
      <c r="AV410" s="276"/>
      <c r="AW410" s="276"/>
      <c r="AX410" s="276"/>
      <c r="AY410" s="276"/>
      <c r="AZ410" s="276"/>
      <c r="BA410" s="276"/>
      <c r="BB410" s="276"/>
      <c r="BC410" s="276"/>
      <c r="BD410" s="276"/>
      <c r="BE410" s="276"/>
      <c r="BF410" s="276"/>
      <c r="BG410" s="276"/>
    </row>
    <row r="411" spans="1:59">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c r="AA411" s="276"/>
      <c r="AB411" s="276"/>
      <c r="AC411" s="276"/>
      <c r="AD411" s="276"/>
      <c r="AE411" s="276"/>
      <c r="AF411" s="276"/>
      <c r="AG411" s="276"/>
      <c r="AH411" s="276"/>
      <c r="AI411" s="276"/>
      <c r="AJ411" s="276"/>
      <c r="AK411" s="276"/>
      <c r="AL411" s="276"/>
      <c r="AM411" s="276"/>
      <c r="AN411" s="276"/>
      <c r="AO411" s="276"/>
      <c r="AP411" s="276"/>
      <c r="AQ411" s="276"/>
      <c r="AR411" s="276"/>
      <c r="AS411" s="276"/>
      <c r="AT411" s="276"/>
      <c r="AU411" s="276"/>
      <c r="AV411" s="276"/>
      <c r="AW411" s="276"/>
      <c r="AX411" s="276"/>
      <c r="AY411" s="276"/>
      <c r="AZ411" s="276"/>
      <c r="BA411" s="276"/>
      <c r="BB411" s="276"/>
      <c r="BC411" s="276"/>
      <c r="BD411" s="276"/>
      <c r="BE411" s="276"/>
      <c r="BF411" s="276"/>
      <c r="BG411" s="276"/>
    </row>
    <row r="412" spans="1:59">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c r="AA412" s="276"/>
      <c r="AB412" s="276"/>
      <c r="AC412" s="276"/>
      <c r="AD412" s="276"/>
      <c r="AE412" s="276"/>
      <c r="AF412" s="276"/>
      <c r="AG412" s="276"/>
      <c r="AH412" s="276"/>
      <c r="AI412" s="276"/>
      <c r="AJ412" s="276"/>
      <c r="AK412" s="276"/>
      <c r="AL412" s="276"/>
      <c r="AM412" s="276"/>
      <c r="AN412" s="276"/>
      <c r="AO412" s="276"/>
      <c r="AP412" s="276"/>
      <c r="AQ412" s="276"/>
      <c r="AR412" s="276"/>
      <c r="AS412" s="276"/>
      <c r="AT412" s="276"/>
      <c r="AU412" s="276"/>
      <c r="AV412" s="276"/>
      <c r="AW412" s="276"/>
      <c r="AX412" s="276"/>
      <c r="AY412" s="276"/>
      <c r="AZ412" s="276"/>
      <c r="BA412" s="276"/>
      <c r="BB412" s="276"/>
      <c r="BC412" s="276"/>
      <c r="BD412" s="276"/>
      <c r="BE412" s="276"/>
      <c r="BF412" s="276"/>
      <c r="BG412" s="276"/>
    </row>
    <row r="413" spans="1:59">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c r="AA413" s="276"/>
      <c r="AB413" s="276"/>
      <c r="AC413" s="276"/>
      <c r="AD413" s="276"/>
      <c r="AE413" s="276"/>
      <c r="AF413" s="276"/>
      <c r="AG413" s="276"/>
      <c r="AH413" s="276"/>
      <c r="AI413" s="276"/>
      <c r="AJ413" s="276"/>
      <c r="AK413" s="276"/>
      <c r="AL413" s="276"/>
      <c r="AM413" s="276"/>
      <c r="AN413" s="276"/>
      <c r="AO413" s="276"/>
      <c r="AP413" s="276"/>
      <c r="AQ413" s="276"/>
      <c r="AR413" s="276"/>
      <c r="AS413" s="276"/>
      <c r="AT413" s="276"/>
      <c r="AU413" s="276"/>
      <c r="AV413" s="276"/>
      <c r="AW413" s="276"/>
      <c r="AX413" s="276"/>
      <c r="AY413" s="276"/>
      <c r="AZ413" s="276"/>
      <c r="BA413" s="276"/>
      <c r="BB413" s="276"/>
      <c r="BC413" s="276"/>
      <c r="BD413" s="276"/>
      <c r="BE413" s="276"/>
      <c r="BF413" s="276"/>
      <c r="BG413" s="276"/>
    </row>
    <row r="414" spans="1:59">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c r="AA414" s="276"/>
      <c r="AB414" s="276"/>
      <c r="AC414" s="276"/>
      <c r="AD414" s="276"/>
      <c r="AE414" s="276"/>
      <c r="AF414" s="276"/>
      <c r="AG414" s="276"/>
      <c r="AH414" s="276"/>
      <c r="AI414" s="276"/>
      <c r="AJ414" s="276"/>
      <c r="AK414" s="276"/>
      <c r="AL414" s="276"/>
      <c r="AM414" s="276"/>
      <c r="AN414" s="276"/>
      <c r="AO414" s="276"/>
      <c r="AP414" s="276"/>
      <c r="AQ414" s="276"/>
      <c r="AR414" s="276"/>
      <c r="AS414" s="276"/>
      <c r="AT414" s="276"/>
      <c r="AU414" s="276"/>
      <c r="AV414" s="276"/>
      <c r="AW414" s="276"/>
      <c r="AX414" s="276"/>
      <c r="AY414" s="276"/>
      <c r="AZ414" s="276"/>
      <c r="BA414" s="276"/>
      <c r="BB414" s="276"/>
      <c r="BC414" s="276"/>
      <c r="BD414" s="276"/>
      <c r="BE414" s="276"/>
      <c r="BF414" s="276"/>
      <c r="BG414" s="276"/>
    </row>
    <row r="415" spans="1:59">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c r="AA415" s="276"/>
      <c r="AB415" s="276"/>
      <c r="AC415" s="276"/>
      <c r="AD415" s="276"/>
      <c r="AE415" s="276"/>
      <c r="AF415" s="276"/>
      <c r="AG415" s="276"/>
      <c r="AH415" s="276"/>
      <c r="AI415" s="276"/>
      <c r="AJ415" s="276"/>
      <c r="AK415" s="276"/>
      <c r="AL415" s="276"/>
      <c r="AM415" s="276"/>
      <c r="AN415" s="276"/>
      <c r="AO415" s="276"/>
      <c r="AP415" s="276"/>
      <c r="AQ415" s="276"/>
      <c r="AR415" s="276"/>
      <c r="AS415" s="276"/>
      <c r="AT415" s="276"/>
      <c r="AU415" s="276"/>
      <c r="AV415" s="276"/>
      <c r="AW415" s="276"/>
    </row>
    <row r="416" spans="1:59">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c r="AA416" s="276"/>
      <c r="AB416" s="276"/>
      <c r="AC416" s="276"/>
      <c r="AD416" s="276"/>
      <c r="AE416" s="276"/>
      <c r="AF416" s="276"/>
      <c r="AG416" s="276"/>
      <c r="AH416" s="276"/>
      <c r="AI416" s="276"/>
      <c r="AJ416" s="276"/>
      <c r="AK416" s="276"/>
      <c r="AL416" s="276"/>
      <c r="AM416" s="276"/>
      <c r="AN416" s="276"/>
      <c r="AO416" s="276"/>
      <c r="AP416" s="276"/>
      <c r="AQ416" s="276"/>
      <c r="AR416" s="276"/>
      <c r="AS416" s="276"/>
      <c r="AT416" s="276"/>
      <c r="AU416" s="276"/>
      <c r="AV416" s="276"/>
      <c r="AW416" s="276"/>
    </row>
    <row r="417" spans="1:49">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c r="AA417" s="276"/>
      <c r="AB417" s="276"/>
      <c r="AC417" s="276"/>
      <c r="AD417" s="276"/>
      <c r="AE417" s="276"/>
      <c r="AF417" s="276"/>
      <c r="AG417" s="276"/>
      <c r="AH417" s="276"/>
      <c r="AI417" s="276"/>
      <c r="AJ417" s="276"/>
      <c r="AK417" s="276"/>
      <c r="AL417" s="276"/>
      <c r="AM417" s="276"/>
      <c r="AN417" s="276"/>
      <c r="AO417" s="276"/>
      <c r="AP417" s="276"/>
      <c r="AQ417" s="276"/>
      <c r="AR417" s="276"/>
      <c r="AS417" s="276"/>
      <c r="AT417" s="276"/>
      <c r="AU417" s="276"/>
      <c r="AV417" s="276"/>
      <c r="AW417" s="276"/>
    </row>
    <row r="418" spans="1:49">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c r="AA418" s="276"/>
      <c r="AB418" s="276"/>
      <c r="AC418" s="276"/>
      <c r="AD418" s="276"/>
      <c r="AE418" s="276"/>
      <c r="AF418" s="276"/>
      <c r="AG418" s="276"/>
      <c r="AH418" s="276"/>
      <c r="AI418" s="276"/>
      <c r="AJ418" s="276"/>
      <c r="AK418" s="276"/>
      <c r="AL418" s="276"/>
      <c r="AM418" s="276"/>
      <c r="AN418" s="276"/>
      <c r="AO418" s="276"/>
      <c r="AP418" s="276"/>
      <c r="AQ418" s="276"/>
      <c r="AR418" s="276"/>
      <c r="AS418" s="276"/>
      <c r="AT418" s="276"/>
      <c r="AU418" s="276"/>
      <c r="AV418" s="276"/>
      <c r="AW418" s="276"/>
    </row>
    <row r="419" spans="1:49">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c r="AA419" s="276"/>
      <c r="AB419" s="276"/>
      <c r="AC419" s="276"/>
      <c r="AD419" s="276"/>
      <c r="AE419" s="276"/>
      <c r="AF419" s="276"/>
      <c r="AG419" s="276"/>
      <c r="AH419" s="276"/>
      <c r="AI419" s="276"/>
      <c r="AJ419" s="276"/>
      <c r="AK419" s="276"/>
      <c r="AL419" s="276"/>
      <c r="AM419" s="276"/>
      <c r="AN419" s="276"/>
      <c r="AO419" s="276"/>
      <c r="AP419" s="276"/>
      <c r="AQ419" s="276"/>
      <c r="AR419" s="276"/>
      <c r="AS419" s="276"/>
      <c r="AT419" s="276"/>
      <c r="AU419" s="276"/>
      <c r="AV419" s="276"/>
      <c r="AW419" s="276"/>
    </row>
    <row r="420" spans="1:49">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c r="AA420" s="276"/>
      <c r="AB420" s="276"/>
      <c r="AC420" s="276"/>
      <c r="AD420" s="276"/>
      <c r="AE420" s="276"/>
      <c r="AF420" s="276"/>
      <c r="AG420" s="276"/>
      <c r="AH420" s="276"/>
      <c r="AI420" s="276"/>
      <c r="AJ420" s="276"/>
      <c r="AK420" s="276"/>
      <c r="AL420" s="276"/>
      <c r="AM420" s="276"/>
      <c r="AN420" s="276"/>
      <c r="AO420" s="276"/>
      <c r="AP420" s="276"/>
      <c r="AQ420" s="276"/>
      <c r="AR420" s="276"/>
      <c r="AS420" s="276"/>
      <c r="AT420" s="276"/>
      <c r="AU420" s="276"/>
      <c r="AV420" s="276"/>
      <c r="AW420" s="276"/>
    </row>
    <row r="421" spans="1:49">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c r="AA421" s="276"/>
      <c r="AB421" s="276"/>
      <c r="AC421" s="276"/>
      <c r="AD421" s="276"/>
      <c r="AE421" s="276"/>
      <c r="AF421" s="276"/>
      <c r="AG421" s="276"/>
      <c r="AH421" s="276"/>
      <c r="AI421" s="276"/>
      <c r="AJ421" s="276"/>
      <c r="AK421" s="276"/>
      <c r="AL421" s="276"/>
      <c r="AM421" s="276"/>
      <c r="AN421" s="276"/>
      <c r="AO421" s="276"/>
      <c r="AP421" s="276"/>
      <c r="AQ421" s="276"/>
      <c r="AR421" s="276"/>
      <c r="AS421" s="276"/>
      <c r="AT421" s="276"/>
      <c r="AU421" s="276"/>
      <c r="AV421" s="276"/>
      <c r="AW421" s="276"/>
    </row>
    <row r="422" spans="1:49">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c r="AA422" s="276"/>
      <c r="AB422" s="276"/>
      <c r="AC422" s="276"/>
      <c r="AD422" s="276"/>
      <c r="AE422" s="276"/>
      <c r="AF422" s="276"/>
      <c r="AG422" s="276"/>
      <c r="AH422" s="276"/>
      <c r="AI422" s="276"/>
      <c r="AJ422" s="276"/>
      <c r="AK422" s="276"/>
      <c r="AL422" s="276"/>
      <c r="AM422" s="276"/>
      <c r="AN422" s="276"/>
      <c r="AO422" s="276"/>
      <c r="AP422" s="276"/>
      <c r="AQ422" s="276"/>
      <c r="AR422" s="276"/>
      <c r="AS422" s="276"/>
      <c r="AT422" s="276"/>
      <c r="AU422" s="276"/>
      <c r="AV422" s="276"/>
      <c r="AW422" s="276"/>
    </row>
    <row r="423" spans="1:49">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c r="AA423" s="276"/>
      <c r="AB423" s="276"/>
      <c r="AC423" s="276"/>
      <c r="AD423" s="276"/>
      <c r="AE423" s="276"/>
      <c r="AF423" s="276"/>
      <c r="AG423" s="276"/>
      <c r="AH423" s="276"/>
      <c r="AI423" s="276"/>
      <c r="AJ423" s="276"/>
      <c r="AK423" s="276"/>
      <c r="AL423" s="276"/>
      <c r="AM423" s="276"/>
      <c r="AN423" s="276"/>
      <c r="AO423" s="276"/>
      <c r="AP423" s="276"/>
      <c r="AQ423" s="276"/>
      <c r="AR423" s="276"/>
      <c r="AS423" s="276"/>
      <c r="AT423" s="276"/>
      <c r="AU423" s="276"/>
      <c r="AV423" s="276"/>
      <c r="AW423" s="276"/>
    </row>
    <row r="424" spans="1:49">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c r="AA424" s="276"/>
      <c r="AB424" s="276"/>
      <c r="AC424" s="276"/>
      <c r="AD424" s="276"/>
      <c r="AE424" s="276"/>
      <c r="AF424" s="276"/>
      <c r="AG424" s="276"/>
      <c r="AH424" s="276"/>
      <c r="AI424" s="276"/>
      <c r="AJ424" s="276"/>
      <c r="AK424" s="276"/>
      <c r="AL424" s="276"/>
      <c r="AM424" s="276"/>
      <c r="AN424" s="276"/>
      <c r="AO424" s="276"/>
      <c r="AP424" s="276"/>
      <c r="AQ424" s="276"/>
      <c r="AR424" s="276"/>
      <c r="AS424" s="276"/>
      <c r="AT424" s="276"/>
      <c r="AU424" s="276"/>
      <c r="AV424" s="276"/>
      <c r="AW424" s="276"/>
    </row>
    <row r="425" spans="1:49">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c r="AA425" s="276"/>
      <c r="AB425" s="276"/>
      <c r="AC425" s="276"/>
      <c r="AD425" s="276"/>
      <c r="AE425" s="276"/>
      <c r="AF425" s="276"/>
      <c r="AG425" s="276"/>
      <c r="AH425" s="276"/>
      <c r="AI425" s="276"/>
      <c r="AJ425" s="276"/>
      <c r="AK425" s="276"/>
      <c r="AL425" s="276"/>
      <c r="AM425" s="276"/>
      <c r="AN425" s="276"/>
      <c r="AO425" s="276"/>
      <c r="AP425" s="276"/>
      <c r="AQ425" s="276"/>
      <c r="AR425" s="276"/>
      <c r="AS425" s="276"/>
      <c r="AT425" s="276"/>
      <c r="AU425" s="276"/>
      <c r="AV425" s="276"/>
      <c r="AW425" s="276"/>
    </row>
    <row r="426" spans="1:49">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c r="AA426" s="276"/>
      <c r="AB426" s="276"/>
      <c r="AC426" s="276"/>
      <c r="AD426" s="276"/>
      <c r="AE426" s="276"/>
      <c r="AF426" s="276"/>
      <c r="AG426" s="276"/>
      <c r="AH426" s="276"/>
      <c r="AI426" s="276"/>
      <c r="AJ426" s="276"/>
      <c r="AK426" s="276"/>
      <c r="AL426" s="276"/>
      <c r="AM426" s="276"/>
      <c r="AN426" s="276"/>
      <c r="AO426" s="276"/>
      <c r="AP426" s="276"/>
      <c r="AQ426" s="276"/>
      <c r="AR426" s="276"/>
      <c r="AS426" s="276"/>
      <c r="AT426" s="276"/>
      <c r="AU426" s="276"/>
      <c r="AV426" s="276"/>
      <c r="AW426" s="276"/>
    </row>
    <row r="427" spans="1:49">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c r="AA427" s="276"/>
      <c r="AB427" s="276"/>
      <c r="AC427" s="276"/>
      <c r="AD427" s="276"/>
      <c r="AE427" s="276"/>
      <c r="AF427" s="276"/>
      <c r="AG427" s="276"/>
      <c r="AH427" s="276"/>
      <c r="AI427" s="276"/>
      <c r="AJ427" s="276"/>
      <c r="AK427" s="276"/>
      <c r="AL427" s="276"/>
      <c r="AM427" s="276"/>
      <c r="AN427" s="276"/>
      <c r="AO427" s="276"/>
      <c r="AP427" s="276"/>
      <c r="AQ427" s="276"/>
      <c r="AR427" s="276"/>
      <c r="AS427" s="276"/>
      <c r="AT427" s="276"/>
      <c r="AU427" s="276"/>
      <c r="AV427" s="276"/>
      <c r="AW427" s="276"/>
    </row>
    <row r="428" spans="1:49">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c r="AA428" s="276"/>
      <c r="AB428" s="276"/>
      <c r="AC428" s="276"/>
      <c r="AD428" s="276"/>
      <c r="AE428" s="276"/>
      <c r="AF428" s="276"/>
      <c r="AG428" s="276"/>
      <c r="AH428" s="276"/>
      <c r="AI428" s="276"/>
      <c r="AJ428" s="276"/>
      <c r="AK428" s="276"/>
      <c r="AL428" s="276"/>
      <c r="AM428" s="276"/>
      <c r="AN428" s="276"/>
      <c r="AO428" s="276"/>
      <c r="AP428" s="276"/>
      <c r="AQ428" s="276"/>
      <c r="AR428" s="276"/>
      <c r="AS428" s="276"/>
      <c r="AT428" s="276"/>
      <c r="AU428" s="276"/>
      <c r="AV428" s="276"/>
      <c r="AW428" s="276"/>
    </row>
    <row r="429" spans="1:49">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c r="AA429" s="276"/>
      <c r="AB429" s="276"/>
      <c r="AC429" s="276"/>
      <c r="AD429" s="276"/>
      <c r="AE429" s="276"/>
      <c r="AF429" s="276"/>
      <c r="AG429" s="276"/>
      <c r="AH429" s="276"/>
      <c r="AI429" s="276"/>
      <c r="AJ429" s="276"/>
      <c r="AK429" s="276"/>
      <c r="AL429" s="276"/>
      <c r="AM429" s="276"/>
      <c r="AN429" s="276"/>
      <c r="AO429" s="276"/>
      <c r="AP429" s="276"/>
      <c r="AQ429" s="276"/>
      <c r="AR429" s="276"/>
      <c r="AS429" s="276"/>
      <c r="AT429" s="276"/>
      <c r="AU429" s="276"/>
      <c r="AV429" s="276"/>
      <c r="AW429" s="276"/>
    </row>
    <row r="430" spans="1:49">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c r="AA430" s="276"/>
      <c r="AB430" s="276"/>
      <c r="AC430" s="276"/>
      <c r="AD430" s="276"/>
      <c r="AE430" s="276"/>
      <c r="AF430" s="276"/>
      <c r="AG430" s="276"/>
      <c r="AH430" s="276"/>
      <c r="AI430" s="276"/>
      <c r="AJ430" s="276"/>
      <c r="AK430" s="276"/>
      <c r="AL430" s="276"/>
      <c r="AM430" s="276"/>
      <c r="AN430" s="276"/>
      <c r="AO430" s="276"/>
      <c r="AP430" s="276"/>
      <c r="AQ430" s="276"/>
      <c r="AR430" s="276"/>
      <c r="AS430" s="276"/>
      <c r="AT430" s="276"/>
      <c r="AU430" s="276"/>
      <c r="AV430" s="276"/>
      <c r="AW430" s="276"/>
    </row>
    <row r="431" spans="1:49">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c r="AA431" s="276"/>
      <c r="AB431" s="276"/>
      <c r="AC431" s="276"/>
      <c r="AD431" s="276"/>
      <c r="AE431" s="276"/>
      <c r="AF431" s="276"/>
      <c r="AG431" s="276"/>
      <c r="AH431" s="276"/>
      <c r="AI431" s="276"/>
      <c r="AJ431" s="276"/>
      <c r="AK431" s="276"/>
      <c r="AL431" s="276"/>
      <c r="AM431" s="276"/>
      <c r="AN431" s="276"/>
      <c r="AO431" s="276"/>
      <c r="AP431" s="276"/>
      <c r="AQ431" s="276"/>
      <c r="AR431" s="276"/>
      <c r="AS431" s="276"/>
      <c r="AT431" s="276"/>
      <c r="AU431" s="276"/>
      <c r="AV431" s="276"/>
      <c r="AW431" s="276"/>
    </row>
    <row r="432" spans="1:49">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c r="AA432" s="276"/>
      <c r="AB432" s="276"/>
      <c r="AC432" s="276"/>
      <c r="AD432" s="276"/>
      <c r="AE432" s="276"/>
      <c r="AF432" s="276"/>
      <c r="AG432" s="276"/>
      <c r="AH432" s="276"/>
      <c r="AI432" s="276"/>
      <c r="AJ432" s="276"/>
      <c r="AK432" s="276"/>
      <c r="AL432" s="276"/>
      <c r="AM432" s="276"/>
      <c r="AN432" s="276"/>
      <c r="AO432" s="276"/>
      <c r="AP432" s="276"/>
      <c r="AQ432" s="276"/>
      <c r="AR432" s="276"/>
      <c r="AS432" s="276"/>
      <c r="AT432" s="276"/>
      <c r="AU432" s="276"/>
      <c r="AV432" s="276"/>
      <c r="AW432" s="276"/>
    </row>
    <row r="433" spans="1:49">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t="s">
        <v>70</v>
      </c>
      <c r="Z433" s="276"/>
      <c r="AA433" s="276"/>
      <c r="AB433" s="276"/>
      <c r="AC433" s="276"/>
      <c r="AD433" s="276"/>
      <c r="AE433" s="276"/>
      <c r="AF433" s="276"/>
      <c r="AG433" s="276"/>
      <c r="AH433" s="276"/>
      <c r="AI433" s="276"/>
      <c r="AJ433" s="276"/>
      <c r="AK433" s="276"/>
      <c r="AL433" s="276"/>
      <c r="AM433" s="276"/>
      <c r="AN433" s="276"/>
      <c r="AO433" s="276"/>
      <c r="AP433" s="276"/>
      <c r="AQ433" s="276"/>
      <c r="AR433" s="276"/>
      <c r="AS433" s="276"/>
      <c r="AT433" s="276"/>
      <c r="AU433" s="276"/>
      <c r="AV433" s="276"/>
      <c r="AW433" s="276"/>
    </row>
    <row r="434" spans="1:49">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c r="AA434" s="276"/>
      <c r="AB434" s="276"/>
      <c r="AC434" s="276"/>
      <c r="AD434" s="276"/>
      <c r="AE434" s="276"/>
      <c r="AF434" s="276"/>
      <c r="AG434" s="276"/>
      <c r="AH434" s="276"/>
      <c r="AI434" s="276"/>
      <c r="AJ434" s="276"/>
      <c r="AK434" s="276"/>
      <c r="AL434" s="276"/>
      <c r="AM434" s="276"/>
      <c r="AN434" s="276"/>
      <c r="AO434" s="276"/>
      <c r="AP434" s="276"/>
      <c r="AQ434" s="276"/>
      <c r="AR434" s="276"/>
      <c r="AS434" s="276"/>
      <c r="AT434" s="276"/>
      <c r="AU434" s="276"/>
      <c r="AV434" s="276"/>
      <c r="AW434" s="276"/>
    </row>
    <row r="435" spans="1:49">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c r="AA435" s="276"/>
      <c r="AB435" s="276"/>
      <c r="AC435" s="276"/>
      <c r="AD435" s="276"/>
      <c r="AE435" s="276"/>
      <c r="AF435" s="276"/>
      <c r="AG435" s="276"/>
      <c r="AH435" s="276"/>
      <c r="AI435" s="276"/>
      <c r="AJ435" s="276"/>
      <c r="AK435" s="276"/>
      <c r="AL435" s="276"/>
      <c r="AM435" s="276"/>
      <c r="AN435" s="276"/>
      <c r="AO435" s="276"/>
      <c r="AP435" s="276"/>
      <c r="AQ435" s="276"/>
      <c r="AR435" s="276"/>
      <c r="AS435" s="276"/>
      <c r="AT435" s="276"/>
      <c r="AU435" s="276"/>
      <c r="AV435" s="276"/>
      <c r="AW435" s="276"/>
    </row>
    <row r="436" spans="1:49">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c r="AA436" s="276"/>
      <c r="AB436" s="276"/>
      <c r="AC436" s="276"/>
      <c r="AD436" s="276"/>
      <c r="AE436" s="276"/>
      <c r="AF436" s="276"/>
      <c r="AG436" s="276"/>
      <c r="AH436" s="276"/>
      <c r="AI436" s="276"/>
      <c r="AJ436" s="276"/>
      <c r="AK436" s="276"/>
      <c r="AL436" s="276"/>
      <c r="AM436" s="276"/>
      <c r="AN436" s="276"/>
      <c r="AO436" s="276"/>
      <c r="AP436" s="276"/>
      <c r="AQ436" s="276"/>
      <c r="AR436" s="276"/>
      <c r="AS436" s="276"/>
      <c r="AT436" s="276"/>
      <c r="AU436" s="276"/>
      <c r="AV436" s="276"/>
      <c r="AW436" s="276"/>
    </row>
    <row r="437" spans="1:49">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c r="AA437" s="276"/>
      <c r="AB437" s="276"/>
      <c r="AC437" s="276"/>
      <c r="AD437" s="276"/>
      <c r="AE437" s="276"/>
      <c r="AF437" s="276"/>
      <c r="AG437" s="276"/>
      <c r="AH437" s="276"/>
      <c r="AI437" s="276"/>
      <c r="AJ437" s="276"/>
      <c r="AK437" s="276"/>
      <c r="AL437" s="276"/>
      <c r="AM437" s="276"/>
      <c r="AN437" s="276"/>
      <c r="AO437" s="276"/>
      <c r="AP437" s="276"/>
      <c r="AQ437" s="276"/>
      <c r="AR437" s="276"/>
      <c r="AS437" s="276"/>
      <c r="AT437" s="276"/>
      <c r="AU437" s="276"/>
      <c r="AV437" s="276"/>
      <c r="AW437" s="276"/>
    </row>
    <row r="438" spans="1:49">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c r="AA438" s="276"/>
      <c r="AB438" s="276"/>
      <c r="AC438" s="276"/>
      <c r="AD438" s="276"/>
      <c r="AE438" s="276"/>
      <c r="AF438" s="276"/>
      <c r="AG438" s="276"/>
      <c r="AH438" s="276"/>
      <c r="AI438" s="276"/>
      <c r="AJ438" s="276"/>
      <c r="AK438" s="276"/>
      <c r="AL438" s="276"/>
      <c r="AM438" s="276"/>
      <c r="AN438" s="276"/>
      <c r="AO438" s="276"/>
      <c r="AP438" s="276"/>
      <c r="AQ438" s="276"/>
      <c r="AR438" s="276"/>
      <c r="AS438" s="276"/>
      <c r="AT438" s="276"/>
      <c r="AU438" s="276"/>
      <c r="AV438" s="276"/>
      <c r="AW438" s="276"/>
    </row>
    <row r="439" spans="1:49">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c r="AA439" s="276"/>
      <c r="AB439" s="276"/>
      <c r="AC439" s="276"/>
      <c r="AD439" s="276"/>
      <c r="AE439" s="276"/>
      <c r="AF439" s="276"/>
      <c r="AG439" s="276"/>
      <c r="AH439" s="276"/>
      <c r="AI439" s="276"/>
      <c r="AJ439" s="276"/>
      <c r="AK439" s="276"/>
      <c r="AL439" s="276"/>
      <c r="AM439" s="276"/>
      <c r="AN439" s="276"/>
      <c r="AO439" s="276"/>
      <c r="AP439" s="276"/>
      <c r="AQ439" s="276"/>
      <c r="AR439" s="276"/>
      <c r="AS439" s="276"/>
      <c r="AT439" s="276"/>
      <c r="AU439" s="276"/>
      <c r="AV439" s="276"/>
      <c r="AW439" s="276"/>
    </row>
    <row r="440" spans="1:49">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c r="AA440" s="276"/>
      <c r="AB440" s="276"/>
      <c r="AC440" s="276"/>
      <c r="AD440" s="276"/>
      <c r="AE440" s="276"/>
      <c r="AF440" s="276"/>
      <c r="AG440" s="276"/>
      <c r="AH440" s="276"/>
      <c r="AI440" s="276"/>
      <c r="AJ440" s="276"/>
      <c r="AK440" s="276"/>
      <c r="AL440" s="276"/>
      <c r="AM440" s="276"/>
      <c r="AN440" s="276"/>
      <c r="AO440" s="276"/>
      <c r="AP440" s="276"/>
      <c r="AQ440" s="276"/>
      <c r="AR440" s="276"/>
      <c r="AS440" s="276"/>
      <c r="AT440" s="276"/>
      <c r="AU440" s="276"/>
      <c r="AV440" s="276"/>
      <c r="AW440" s="276"/>
    </row>
    <row r="441" spans="1:49">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c r="AA441" s="276"/>
      <c r="AB441" s="276"/>
      <c r="AC441" s="276"/>
      <c r="AD441" s="276"/>
      <c r="AE441" s="276"/>
      <c r="AF441" s="276"/>
      <c r="AG441" s="276"/>
      <c r="AH441" s="276"/>
      <c r="AI441" s="276"/>
      <c r="AJ441" s="276"/>
      <c r="AK441" s="276"/>
      <c r="AL441" s="276"/>
      <c r="AM441" s="276"/>
      <c r="AN441" s="276"/>
      <c r="AO441" s="276"/>
      <c r="AP441" s="276"/>
      <c r="AQ441" s="276"/>
      <c r="AR441" s="276"/>
      <c r="AS441" s="276"/>
      <c r="AT441" s="276"/>
      <c r="AU441" s="276"/>
      <c r="AV441" s="276"/>
      <c r="AW441" s="276"/>
    </row>
    <row r="442" spans="1:49">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c r="AA442" s="276"/>
      <c r="AB442" s="276"/>
      <c r="AC442" s="276"/>
      <c r="AD442" s="276"/>
      <c r="AE442" s="276"/>
      <c r="AF442" s="276"/>
      <c r="AG442" s="276"/>
      <c r="AH442" s="276"/>
      <c r="AI442" s="276"/>
      <c r="AJ442" s="276"/>
      <c r="AK442" s="276"/>
      <c r="AL442" s="276"/>
      <c r="AM442" s="276"/>
      <c r="AN442" s="276"/>
      <c r="AO442" s="276"/>
      <c r="AP442" s="276"/>
      <c r="AQ442" s="276"/>
      <c r="AR442" s="276"/>
      <c r="AS442" s="276"/>
      <c r="AT442" s="276"/>
      <c r="AU442" s="276"/>
      <c r="AV442" s="276"/>
      <c r="AW442" s="276"/>
    </row>
    <row r="443" spans="1:49">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c r="AA443" s="276"/>
      <c r="AB443" s="276"/>
      <c r="AC443" s="276"/>
      <c r="AD443" s="276"/>
      <c r="AE443" s="276"/>
      <c r="AF443" s="276"/>
      <c r="AG443" s="276"/>
      <c r="AH443" s="276"/>
      <c r="AI443" s="276"/>
      <c r="AJ443" s="276"/>
      <c r="AK443" s="276"/>
      <c r="AL443" s="276"/>
      <c r="AM443" s="276"/>
      <c r="AN443" s="276"/>
      <c r="AO443" s="276"/>
      <c r="AP443" s="276"/>
      <c r="AQ443" s="276"/>
      <c r="AR443" s="276"/>
      <c r="AS443" s="276"/>
      <c r="AT443" s="276"/>
      <c r="AU443" s="276"/>
      <c r="AV443" s="276"/>
      <c r="AW443" s="276"/>
    </row>
  </sheetData>
  <sheetProtection algorithmName="SHA-512" hashValue="x1hXyimGZ8c7P0X7qK3q7qInwq/DxRY+rIDrZJdUTvAjHkicTez/STO7UQBIrRE4gkX5uMfydhe+ZpbWtBxbpw==" saltValue="jKacicEFBBJj9A0eTh9wxg==" spinCount="100000" sheet="1" formatCells="0" formatColumns="0" formatRows="0" insertColumns="0" insertRows="0" insertHyperlinks="0" deleteColumns="0" deleteRows="0" sort="0" autoFilter="0" pivotTables="0"/>
  <mergeCells count="54">
    <mergeCell ref="F287:F288"/>
    <mergeCell ref="H287:K287"/>
    <mergeCell ref="F285:K285"/>
    <mergeCell ref="A285:D286"/>
    <mergeCell ref="A287:C287"/>
    <mergeCell ref="A297:C297"/>
    <mergeCell ref="A289:C289"/>
    <mergeCell ref="A290:C290"/>
    <mergeCell ref="A291:C291"/>
    <mergeCell ref="A292:C292"/>
    <mergeCell ref="A293:C293"/>
    <mergeCell ref="A294:C294"/>
    <mergeCell ref="A269:A270"/>
    <mergeCell ref="A288:C288"/>
    <mergeCell ref="B229:D229"/>
    <mergeCell ref="A295:C295"/>
    <mergeCell ref="A296:C296"/>
    <mergeCell ref="O229:P229"/>
    <mergeCell ref="I229:K229"/>
    <mergeCell ref="B281:F281"/>
    <mergeCell ref="M229:N229"/>
    <mergeCell ref="F231:H231"/>
    <mergeCell ref="E269:E270"/>
    <mergeCell ref="D269:D270"/>
    <mergeCell ref="L205:M205"/>
    <mergeCell ref="R46:S46"/>
    <mergeCell ref="S85:T85"/>
    <mergeCell ref="Q232:R232"/>
    <mergeCell ref="Q233:R233"/>
    <mergeCell ref="Q229:R229"/>
    <mergeCell ref="Q230:R230"/>
    <mergeCell ref="Q231:R231"/>
    <mergeCell ref="O232:P232"/>
    <mergeCell ref="O233:P233"/>
    <mergeCell ref="M230:N230"/>
    <mergeCell ref="M231:N231"/>
    <mergeCell ref="M232:N232"/>
    <mergeCell ref="M233:N233"/>
    <mergeCell ref="O231:P231"/>
    <mergeCell ref="O230:P230"/>
    <mergeCell ref="K1:M1"/>
    <mergeCell ref="J83:N83"/>
    <mergeCell ref="K43:M43"/>
    <mergeCell ref="K163:M163"/>
    <mergeCell ref="E202:H202"/>
    <mergeCell ref="J123:N123"/>
    <mergeCell ref="G167:V167"/>
    <mergeCell ref="R166:S166"/>
    <mergeCell ref="R126:S126"/>
    <mergeCell ref="R4:S4"/>
    <mergeCell ref="G5:V5"/>
    <mergeCell ref="G47:V47"/>
    <mergeCell ref="G87:V87"/>
    <mergeCell ref="G127:V127"/>
  </mergeCells>
  <conditionalFormatting sqref="B187:V187">
    <cfRule type="cellIs" dxfId="22" priority="2" stopIfTrue="1" operator="lessThan">
      <formula>0</formula>
    </cfRule>
  </conditionalFormatting>
  <conditionalFormatting sqref="G194">
    <cfRule type="cellIs" dxfId="21" priority="6" stopIfTrue="1" operator="lessThan">
      <formula>1</formula>
    </cfRule>
  </conditionalFormatting>
  <conditionalFormatting sqref="G141:V141">
    <cfRule type="cellIs" dxfId="20" priority="1" stopIfTrue="1" operator="lessThan">
      <formula>0</formula>
    </cfRule>
  </conditionalFormatting>
  <conditionalFormatting sqref="G160:V160">
    <cfRule type="cellIs" dxfId="19" priority="3" stopIfTrue="1" operator="lessThan">
      <formula>0</formula>
    </cfRule>
  </conditionalFormatting>
  <conditionalFormatting sqref="G191:V191">
    <cfRule type="cellIs" dxfId="18" priority="5" stopIfTrue="1" operator="lessThan">
      <formula>1</formula>
    </cfRule>
  </conditionalFormatting>
  <conditionalFormatting sqref="G192:V192">
    <cfRule type="cellIs" dxfId="17" priority="4" stopIfTrue="1" operator="greaterThan">
      <formula>3</formula>
    </cfRule>
  </conditionalFormatting>
  <pageMargins left="0.39370078740157499" right="0.39370078740157499" top="0.39370078740157499" bottom="0.39370078740157499" header="0.39370078740157499" footer="0.39370078740157499"/>
  <pageSetup orientation="landscape" r:id="rId1"/>
  <headerFooter alignWithMargins="0">
    <oddHeader>&amp;L (Appl'# )</oddHeader>
    <oddFooter>&amp;L&amp;F   &amp;D   (&amp;T)&amp;CProject Manager:  &amp;R&amp;"Arial,Regular"&amp;12&amp;B&amp;K000000Classification: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rowBreaks count="6" manualBreakCount="6">
    <brk id="40" max="65535" man="1"/>
    <brk id="80" max="17" man="1"/>
    <brk id="119" max="65535" man="1"/>
    <brk id="159" max="65535" man="1"/>
    <brk id="198" max="17" man="1"/>
    <brk id="274" max="655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257C-C04E-4CED-8D06-9B09E4184A4A}">
  <sheetPr>
    <tabColor theme="9" tint="0.39997558519241921"/>
    <pageSetUpPr autoPageBreaks="0"/>
  </sheetPr>
  <dimension ref="A1:AD89"/>
  <sheetViews>
    <sheetView showGridLines="0" zoomScaleNormal="100" workbookViewId="0">
      <selection activeCell="E23" sqref="E23"/>
    </sheetView>
  </sheetViews>
  <sheetFormatPr defaultColWidth="12.5546875" defaultRowHeight="13.2"/>
  <cols>
    <col min="1" max="1" width="25.33203125" style="3" bestFit="1" customWidth="1"/>
    <col min="2" max="2" width="11.33203125" style="3" bestFit="1" customWidth="1"/>
    <col min="3" max="3" width="9.109375" style="3" bestFit="1" customWidth="1"/>
    <col min="4" max="4" width="13.44140625" style="3" customWidth="1"/>
    <col min="5" max="5" width="13.88671875" style="9" customWidth="1"/>
    <col min="6" max="6" width="13.33203125" style="3" bestFit="1" customWidth="1"/>
    <col min="7" max="7" width="14.88671875" style="3" bestFit="1" customWidth="1"/>
    <col min="8" max="8" width="7.109375" style="3" bestFit="1" customWidth="1"/>
    <col min="9" max="9" width="28.109375" style="3" bestFit="1" customWidth="1"/>
    <col min="10" max="10" width="10.109375" style="3" bestFit="1" customWidth="1"/>
    <col min="11" max="11" width="10.33203125" style="3" bestFit="1" customWidth="1"/>
    <col min="12" max="12" width="13.5546875" style="3" customWidth="1"/>
    <col min="13" max="13" width="19.109375" style="3" customWidth="1"/>
    <col min="14" max="14" width="6.88671875" style="3" customWidth="1"/>
    <col min="15" max="15" width="7" style="3" customWidth="1"/>
    <col min="16" max="16" width="6.6640625" style="3" customWidth="1"/>
    <col min="17" max="17" width="7.5546875" style="3" customWidth="1"/>
    <col min="18" max="18" width="7.88671875" style="3" customWidth="1"/>
    <col min="19" max="19" width="7.5546875" style="3" customWidth="1"/>
    <col min="20" max="20" width="12.5546875" style="3" customWidth="1"/>
    <col min="21" max="21" width="11.5546875" style="3" customWidth="1"/>
    <col min="22" max="22" width="12.5546875" style="3" customWidth="1"/>
    <col min="23" max="23" width="12.5546875" style="3" hidden="1" customWidth="1"/>
    <col min="24" max="24" width="12.5546875" style="3" customWidth="1"/>
    <col min="25" max="27" width="12.5546875" style="3"/>
    <col min="28" max="28" width="0" style="3" hidden="1" customWidth="1"/>
    <col min="29" max="29" width="12.5546875" style="3" hidden="1" customWidth="1"/>
    <col min="30" max="16384" width="12.5546875" style="3"/>
  </cols>
  <sheetData>
    <row r="1" spans="1:30" ht="15.75" customHeight="1">
      <c r="A1" s="712" t="s">
        <v>421</v>
      </c>
      <c r="B1" s="712"/>
      <c r="C1" s="712"/>
      <c r="D1" s="712"/>
      <c r="E1" s="712"/>
      <c r="F1" s="712"/>
      <c r="G1" s="712"/>
      <c r="I1" s="45" t="s">
        <v>422</v>
      </c>
      <c r="J1" s="44">
        <v>2024</v>
      </c>
      <c r="K1" s="713" t="s">
        <v>423</v>
      </c>
      <c r="L1" s="714"/>
      <c r="M1" s="714"/>
      <c r="N1" s="714"/>
      <c r="O1" s="714"/>
      <c r="P1" s="714"/>
      <c r="Q1" s="714"/>
      <c r="R1" s="714"/>
      <c r="S1" s="714"/>
      <c r="T1" s="715"/>
      <c r="AC1" s="3" t="s">
        <v>424</v>
      </c>
      <c r="AD1" s="3">
        <v>2021</v>
      </c>
    </row>
    <row r="2" spans="1:30" ht="15.75" customHeight="1">
      <c r="A2" s="712"/>
      <c r="B2" s="712"/>
      <c r="C2" s="712"/>
      <c r="D2" s="712"/>
      <c r="E2" s="712"/>
      <c r="F2" s="712"/>
      <c r="G2" s="712"/>
      <c r="K2" s="729"/>
      <c r="L2" s="730"/>
      <c r="M2" s="726">
        <f>J1</f>
        <v>2024</v>
      </c>
      <c r="N2" s="727"/>
      <c r="O2" s="727"/>
      <c r="P2" s="728"/>
      <c r="Q2" s="726">
        <f>M2+1</f>
        <v>2025</v>
      </c>
      <c r="R2" s="727"/>
      <c r="S2" s="727"/>
      <c r="T2" s="728"/>
      <c r="AC2" s="3" t="s">
        <v>425</v>
      </c>
      <c r="AD2" s="3">
        <v>2022</v>
      </c>
    </row>
    <row r="3" spans="1:30" ht="15.75" customHeight="1">
      <c r="A3" s="712"/>
      <c r="B3" s="712"/>
      <c r="C3" s="712"/>
      <c r="D3" s="712"/>
      <c r="E3" s="712"/>
      <c r="F3" s="712"/>
      <c r="G3" s="712"/>
      <c r="K3" s="551" t="s">
        <v>426</v>
      </c>
      <c r="L3" s="551" t="s">
        <v>427</v>
      </c>
      <c r="M3" s="552" t="s">
        <v>428</v>
      </c>
      <c r="N3" s="552" t="s">
        <v>429</v>
      </c>
      <c r="O3" s="552" t="s">
        <v>430</v>
      </c>
      <c r="P3" s="552" t="s">
        <v>431</v>
      </c>
      <c r="Q3" s="552" t="s">
        <v>428</v>
      </c>
      <c r="R3" s="552" t="s">
        <v>429</v>
      </c>
      <c r="S3" s="552" t="s">
        <v>430</v>
      </c>
      <c r="T3" s="552" t="s">
        <v>431</v>
      </c>
      <c r="AD3" s="3">
        <v>2023</v>
      </c>
    </row>
    <row r="4" spans="1:30">
      <c r="E4" s="3"/>
      <c r="F4" s="553" t="s">
        <v>432</v>
      </c>
      <c r="G4" s="628">
        <v>0.39</v>
      </c>
      <c r="K4" s="554"/>
      <c r="L4" s="555"/>
      <c r="M4" s="554"/>
      <c r="N4" s="554"/>
      <c r="O4" s="554"/>
      <c r="P4" s="554"/>
      <c r="Q4" s="554"/>
      <c r="R4" s="554"/>
      <c r="S4" s="554"/>
      <c r="T4" s="554"/>
      <c r="AD4" s="3">
        <v>2024</v>
      </c>
    </row>
    <row r="5" spans="1:30">
      <c r="A5" s="556" t="s">
        <v>433</v>
      </c>
      <c r="B5" s="557"/>
      <c r="C5" s="557"/>
      <c r="D5" s="558"/>
      <c r="E5" s="559"/>
      <c r="F5" s="558"/>
      <c r="M5" s="555"/>
      <c r="N5" s="555"/>
      <c r="O5" s="555"/>
      <c r="P5" s="555"/>
      <c r="Q5" s="555"/>
      <c r="R5" s="555"/>
      <c r="S5" s="555"/>
      <c r="T5" s="555"/>
      <c r="AD5" s="3">
        <v>2025</v>
      </c>
    </row>
    <row r="6" spans="1:30" ht="12.75" customHeight="1">
      <c r="A6" s="558" t="s">
        <v>434</v>
      </c>
      <c r="B6" s="558"/>
      <c r="C6" s="558"/>
      <c r="D6" s="560" t="s">
        <v>435</v>
      </c>
      <c r="E6" s="560" t="s">
        <v>436</v>
      </c>
      <c r="F6" s="560" t="s">
        <v>437</v>
      </c>
      <c r="AD6" s="3">
        <v>2026</v>
      </c>
    </row>
    <row r="7" spans="1:30">
      <c r="A7" s="558"/>
      <c r="B7" s="558"/>
      <c r="C7" s="558"/>
      <c r="D7" s="716" t="s">
        <v>438</v>
      </c>
      <c r="E7" s="716"/>
      <c r="F7" s="716"/>
      <c r="AD7" s="3">
        <v>2027</v>
      </c>
    </row>
    <row r="8" spans="1:30" ht="12.75" customHeight="1">
      <c r="A8" s="561" t="s">
        <v>30</v>
      </c>
      <c r="B8" s="560"/>
      <c r="C8" s="560"/>
      <c r="D8" s="562">
        <v>0</v>
      </c>
      <c r="E8" s="563">
        <v>0</v>
      </c>
      <c r="F8" s="564">
        <f>D8-E8</f>
        <v>0</v>
      </c>
      <c r="AD8" s="3">
        <v>2028</v>
      </c>
    </row>
    <row r="9" spans="1:30" ht="12.75" customHeight="1">
      <c r="A9" s="558" t="s">
        <v>439</v>
      </c>
      <c r="B9" s="558"/>
      <c r="C9" s="558"/>
      <c r="D9" s="563">
        <f>Assumptions!F227+Assumptions!G227</f>
        <v>770</v>
      </c>
      <c r="E9" s="563">
        <v>0</v>
      </c>
      <c r="F9" s="564">
        <f>D9-E9</f>
        <v>770</v>
      </c>
      <c r="L9" s="21"/>
      <c r="M9" s="717" t="s">
        <v>440</v>
      </c>
      <c r="N9" s="718"/>
      <c r="O9" s="718"/>
      <c r="P9" s="718"/>
      <c r="Q9" s="718"/>
      <c r="R9" s="719"/>
      <c r="AD9" s="3">
        <v>2029</v>
      </c>
    </row>
    <row r="10" spans="1:30">
      <c r="A10" s="558" t="s">
        <v>124</v>
      </c>
      <c r="B10" s="558"/>
      <c r="C10" s="558"/>
      <c r="D10" s="563">
        <f>Assumptions!F231+Assumptions!G231</f>
        <v>458</v>
      </c>
      <c r="E10" s="563">
        <v>0</v>
      </c>
      <c r="F10" s="564">
        <f t="shared" ref="F10:F17" si="0">D10-E10</f>
        <v>458</v>
      </c>
      <c r="L10" s="21"/>
      <c r="M10" s="709"/>
      <c r="N10" s="710"/>
      <c r="O10" s="710"/>
      <c r="P10" s="710"/>
      <c r="Q10" s="710"/>
      <c r="R10" s="711"/>
      <c r="AD10" s="3">
        <v>2030</v>
      </c>
    </row>
    <row r="11" spans="1:30" ht="12.75" customHeight="1">
      <c r="A11" s="558" t="s">
        <v>441</v>
      </c>
      <c r="B11" s="558"/>
      <c r="C11" s="558"/>
      <c r="D11" s="563">
        <f>Assumptions!F228+Assumptions!G228</f>
        <v>11353</v>
      </c>
      <c r="E11" s="563">
        <v>0</v>
      </c>
      <c r="F11" s="564">
        <f t="shared" si="0"/>
        <v>11353</v>
      </c>
      <c r="L11" s="20"/>
      <c r="M11" s="709"/>
      <c r="N11" s="710"/>
      <c r="O11" s="710"/>
      <c r="P11" s="710"/>
      <c r="Q11" s="710"/>
      <c r="R11" s="711"/>
      <c r="AD11" s="3">
        <v>2031</v>
      </c>
    </row>
    <row r="12" spans="1:30">
      <c r="A12" s="558" t="s">
        <v>34</v>
      </c>
      <c r="B12" s="558"/>
      <c r="C12" s="558"/>
      <c r="D12" s="563">
        <f>Assumptions!F230+Assumptions!G230</f>
        <v>359</v>
      </c>
      <c r="E12" s="563">
        <v>0</v>
      </c>
      <c r="F12" s="564">
        <f t="shared" si="0"/>
        <v>359</v>
      </c>
      <c r="L12" s="20"/>
      <c r="M12" s="709"/>
      <c r="N12" s="710"/>
      <c r="O12" s="710"/>
      <c r="P12" s="710"/>
      <c r="Q12" s="710"/>
      <c r="R12" s="711"/>
      <c r="AD12" s="3">
        <v>2032</v>
      </c>
    </row>
    <row r="13" spans="1:30">
      <c r="A13" s="558" t="s">
        <v>442</v>
      </c>
      <c r="B13" s="558"/>
      <c r="C13" s="558"/>
      <c r="D13" s="563">
        <f>Assumptions!F229+Assumptions!G229</f>
        <v>0</v>
      </c>
      <c r="E13" s="563">
        <v>0</v>
      </c>
      <c r="F13" s="564">
        <f t="shared" si="0"/>
        <v>0</v>
      </c>
      <c r="M13" s="709"/>
      <c r="N13" s="710"/>
      <c r="O13" s="710"/>
      <c r="P13" s="710"/>
      <c r="Q13" s="710"/>
      <c r="R13" s="711"/>
      <c r="AD13" s="3">
        <v>2033</v>
      </c>
    </row>
    <row r="14" spans="1:30">
      <c r="A14" s="558" t="s">
        <v>443</v>
      </c>
      <c r="B14" s="558"/>
      <c r="C14" s="558"/>
      <c r="D14" s="563">
        <v>0</v>
      </c>
      <c r="E14" s="563">
        <v>0</v>
      </c>
      <c r="F14" s="564">
        <f t="shared" si="0"/>
        <v>0</v>
      </c>
      <c r="M14" s="709"/>
      <c r="N14" s="710"/>
      <c r="O14" s="710"/>
      <c r="P14" s="710"/>
      <c r="Q14" s="710"/>
      <c r="R14" s="711"/>
      <c r="AD14" s="3">
        <v>2034</v>
      </c>
    </row>
    <row r="15" spans="1:30">
      <c r="A15" s="558" t="s">
        <v>444</v>
      </c>
      <c r="B15" s="558"/>
      <c r="C15" s="558"/>
      <c r="D15" s="563">
        <f>Assumptions!F237</f>
        <v>99</v>
      </c>
      <c r="E15" s="563">
        <v>0</v>
      </c>
      <c r="F15" s="564">
        <f t="shared" si="0"/>
        <v>99</v>
      </c>
      <c r="M15" s="720"/>
      <c r="N15" s="721"/>
      <c r="O15" s="721"/>
      <c r="P15" s="721"/>
      <c r="Q15" s="721"/>
      <c r="R15" s="722"/>
      <c r="AD15" s="3">
        <v>2035</v>
      </c>
    </row>
    <row r="16" spans="1:30">
      <c r="A16" s="558" t="s">
        <v>132</v>
      </c>
      <c r="B16" s="558"/>
      <c r="C16" s="558"/>
      <c r="D16" s="563">
        <v>0</v>
      </c>
      <c r="E16" s="563">
        <v>0</v>
      </c>
      <c r="F16" s="564">
        <f t="shared" si="0"/>
        <v>0</v>
      </c>
      <c r="AD16" s="3">
        <v>2036</v>
      </c>
    </row>
    <row r="17" spans="1:30">
      <c r="A17" s="558" t="s">
        <v>445</v>
      </c>
      <c r="B17" s="558"/>
      <c r="C17" s="558"/>
      <c r="D17" s="563">
        <f>Assumptions!F236+Assumptions!G236</f>
        <v>300</v>
      </c>
      <c r="E17" s="563">
        <f>D17</f>
        <v>300</v>
      </c>
      <c r="F17" s="564">
        <f t="shared" si="0"/>
        <v>0</v>
      </c>
      <c r="AD17" s="3">
        <v>2037</v>
      </c>
    </row>
    <row r="18" spans="1:30">
      <c r="A18" s="565" t="s">
        <v>446</v>
      </c>
      <c r="B18" s="558"/>
      <c r="C18" s="558"/>
      <c r="D18" s="563">
        <f>SUM(D8:D17)</f>
        <v>13339</v>
      </c>
      <c r="E18" s="563">
        <f>SUM(E8:E17)</f>
        <v>300</v>
      </c>
      <c r="F18" s="566">
        <f>SUM(F8:F17)</f>
        <v>13039</v>
      </c>
      <c r="H18" s="6"/>
      <c r="AD18" s="3">
        <v>2038</v>
      </c>
    </row>
    <row r="19" spans="1:30">
      <c r="A19" s="723" t="s">
        <v>447</v>
      </c>
      <c r="B19" s="724"/>
      <c r="C19" s="724"/>
      <c r="D19" s="724"/>
      <c r="E19" s="724"/>
      <c r="F19" s="724"/>
      <c r="G19" s="725"/>
      <c r="AD19" s="3">
        <v>2039</v>
      </c>
    </row>
    <row r="20" spans="1:30" hidden="1">
      <c r="A20" s="560" t="s">
        <v>434</v>
      </c>
      <c r="B20" s="560"/>
      <c r="C20" s="560"/>
      <c r="D20" s="558"/>
      <c r="E20" s="559"/>
      <c r="F20" s="558"/>
      <c r="G20" s="558"/>
      <c r="AD20" s="3">
        <v>2040</v>
      </c>
    </row>
    <row r="21" spans="1:30">
      <c r="A21" s="560" t="s">
        <v>448</v>
      </c>
      <c r="B21" s="560"/>
      <c r="C21" s="560"/>
      <c r="D21" s="560" t="s">
        <v>142</v>
      </c>
      <c r="E21" s="567" t="s">
        <v>449</v>
      </c>
      <c r="F21" s="568" t="s">
        <v>450</v>
      </c>
      <c r="G21" s="568" t="s">
        <v>451</v>
      </c>
      <c r="I21" s="6"/>
      <c r="AD21" s="3">
        <v>2040</v>
      </c>
    </row>
    <row r="22" spans="1:30">
      <c r="A22" s="558" t="s">
        <v>452</v>
      </c>
      <c r="B22" s="558"/>
      <c r="C22" s="558"/>
      <c r="D22" s="569">
        <f>IF(F22=0,"0",F22/$F$26)</f>
        <v>0.37484069270560011</v>
      </c>
      <c r="E22" s="563">
        <f>ROUND(G4*F18,0)</f>
        <v>5085</v>
      </c>
      <c r="F22" s="570">
        <f>ROUNDDOWN(E22,-2)</f>
        <v>5000</v>
      </c>
      <c r="G22" s="571">
        <f>F22/F26</f>
        <v>0.37484069270560011</v>
      </c>
      <c r="I22" s="4"/>
      <c r="K22" s="22"/>
      <c r="L22" s="20"/>
      <c r="M22" s="21"/>
    </row>
    <row r="23" spans="1:30">
      <c r="A23" s="558" t="s">
        <v>243</v>
      </c>
      <c r="B23" s="558"/>
      <c r="C23" s="558"/>
      <c r="D23" s="569">
        <f>IF(F23=0,"0",F23/$F$26)</f>
        <v>0.25489167103980809</v>
      </c>
      <c r="E23" s="572">
        <f>D18*0.25</f>
        <v>3334.75</v>
      </c>
      <c r="F23" s="573">
        <f>ROUNDUP(E23,-2)</f>
        <v>3400</v>
      </c>
      <c r="G23" s="571">
        <f>F23/F26</f>
        <v>0.25489167103980809</v>
      </c>
      <c r="I23" s="6"/>
    </row>
    <row r="24" spans="1:30">
      <c r="A24" s="558" t="s">
        <v>454</v>
      </c>
      <c r="B24" s="558"/>
      <c r="C24" s="558"/>
      <c r="D24" s="569">
        <f>IF(F24=0,"0",F24/$F$26)</f>
        <v>0.3702676362545918</v>
      </c>
      <c r="E24" s="572">
        <f>D18-F23-F22</f>
        <v>4939</v>
      </c>
      <c r="F24" s="574">
        <f>E24</f>
        <v>4939</v>
      </c>
      <c r="G24" s="571">
        <f>F24/F26</f>
        <v>0.3702676362545918</v>
      </c>
      <c r="I24" s="6"/>
    </row>
    <row r="25" spans="1:30">
      <c r="A25" s="558"/>
      <c r="B25" s="558"/>
      <c r="C25" s="558"/>
      <c r="D25" s="569" t="str">
        <f>IF(F25=0,"0",F25/$F$26)</f>
        <v>0</v>
      </c>
      <c r="E25" s="572">
        <v>0</v>
      </c>
      <c r="F25" s="574">
        <f>E25</f>
        <v>0</v>
      </c>
      <c r="G25" s="571">
        <f>F25/F26</f>
        <v>0</v>
      </c>
      <c r="I25" s="6"/>
    </row>
    <row r="26" spans="1:30">
      <c r="A26" s="575" t="s">
        <v>109</v>
      </c>
      <c r="B26" s="560"/>
      <c r="C26" s="560"/>
      <c r="D26" s="576">
        <f>SUM(D22:D25)</f>
        <v>1</v>
      </c>
      <c r="E26" s="563"/>
      <c r="F26" s="577">
        <f>SUM(F22:F25)</f>
        <v>13339</v>
      </c>
      <c r="G26" s="578"/>
      <c r="I26" s="6"/>
    </row>
    <row r="27" spans="1:30">
      <c r="A27" s="7"/>
      <c r="B27" s="4"/>
      <c r="C27" s="4"/>
      <c r="D27" s="4"/>
      <c r="E27" s="5"/>
      <c r="F27" s="8"/>
      <c r="I27" s="6"/>
    </row>
    <row r="28" spans="1:30" ht="12.75" customHeight="1">
      <c r="A28" s="738" t="s">
        <v>455</v>
      </c>
      <c r="B28" s="739"/>
      <c r="C28" s="739"/>
      <c r="D28" s="739"/>
      <c r="E28" s="739"/>
      <c r="F28" s="739"/>
      <c r="G28" s="739"/>
      <c r="H28" s="739"/>
      <c r="I28" s="739"/>
      <c r="J28" s="740"/>
      <c r="M28" s="741" t="s">
        <v>456</v>
      </c>
      <c r="N28" s="742"/>
      <c r="O28" s="742"/>
      <c r="P28" s="742"/>
      <c r="Q28" s="742"/>
      <c r="R28" s="742"/>
      <c r="S28" s="742"/>
      <c r="T28" s="743"/>
    </row>
    <row r="29" spans="1:30">
      <c r="A29" s="579"/>
      <c r="B29" s="703">
        <f>J1</f>
        <v>2024</v>
      </c>
      <c r="C29" s="703"/>
      <c r="D29" s="703"/>
      <c r="E29" s="703"/>
      <c r="F29" s="703">
        <f>B29+1</f>
        <v>2025</v>
      </c>
      <c r="G29" s="703"/>
      <c r="H29" s="703"/>
      <c r="I29" s="703"/>
      <c r="J29" s="750" t="s">
        <v>457</v>
      </c>
      <c r="M29" s="744"/>
      <c r="N29" s="745"/>
      <c r="O29" s="745"/>
      <c r="P29" s="745"/>
      <c r="Q29" s="745"/>
      <c r="R29" s="745"/>
      <c r="S29" s="745"/>
      <c r="T29" s="746"/>
    </row>
    <row r="30" spans="1:30">
      <c r="A30" s="552" t="s">
        <v>142</v>
      </c>
      <c r="B30" s="552" t="s">
        <v>428</v>
      </c>
      <c r="C30" s="552" t="s">
        <v>429</v>
      </c>
      <c r="D30" s="552" t="s">
        <v>430</v>
      </c>
      <c r="E30" s="552" t="s">
        <v>431</v>
      </c>
      <c r="F30" s="552" t="s">
        <v>428</v>
      </c>
      <c r="G30" s="552" t="s">
        <v>429</v>
      </c>
      <c r="H30" s="552" t="s">
        <v>430</v>
      </c>
      <c r="I30" s="552" t="s">
        <v>431</v>
      </c>
      <c r="J30" s="750"/>
      <c r="M30" s="744"/>
      <c r="N30" s="745"/>
      <c r="O30" s="745"/>
      <c r="P30" s="745"/>
      <c r="Q30" s="745"/>
      <c r="R30" s="745"/>
      <c r="S30" s="745"/>
      <c r="T30" s="746"/>
    </row>
    <row r="31" spans="1:30">
      <c r="A31" s="580" t="s">
        <v>434</v>
      </c>
      <c r="B31" s="581"/>
      <c r="C31" s="581"/>
      <c r="D31" s="581"/>
      <c r="E31" s="581"/>
      <c r="F31" s="581"/>
      <c r="G31" s="581"/>
      <c r="H31" s="581"/>
      <c r="I31" s="581"/>
      <c r="J31" s="578"/>
      <c r="M31" s="744"/>
      <c r="N31" s="745"/>
      <c r="O31" s="745"/>
      <c r="P31" s="745"/>
      <c r="Q31" s="745"/>
      <c r="R31" s="745"/>
      <c r="S31" s="745"/>
      <c r="T31" s="746"/>
    </row>
    <row r="32" spans="1:30">
      <c r="A32" s="580" t="s">
        <v>439</v>
      </c>
      <c r="B32" s="582">
        <v>0.3</v>
      </c>
      <c r="C32" s="582">
        <v>0.4</v>
      </c>
      <c r="D32" s="582">
        <v>0.3</v>
      </c>
      <c r="E32" s="582"/>
      <c r="F32" s="582"/>
      <c r="G32" s="582"/>
      <c r="H32" s="582"/>
      <c r="I32" s="582"/>
      <c r="J32" s="583">
        <f t="shared" ref="J32:J39" si="1">SUM(B32:I32)</f>
        <v>1</v>
      </c>
      <c r="K32" s="33"/>
      <c r="M32" s="744"/>
      <c r="N32" s="745"/>
      <c r="O32" s="745"/>
      <c r="P32" s="745"/>
      <c r="Q32" s="745"/>
      <c r="R32" s="745"/>
      <c r="S32" s="745"/>
      <c r="T32" s="746"/>
    </row>
    <row r="33" spans="1:24">
      <c r="A33" s="580" t="s">
        <v>124</v>
      </c>
      <c r="B33" s="582"/>
      <c r="C33" s="582"/>
      <c r="D33" s="582">
        <v>0.4</v>
      </c>
      <c r="E33" s="582">
        <v>0.6</v>
      </c>
      <c r="F33" s="582"/>
      <c r="G33" s="582"/>
      <c r="H33" s="582"/>
      <c r="I33" s="582"/>
      <c r="J33" s="583">
        <f t="shared" si="1"/>
        <v>1</v>
      </c>
      <c r="M33" s="744"/>
      <c r="N33" s="745"/>
      <c r="O33" s="745"/>
      <c r="P33" s="745"/>
      <c r="Q33" s="745"/>
      <c r="R33" s="745"/>
      <c r="S33" s="745"/>
      <c r="T33" s="746"/>
    </row>
    <row r="34" spans="1:24">
      <c r="A34" s="580" t="s">
        <v>441</v>
      </c>
      <c r="B34" s="582"/>
      <c r="C34" s="582">
        <v>0.3</v>
      </c>
      <c r="D34" s="582">
        <v>0.3</v>
      </c>
      <c r="E34" s="582">
        <v>0.4</v>
      </c>
      <c r="F34" s="582"/>
      <c r="G34" s="582"/>
      <c r="H34" s="582"/>
      <c r="I34" s="582"/>
      <c r="J34" s="583">
        <f t="shared" si="1"/>
        <v>1</v>
      </c>
      <c r="M34" s="747"/>
      <c r="N34" s="748"/>
      <c r="O34" s="748"/>
      <c r="P34" s="748"/>
      <c r="Q34" s="748"/>
      <c r="R34" s="748"/>
      <c r="S34" s="748"/>
      <c r="T34" s="749"/>
    </row>
    <row r="35" spans="1:24">
      <c r="A35" s="580" t="s">
        <v>34</v>
      </c>
      <c r="B35" s="582"/>
      <c r="C35" s="582"/>
      <c r="D35" s="582">
        <v>0.5</v>
      </c>
      <c r="E35" s="582">
        <v>0.5</v>
      </c>
      <c r="F35" s="582"/>
      <c r="G35" s="582"/>
      <c r="H35" s="582"/>
      <c r="I35" s="582"/>
      <c r="J35" s="583">
        <f t="shared" si="1"/>
        <v>1</v>
      </c>
    </row>
    <row r="36" spans="1:24" ht="12.75" customHeight="1">
      <c r="A36" s="580" t="s">
        <v>442</v>
      </c>
      <c r="B36" s="582"/>
      <c r="C36" s="582"/>
      <c r="D36" s="582"/>
      <c r="E36" s="582">
        <v>0.5</v>
      </c>
      <c r="F36" s="582">
        <v>0.5</v>
      </c>
      <c r="G36" s="582"/>
      <c r="H36" s="582"/>
      <c r="I36" s="582"/>
      <c r="J36" s="583">
        <f t="shared" si="1"/>
        <v>1</v>
      </c>
      <c r="N36" s="741" t="s">
        <v>458</v>
      </c>
      <c r="O36" s="742"/>
      <c r="P36" s="742"/>
      <c r="Q36" s="742"/>
      <c r="R36" s="742"/>
      <c r="S36" s="742"/>
      <c r="T36" s="742"/>
      <c r="U36" s="742"/>
      <c r="V36" s="742"/>
      <c r="W36" s="742"/>
      <c r="X36" s="743"/>
    </row>
    <row r="37" spans="1:24" ht="12.75" customHeight="1">
      <c r="A37" s="584" t="s">
        <v>443</v>
      </c>
      <c r="B37" s="582"/>
      <c r="C37" s="582"/>
      <c r="D37" s="582"/>
      <c r="E37" s="582"/>
      <c r="F37" s="582"/>
      <c r="G37" s="582"/>
      <c r="H37" s="582"/>
      <c r="I37" s="582"/>
      <c r="J37" s="583">
        <f t="shared" si="1"/>
        <v>0</v>
      </c>
      <c r="N37" s="744"/>
      <c r="O37" s="745"/>
      <c r="P37" s="745"/>
      <c r="Q37" s="745"/>
      <c r="R37" s="745"/>
      <c r="S37" s="745"/>
      <c r="T37" s="745"/>
      <c r="U37" s="745"/>
      <c r="V37" s="745"/>
      <c r="W37" s="745"/>
      <c r="X37" s="746"/>
    </row>
    <row r="38" spans="1:24" ht="12.75" customHeight="1">
      <c r="A38" s="584" t="s">
        <v>444</v>
      </c>
      <c r="B38" s="582"/>
      <c r="C38" s="582"/>
      <c r="D38" s="582">
        <v>0.3</v>
      </c>
      <c r="E38" s="582">
        <v>0.7</v>
      </c>
      <c r="F38" s="582"/>
      <c r="G38" s="582"/>
      <c r="H38" s="582"/>
      <c r="I38" s="582"/>
      <c r="J38" s="583">
        <f t="shared" si="1"/>
        <v>1</v>
      </c>
      <c r="N38" s="744"/>
      <c r="O38" s="745"/>
      <c r="P38" s="745"/>
      <c r="Q38" s="745"/>
      <c r="R38" s="745"/>
      <c r="S38" s="745"/>
      <c r="T38" s="745"/>
      <c r="U38" s="745"/>
      <c r="V38" s="745"/>
      <c r="W38" s="745"/>
      <c r="X38" s="746"/>
    </row>
    <row r="39" spans="1:24">
      <c r="A39" s="584" t="s">
        <v>132</v>
      </c>
      <c r="B39" s="582"/>
      <c r="C39" s="582"/>
      <c r="D39" s="582"/>
      <c r="E39" s="582"/>
      <c r="F39" s="582"/>
      <c r="G39" s="582"/>
      <c r="H39" s="582"/>
      <c r="I39" s="582"/>
      <c r="J39" s="583">
        <f t="shared" si="1"/>
        <v>0</v>
      </c>
      <c r="N39" s="744"/>
      <c r="O39" s="745"/>
      <c r="P39" s="745"/>
      <c r="Q39" s="745"/>
      <c r="R39" s="745"/>
      <c r="S39" s="745"/>
      <c r="T39" s="745"/>
      <c r="U39" s="745"/>
      <c r="V39" s="745"/>
      <c r="W39" s="745"/>
      <c r="X39" s="746"/>
    </row>
    <row r="40" spans="1:24">
      <c r="B40" s="4"/>
      <c r="C40" s="4"/>
      <c r="D40" s="4"/>
      <c r="E40" s="5"/>
      <c r="F40" s="8"/>
      <c r="I40" s="6"/>
      <c r="N40" s="744"/>
      <c r="O40" s="745"/>
      <c r="P40" s="745"/>
      <c r="Q40" s="745"/>
      <c r="R40" s="745"/>
      <c r="S40" s="745"/>
      <c r="T40" s="745"/>
      <c r="U40" s="745"/>
      <c r="V40" s="745"/>
      <c r="W40" s="745"/>
      <c r="X40" s="746"/>
    </row>
    <row r="41" spans="1:24">
      <c r="A41" s="700" t="s">
        <v>459</v>
      </c>
      <c r="B41" s="701"/>
      <c r="C41" s="701"/>
      <c r="D41" s="701"/>
      <c r="E41" s="701"/>
      <c r="F41" s="701"/>
      <c r="G41" s="701"/>
      <c r="H41" s="701"/>
      <c r="I41" s="701"/>
      <c r="J41" s="701"/>
      <c r="K41" s="702"/>
      <c r="N41" s="744"/>
      <c r="O41" s="745"/>
      <c r="P41" s="745"/>
      <c r="Q41" s="745"/>
      <c r="R41" s="745"/>
      <c r="S41" s="745"/>
      <c r="T41" s="745"/>
      <c r="U41" s="745"/>
      <c r="V41" s="745"/>
      <c r="W41" s="745"/>
      <c r="X41" s="746"/>
    </row>
    <row r="42" spans="1:24">
      <c r="A42" s="552" t="s">
        <v>438</v>
      </c>
      <c r="B42" s="703">
        <f>B29</f>
        <v>2024</v>
      </c>
      <c r="C42" s="703"/>
      <c r="D42" s="703"/>
      <c r="E42" s="703"/>
      <c r="F42" s="703">
        <f>F29</f>
        <v>2025</v>
      </c>
      <c r="G42" s="703"/>
      <c r="H42" s="703"/>
      <c r="I42" s="703"/>
      <c r="J42" s="585"/>
      <c r="K42" s="751" t="s">
        <v>460</v>
      </c>
      <c r="N42" s="744"/>
      <c r="O42" s="745"/>
      <c r="P42" s="745"/>
      <c r="Q42" s="745"/>
      <c r="R42" s="745"/>
      <c r="S42" s="745"/>
      <c r="T42" s="745"/>
      <c r="U42" s="745"/>
      <c r="V42" s="745"/>
      <c r="W42" s="745"/>
      <c r="X42" s="746"/>
    </row>
    <row r="43" spans="1:24">
      <c r="A43" s="586" t="s">
        <v>461</v>
      </c>
      <c r="B43" s="587" t="str">
        <f>B30</f>
        <v>1st Q</v>
      </c>
      <c r="C43" s="587" t="str">
        <f t="shared" ref="C43:I43" si="2">C30</f>
        <v>2nd Q</v>
      </c>
      <c r="D43" s="587" t="str">
        <f t="shared" si="2"/>
        <v>3rd Q</v>
      </c>
      <c r="E43" s="587" t="str">
        <f t="shared" si="2"/>
        <v>4th Q</v>
      </c>
      <c r="F43" s="587" t="str">
        <f t="shared" si="2"/>
        <v>1st Q</v>
      </c>
      <c r="G43" s="587" t="str">
        <f t="shared" si="2"/>
        <v>2nd Q</v>
      </c>
      <c r="H43" s="587" t="str">
        <f t="shared" si="2"/>
        <v>3rd Q</v>
      </c>
      <c r="I43" s="587" t="str">
        <f t="shared" si="2"/>
        <v>4th Q</v>
      </c>
      <c r="J43" s="587"/>
      <c r="K43" s="752"/>
      <c r="M43" s="4"/>
      <c r="N43" s="744"/>
      <c r="O43" s="745"/>
      <c r="P43" s="745"/>
      <c r="Q43" s="745"/>
      <c r="R43" s="745"/>
      <c r="S43" s="745"/>
      <c r="T43" s="745"/>
      <c r="U43" s="745"/>
      <c r="V43" s="745"/>
      <c r="W43" s="745"/>
      <c r="X43" s="746"/>
    </row>
    <row r="44" spans="1:24">
      <c r="A44" s="584" t="s">
        <v>462</v>
      </c>
      <c r="B44" s="572">
        <f>ROUND(($F$9*B32),2)+ROUND(($F$10*B33),2)+ROUND(($F$11*B34),2)+ROUND(($F$12*B35),2)+ROUND(($F$13*B36),2)+ROUND(($F$14*B37),2)+ROUND(($F$15*B38),2)+ROUND(($F$16*B39),2)</f>
        <v>231</v>
      </c>
      <c r="C44" s="572">
        <f t="shared" ref="C44:I44" si="3">ROUND(($F$9*C32),2)+ROUND(($F$10*C33),2)+ROUND(($F$11*C34),2)+ROUND(($F$12*C35),2)+ROUND(($F$13*C36),2)+ROUND(($F$14*C37),2)+ROUND(($F$15*C38),2)+ROUND(($F$16*C39),2)</f>
        <v>3713.9</v>
      </c>
      <c r="D44" s="572">
        <f t="shared" si="3"/>
        <v>4029.2999999999997</v>
      </c>
      <c r="E44" s="572">
        <f t="shared" si="3"/>
        <v>5064.8</v>
      </c>
      <c r="F44" s="572">
        <f t="shared" si="3"/>
        <v>0</v>
      </c>
      <c r="G44" s="572">
        <f t="shared" si="3"/>
        <v>0</v>
      </c>
      <c r="H44" s="572">
        <f t="shared" si="3"/>
        <v>0</v>
      </c>
      <c r="I44" s="572">
        <f t="shared" si="3"/>
        <v>0</v>
      </c>
      <c r="J44" s="588"/>
      <c r="K44" s="36">
        <f>SUM(B44:I44)</f>
        <v>13039</v>
      </c>
      <c r="N44" s="747"/>
      <c r="O44" s="748"/>
      <c r="P44" s="748"/>
      <c r="Q44" s="748"/>
      <c r="R44" s="748"/>
      <c r="S44" s="748"/>
      <c r="T44" s="748"/>
      <c r="U44" s="748"/>
      <c r="V44" s="748"/>
      <c r="W44" s="748"/>
      <c r="X44" s="749"/>
    </row>
    <row r="45" spans="1:24">
      <c r="A45" s="584" t="s">
        <v>432</v>
      </c>
      <c r="B45" s="560">
        <v>0</v>
      </c>
      <c r="C45" s="572">
        <f>ROUND(IF(((B44*$G$4))&lt;0,0,((B44*$G$4)))-(((B44*$G$4)/$F$22)*$D$17),100)</f>
        <v>84.684600000000003</v>
      </c>
      <c r="D45" s="572">
        <f t="shared" ref="D45:I45" si="4">ROUND(IF(((C44*$G$4))&lt;0,0,((C44*$G$4)))-(((C44*$G$4)/$F$22)*$D$17),100)</f>
        <v>1361.5157400000001</v>
      </c>
      <c r="E45" s="572">
        <f>ROUND(IF(((D44*$G$4))&lt;0,0,((D44*$G$4)))-(((D44*$G$4)/$F$22)*$D$17),100)</f>
        <v>1477.14138</v>
      </c>
      <c r="F45" s="572">
        <f t="shared" si="4"/>
        <v>1856.75568</v>
      </c>
      <c r="G45" s="572">
        <f t="shared" si="4"/>
        <v>0</v>
      </c>
      <c r="H45" s="572">
        <f t="shared" si="4"/>
        <v>0</v>
      </c>
      <c r="I45" s="572">
        <f t="shared" si="4"/>
        <v>0</v>
      </c>
      <c r="J45" s="588">
        <f>ROUND(IF(((I44*$G$4))&lt;0,0,((I44*$G$4)))-(((I44*$G$4)/$F$22)*$D$17),100)</f>
        <v>0</v>
      </c>
      <c r="K45" s="36">
        <f>SUM(B45:J45)</f>
        <v>4780.0974000000006</v>
      </c>
      <c r="L45" s="755" t="str">
        <f>CONCATENATE("Warning : Exceeded Loan Amount by  ","SR   ",W46)</f>
        <v>Warning : Exceeded Loan Amount by  SR   85</v>
      </c>
      <c r="M45" s="755"/>
      <c r="N45" s="756"/>
      <c r="O45" s="756"/>
      <c r="P45" s="756"/>
      <c r="Q45" s="756"/>
      <c r="R45" s="756"/>
      <c r="S45" s="757"/>
    </row>
    <row r="46" spans="1:24" ht="12.75" customHeight="1">
      <c r="A46" s="584" t="s">
        <v>463</v>
      </c>
      <c r="B46" s="589">
        <f t="shared" ref="B46:I46" si="5">M5</f>
        <v>0</v>
      </c>
      <c r="C46" s="589">
        <f t="shared" si="5"/>
        <v>0</v>
      </c>
      <c r="D46" s="589">
        <f t="shared" si="5"/>
        <v>0</v>
      </c>
      <c r="E46" s="589">
        <f t="shared" si="5"/>
        <v>0</v>
      </c>
      <c r="F46" s="589">
        <f t="shared" si="5"/>
        <v>0</v>
      </c>
      <c r="G46" s="589">
        <f t="shared" si="5"/>
        <v>0</v>
      </c>
      <c r="H46" s="589">
        <f t="shared" si="5"/>
        <v>0</v>
      </c>
      <c r="I46" s="589">
        <f t="shared" si="5"/>
        <v>0</v>
      </c>
      <c r="J46" s="590"/>
      <c r="K46" s="36">
        <f>SUM(B46:J46)</f>
        <v>0</v>
      </c>
      <c r="L46" s="756"/>
      <c r="M46" s="756"/>
      <c r="N46" s="756"/>
      <c r="O46" s="756"/>
      <c r="P46" s="756"/>
      <c r="Q46" s="756"/>
      <c r="R46" s="756"/>
      <c r="S46" s="757"/>
      <c r="W46" s="34">
        <f>ROUND((F22-(K45+K46+K47))*-1,0)</f>
        <v>85</v>
      </c>
    </row>
    <row r="47" spans="1:24" ht="12.75" customHeight="1">
      <c r="A47" s="584" t="s">
        <v>464</v>
      </c>
      <c r="B47" s="591">
        <f>IF(B46&gt;0,((B46/F22)*D17),0)</f>
        <v>0</v>
      </c>
      <c r="C47" s="592">
        <f>ROUND(((B44*$G$4)/$F$22)*$D$17,100)+ROUND(IF(C46&gt;0,((C46/$F$22)*$D$17),0),100)</f>
        <v>5.4054000000000002</v>
      </c>
      <c r="D47" s="592">
        <f t="shared" ref="D47:J47" si="6">ROUND(((C44*$G$4)/$F$22)*$D$17,100)+ROUND(IF(D46&gt;0,((D46/$F$22)*$D$17),0),100)</f>
        <v>86.905259999999998</v>
      </c>
      <c r="E47" s="592">
        <f t="shared" si="6"/>
        <v>94.285619999999994</v>
      </c>
      <c r="F47" s="592">
        <f t="shared" si="6"/>
        <v>118.51631999999999</v>
      </c>
      <c r="G47" s="592">
        <f t="shared" si="6"/>
        <v>0</v>
      </c>
      <c r="H47" s="592">
        <f t="shared" si="6"/>
        <v>0</v>
      </c>
      <c r="I47" s="592">
        <f t="shared" si="6"/>
        <v>0</v>
      </c>
      <c r="J47" s="592">
        <f t="shared" si="6"/>
        <v>0</v>
      </c>
      <c r="K47" s="36">
        <f>SUM(B47:J47)</f>
        <v>305.11259999999999</v>
      </c>
      <c r="L47" s="758"/>
      <c r="M47" s="758"/>
      <c r="N47" s="758"/>
      <c r="O47" s="758"/>
      <c r="P47" s="758"/>
      <c r="Q47" s="758"/>
      <c r="R47" s="758"/>
      <c r="S47" s="759"/>
    </row>
    <row r="48" spans="1:24" ht="13.5" customHeight="1">
      <c r="A48" s="593" t="s">
        <v>465</v>
      </c>
      <c r="B48" s="594">
        <f>ROUND(B44-B45+B47,100)</f>
        <v>231</v>
      </c>
      <c r="C48" s="594">
        <f t="shared" ref="C48:J48" si="7">ROUND(C44-C45+C47,100)</f>
        <v>3634.6208000000001</v>
      </c>
      <c r="D48" s="594">
        <f t="shared" si="7"/>
        <v>2754.6895199999999</v>
      </c>
      <c r="E48" s="594">
        <f t="shared" si="7"/>
        <v>3681.9442399999998</v>
      </c>
      <c r="F48" s="594">
        <f t="shared" si="7"/>
        <v>-1738.23936</v>
      </c>
      <c r="G48" s="594">
        <f t="shared" si="7"/>
        <v>0</v>
      </c>
      <c r="H48" s="594">
        <f t="shared" si="7"/>
        <v>0</v>
      </c>
      <c r="I48" s="594">
        <f t="shared" si="7"/>
        <v>0</v>
      </c>
      <c r="J48" s="594">
        <f t="shared" si="7"/>
        <v>0</v>
      </c>
      <c r="K48" s="36">
        <f>SUM(B48:J48)-K47</f>
        <v>8258.9026000000013</v>
      </c>
      <c r="L48" s="37"/>
    </row>
    <row r="49" spans="1:20">
      <c r="A49" s="595" t="s">
        <v>466</v>
      </c>
      <c r="B49" s="596">
        <f>C45+B46</f>
        <v>84.684600000000003</v>
      </c>
      <c r="C49" s="596">
        <f t="shared" ref="C49:I49" si="8">D45+C46</f>
        <v>1361.5157400000001</v>
      </c>
      <c r="D49" s="596">
        <f t="shared" si="8"/>
        <v>1477.14138</v>
      </c>
      <c r="E49" s="596">
        <f t="shared" si="8"/>
        <v>1856.75568</v>
      </c>
      <c r="F49" s="596">
        <f t="shared" si="8"/>
        <v>0</v>
      </c>
      <c r="G49" s="596">
        <f t="shared" si="8"/>
        <v>0</v>
      </c>
      <c r="H49" s="596">
        <f t="shared" si="8"/>
        <v>0</v>
      </c>
      <c r="I49" s="596">
        <f t="shared" si="8"/>
        <v>0</v>
      </c>
      <c r="J49" s="597"/>
      <c r="K49" s="35"/>
    </row>
    <row r="50" spans="1:20">
      <c r="A50" s="7"/>
      <c r="B50" s="4"/>
      <c r="C50" s="4"/>
      <c r="D50" s="4"/>
      <c r="E50" s="5"/>
      <c r="F50" s="8"/>
      <c r="I50" s="6"/>
    </row>
    <row r="51" spans="1:20">
      <c r="A51" s="700" t="s">
        <v>467</v>
      </c>
      <c r="B51" s="701"/>
      <c r="C51" s="701"/>
      <c r="D51" s="701"/>
      <c r="E51" s="701"/>
      <c r="F51" s="701"/>
      <c r="G51" s="701"/>
      <c r="H51" s="701"/>
      <c r="I51" s="702"/>
    </row>
    <row r="52" spans="1:20">
      <c r="A52" s="552" t="s">
        <v>438</v>
      </c>
      <c r="B52" s="703">
        <f>B29</f>
        <v>2024</v>
      </c>
      <c r="C52" s="703"/>
      <c r="D52" s="703"/>
      <c r="E52" s="703"/>
      <c r="F52" s="703">
        <f>F29</f>
        <v>2025</v>
      </c>
      <c r="G52" s="703"/>
      <c r="H52" s="703"/>
      <c r="I52" s="703"/>
      <c r="L52" s="598"/>
      <c r="M52" s="599"/>
      <c r="N52" s="599"/>
      <c r="O52" s="599"/>
      <c r="P52" s="599"/>
      <c r="Q52" s="599"/>
      <c r="R52" s="599"/>
      <c r="S52" s="599"/>
      <c r="T52" s="600"/>
    </row>
    <row r="53" spans="1:20">
      <c r="A53" s="586" t="s">
        <v>461</v>
      </c>
      <c r="B53" s="587" t="str">
        <f>B30</f>
        <v>1st Q</v>
      </c>
      <c r="C53" s="587" t="str">
        <f t="shared" ref="C53:I53" si="9">C30</f>
        <v>2nd Q</v>
      </c>
      <c r="D53" s="587" t="str">
        <f t="shared" si="9"/>
        <v>3rd Q</v>
      </c>
      <c r="E53" s="587" t="str">
        <f t="shared" si="9"/>
        <v>4th Q</v>
      </c>
      <c r="F53" s="587" t="str">
        <f t="shared" si="9"/>
        <v>1st Q</v>
      </c>
      <c r="G53" s="587" t="str">
        <f t="shared" si="9"/>
        <v>2nd Q</v>
      </c>
      <c r="H53" s="587" t="str">
        <f t="shared" si="9"/>
        <v>3rd Q</v>
      </c>
      <c r="I53" s="587" t="str">
        <f t="shared" si="9"/>
        <v>4th Q</v>
      </c>
      <c r="J53" s="601"/>
      <c r="L53" s="38"/>
      <c r="M53" s="700" t="s">
        <v>468</v>
      </c>
      <c r="N53" s="701"/>
      <c r="O53" s="701"/>
      <c r="P53" s="701"/>
      <c r="Q53" s="701"/>
      <c r="R53" s="701"/>
      <c r="S53" s="704"/>
      <c r="T53" s="39"/>
    </row>
    <row r="54" spans="1:20">
      <c r="A54" s="584" t="s">
        <v>243</v>
      </c>
      <c r="B54" s="602">
        <f>ROUND(B44*($F$23/$F$18),0)</f>
        <v>60</v>
      </c>
      <c r="C54" s="602">
        <f t="shared" ref="C54:J54" si="10">ROUND(C44*($F$23/$F$18),0)</f>
        <v>968</v>
      </c>
      <c r="D54" s="602">
        <f t="shared" si="10"/>
        <v>1051</v>
      </c>
      <c r="E54" s="602">
        <f t="shared" si="10"/>
        <v>1321</v>
      </c>
      <c r="F54" s="602">
        <f t="shared" si="10"/>
        <v>0</v>
      </c>
      <c r="G54" s="602">
        <f t="shared" si="10"/>
        <v>0</v>
      </c>
      <c r="H54" s="602">
        <f t="shared" si="10"/>
        <v>0</v>
      </c>
      <c r="I54" s="602">
        <f t="shared" si="10"/>
        <v>0</v>
      </c>
      <c r="J54" s="572">
        <f t="shared" si="10"/>
        <v>0</v>
      </c>
      <c r="L54" s="38"/>
      <c r="M54" s="705" t="s">
        <v>469</v>
      </c>
      <c r="N54" s="706"/>
      <c r="O54" s="603">
        <v>0.3</v>
      </c>
      <c r="P54" s="603">
        <v>0.5</v>
      </c>
      <c r="Q54" s="603">
        <v>0.7</v>
      </c>
      <c r="R54" s="603">
        <v>1</v>
      </c>
      <c r="S54" s="604"/>
      <c r="T54" s="39"/>
    </row>
    <row r="55" spans="1:20">
      <c r="A55" s="584" t="s">
        <v>453</v>
      </c>
      <c r="B55" s="605"/>
      <c r="C55" s="605"/>
      <c r="D55" s="605"/>
      <c r="E55" s="605"/>
      <c r="F55" s="605"/>
      <c r="G55" s="605"/>
      <c r="H55" s="605"/>
      <c r="I55" s="605"/>
      <c r="J55" s="592"/>
      <c r="L55" s="38"/>
      <c r="M55" s="707" t="s">
        <v>470</v>
      </c>
      <c r="N55" s="708"/>
      <c r="O55" s="572">
        <f>SUMIF($B$48:$I$48,"&gt;0",$B$48:$I$48)</f>
        <v>10302.254560000001</v>
      </c>
      <c r="P55" s="572">
        <f t="shared" ref="P55:S55" si="11">SUMIF($B$48:$I$48,"&gt;0",$B$48:$I$48)</f>
        <v>10302.254560000001</v>
      </c>
      <c r="Q55" s="572">
        <f t="shared" si="11"/>
        <v>10302.254560000001</v>
      </c>
      <c r="R55" s="572">
        <f t="shared" si="11"/>
        <v>10302.254560000001</v>
      </c>
      <c r="S55" s="572">
        <f t="shared" si="11"/>
        <v>10302.254560000001</v>
      </c>
      <c r="T55" s="39"/>
    </row>
    <row r="56" spans="1:20">
      <c r="A56" s="584" t="s">
        <v>454</v>
      </c>
      <c r="B56" s="605"/>
      <c r="C56" s="605"/>
      <c r="D56" s="605"/>
      <c r="E56" s="605"/>
      <c r="F56" s="605"/>
      <c r="G56" s="605"/>
      <c r="H56" s="605"/>
      <c r="I56" s="605"/>
      <c r="J56" s="592"/>
      <c r="L56" s="38"/>
      <c r="M56" s="707" t="s">
        <v>471</v>
      </c>
      <c r="N56" s="708"/>
      <c r="O56" s="572">
        <f>IF(SUMIF($B$48:$I$48,"&gt;0",$B$48:$I$48)-(O$54*$F$18)&lt;0,0,SUMIF($B$48:$I$48,"&gt;0",$B$48:$I$48)-(O$54*$F$18))</f>
        <v>6390.5545600000014</v>
      </c>
      <c r="P56" s="572">
        <f t="shared" ref="P56:S56" si="12">IF(SUMIF($B$48:$I$48,"&gt;0",$B$48:$I$48)-(P$54*$F$18)&lt;0,0,SUMIF($B$48:$I$48,"&gt;0",$B$48:$I$48)-(P$54*$F$18))</f>
        <v>3782.7545600000012</v>
      </c>
      <c r="Q56" s="572">
        <f t="shared" si="12"/>
        <v>1174.9545600000019</v>
      </c>
      <c r="R56" s="572">
        <f t="shared" si="12"/>
        <v>0</v>
      </c>
      <c r="S56" s="572">
        <f t="shared" si="12"/>
        <v>10302.254560000001</v>
      </c>
      <c r="T56" s="39"/>
    </row>
    <row r="57" spans="1:20">
      <c r="A57" s="584" t="s">
        <v>472</v>
      </c>
      <c r="B57" s="605"/>
      <c r="C57" s="605"/>
      <c r="D57" s="605"/>
      <c r="E57" s="605"/>
      <c r="F57" s="605"/>
      <c r="G57" s="605"/>
      <c r="H57" s="605"/>
      <c r="I57" s="605"/>
      <c r="J57" s="592"/>
      <c r="L57" s="38"/>
      <c r="M57" s="753" t="s">
        <v>473</v>
      </c>
      <c r="N57" s="754"/>
      <c r="O57" s="606">
        <f>O55-O56</f>
        <v>3911.7</v>
      </c>
      <c r="P57" s="606">
        <f t="shared" ref="P57:S57" si="13">P55-P56</f>
        <v>6519.5</v>
      </c>
      <c r="Q57" s="606">
        <f t="shared" si="13"/>
        <v>9127.2999999999993</v>
      </c>
      <c r="R57" s="606">
        <f t="shared" si="13"/>
        <v>10302.254560000001</v>
      </c>
      <c r="S57" s="606">
        <f t="shared" si="13"/>
        <v>0</v>
      </c>
      <c r="T57" s="39"/>
    </row>
    <row r="58" spans="1:20">
      <c r="A58" s="584" t="s">
        <v>474</v>
      </c>
      <c r="B58" s="605"/>
      <c r="C58" s="605"/>
      <c r="D58" s="605"/>
      <c r="E58" s="605"/>
      <c r="F58" s="605"/>
      <c r="G58" s="605"/>
      <c r="H58" s="605"/>
      <c r="I58" s="605"/>
      <c r="J58" s="592"/>
      <c r="L58" s="38"/>
      <c r="T58" s="39"/>
    </row>
    <row r="59" spans="1:20">
      <c r="A59" s="607" t="s">
        <v>475</v>
      </c>
      <c r="B59" s="605"/>
      <c r="C59" s="605"/>
      <c r="D59" s="605"/>
      <c r="E59" s="605"/>
      <c r="F59" s="46"/>
      <c r="G59" s="605"/>
      <c r="H59" s="605"/>
      <c r="I59" s="605"/>
      <c r="J59" s="592"/>
      <c r="L59" s="38"/>
      <c r="O59" s="40"/>
      <c r="T59" s="39"/>
    </row>
    <row r="60" spans="1:20" ht="12.75" customHeight="1">
      <c r="A60" s="607" t="s">
        <v>475</v>
      </c>
      <c r="B60" s="605"/>
      <c r="C60" s="605"/>
      <c r="D60" s="605"/>
      <c r="E60" s="605"/>
      <c r="F60" s="605"/>
      <c r="G60" s="605"/>
      <c r="H60" s="605"/>
      <c r="I60" s="605"/>
      <c r="J60" s="592"/>
      <c r="L60" s="709" t="s">
        <v>476</v>
      </c>
      <c r="M60" s="710"/>
      <c r="N60" s="710"/>
      <c r="O60" s="710"/>
      <c r="P60" s="710"/>
      <c r="Q60" s="710"/>
      <c r="R60" s="710"/>
      <c r="S60" s="710"/>
      <c r="T60" s="711"/>
    </row>
    <row r="61" spans="1:20">
      <c r="A61" s="607" t="s">
        <v>475</v>
      </c>
      <c r="B61" s="605"/>
      <c r="C61" s="605"/>
      <c r="D61" s="605"/>
      <c r="E61" s="605"/>
      <c r="F61" s="605"/>
      <c r="G61" s="605"/>
      <c r="H61" s="605"/>
      <c r="I61" s="605"/>
      <c r="J61" s="592"/>
      <c r="L61" s="709"/>
      <c r="M61" s="710"/>
      <c r="N61" s="710"/>
      <c r="O61" s="710"/>
      <c r="P61" s="710"/>
      <c r="Q61" s="710"/>
      <c r="R61" s="710"/>
      <c r="S61" s="710"/>
      <c r="T61" s="711"/>
    </row>
    <row r="62" spans="1:20">
      <c r="A62" s="607" t="s">
        <v>475</v>
      </c>
      <c r="B62" s="608">
        <f>B48-B54-B55-B56-B57-B58-B59-B60-B61</f>
        <v>171</v>
      </c>
      <c r="C62" s="608">
        <f t="shared" ref="C62:I62" si="14">C48-C54-C55-C56-C57-C58-C59-C60-C61</f>
        <v>2666.6208000000001</v>
      </c>
      <c r="D62" s="608">
        <f t="shared" si="14"/>
        <v>1703.6895199999999</v>
      </c>
      <c r="E62" s="608">
        <f t="shared" si="14"/>
        <v>2360.9442399999998</v>
      </c>
      <c r="F62" s="608">
        <f t="shared" si="14"/>
        <v>-1738.23936</v>
      </c>
      <c r="G62" s="608">
        <f t="shared" si="14"/>
        <v>0</v>
      </c>
      <c r="H62" s="608">
        <f t="shared" si="14"/>
        <v>0</v>
      </c>
      <c r="I62" s="608">
        <f t="shared" si="14"/>
        <v>0</v>
      </c>
      <c r="J62" s="592"/>
      <c r="L62" s="709"/>
      <c r="M62" s="710"/>
      <c r="N62" s="710"/>
      <c r="O62" s="710"/>
      <c r="P62" s="710"/>
      <c r="Q62" s="710"/>
      <c r="R62" s="710"/>
      <c r="S62" s="710"/>
      <c r="T62" s="711"/>
    </row>
    <row r="63" spans="1:20">
      <c r="A63" s="593" t="s">
        <v>477</v>
      </c>
      <c r="B63" s="609">
        <f t="shared" ref="B63:J63" si="15">SUM(B54:B62)</f>
        <v>231</v>
      </c>
      <c r="C63" s="609">
        <f>SUM(C54:C62)</f>
        <v>3634.6208000000001</v>
      </c>
      <c r="D63" s="609">
        <f t="shared" si="15"/>
        <v>2754.6895199999999</v>
      </c>
      <c r="E63" s="609">
        <f t="shared" si="15"/>
        <v>3681.9442399999998</v>
      </c>
      <c r="F63" s="609">
        <f>SUM(F54:F62)</f>
        <v>-1738.23936</v>
      </c>
      <c r="G63" s="609">
        <f t="shared" si="15"/>
        <v>0</v>
      </c>
      <c r="H63" s="609">
        <f t="shared" si="15"/>
        <v>0</v>
      </c>
      <c r="I63" s="609">
        <f t="shared" si="15"/>
        <v>0</v>
      </c>
      <c r="J63" s="594">
        <f t="shared" si="15"/>
        <v>0</v>
      </c>
      <c r="L63" s="709"/>
      <c r="M63" s="710"/>
      <c r="N63" s="710"/>
      <c r="O63" s="710"/>
      <c r="P63" s="710"/>
      <c r="Q63" s="710"/>
      <c r="R63" s="710"/>
      <c r="S63" s="710"/>
      <c r="T63" s="711"/>
    </row>
    <row r="64" spans="1:20">
      <c r="F64" s="4"/>
      <c r="G64" s="4"/>
      <c r="L64" s="709"/>
      <c r="M64" s="710"/>
      <c r="N64" s="710"/>
      <c r="O64" s="710"/>
      <c r="P64" s="710"/>
      <c r="Q64" s="710"/>
      <c r="R64" s="710"/>
      <c r="S64" s="710"/>
      <c r="T64" s="711"/>
    </row>
    <row r="65" spans="1:20">
      <c r="F65" s="4"/>
      <c r="G65" s="4"/>
      <c r="L65" s="709"/>
      <c r="M65" s="710"/>
      <c r="N65" s="710"/>
      <c r="O65" s="710"/>
      <c r="P65" s="710"/>
      <c r="Q65" s="710"/>
      <c r="R65" s="710"/>
      <c r="S65" s="710"/>
      <c r="T65" s="711"/>
    </row>
    <row r="66" spans="1:20">
      <c r="F66" s="4"/>
      <c r="L66" s="709"/>
      <c r="M66" s="710"/>
      <c r="N66" s="710"/>
      <c r="O66" s="710"/>
      <c r="P66" s="710"/>
      <c r="Q66" s="710"/>
      <c r="R66" s="710"/>
      <c r="S66" s="710"/>
      <c r="T66" s="711"/>
    </row>
    <row r="67" spans="1:20">
      <c r="C67" s="699" t="s">
        <v>478</v>
      </c>
      <c r="D67" s="699"/>
      <c r="E67" s="699"/>
      <c r="F67" s="699"/>
      <c r="G67" s="699"/>
      <c r="H67" s="699"/>
      <c r="L67" s="41"/>
      <c r="M67" s="42"/>
      <c r="N67" s="42"/>
      <c r="O67" s="42"/>
      <c r="P67" s="42"/>
      <c r="Q67" s="42"/>
      <c r="R67" s="42"/>
      <c r="S67" s="42"/>
      <c r="T67" s="43"/>
    </row>
    <row r="68" spans="1:20" ht="12.75" customHeight="1">
      <c r="C68" s="699"/>
      <c r="D68" s="699"/>
      <c r="E68" s="699"/>
      <c r="F68" s="699"/>
      <c r="G68" s="699"/>
      <c r="H68" s="699"/>
    </row>
    <row r="69" spans="1:20">
      <c r="C69" s="699"/>
      <c r="D69" s="699"/>
      <c r="E69" s="699"/>
      <c r="F69" s="699"/>
      <c r="G69" s="699"/>
      <c r="H69" s="699"/>
    </row>
    <row r="70" spans="1:20">
      <c r="C70" s="699"/>
      <c r="D70" s="699"/>
      <c r="E70" s="699"/>
      <c r="F70" s="699"/>
      <c r="G70" s="699"/>
      <c r="H70" s="699"/>
    </row>
    <row r="71" spans="1:20">
      <c r="C71" s="699"/>
      <c r="D71" s="699"/>
      <c r="E71" s="699"/>
      <c r="F71" s="699"/>
      <c r="G71" s="699"/>
      <c r="H71" s="699"/>
    </row>
    <row r="72" spans="1:20">
      <c r="C72" s="699"/>
      <c r="D72" s="699"/>
      <c r="E72" s="699"/>
      <c r="F72" s="699"/>
      <c r="G72" s="699"/>
      <c r="H72" s="699"/>
    </row>
    <row r="73" spans="1:20">
      <c r="C73" s="699"/>
      <c r="D73" s="699"/>
      <c r="E73" s="699"/>
      <c r="F73" s="699"/>
      <c r="G73" s="699"/>
      <c r="H73" s="699"/>
    </row>
    <row r="77" spans="1:20">
      <c r="A77" s="8" t="s">
        <v>479</v>
      </c>
      <c r="B77" s="4"/>
      <c r="C77" s="4"/>
      <c r="D77" s="4"/>
      <c r="E77" s="5"/>
    </row>
    <row r="78" spans="1:20">
      <c r="A78" s="48" t="s">
        <v>480</v>
      </c>
      <c r="B78" s="4"/>
      <c r="C78" s="4"/>
      <c r="D78" s="4"/>
      <c r="E78" s="4"/>
    </row>
    <row r="79" spans="1:20">
      <c r="A79" s="731" t="s">
        <v>434</v>
      </c>
      <c r="B79" s="731"/>
      <c r="C79" s="731"/>
      <c r="D79" s="610" t="s">
        <v>481</v>
      </c>
      <c r="E79" s="611" t="s">
        <v>482</v>
      </c>
    </row>
    <row r="80" spans="1:20">
      <c r="A80" s="49"/>
      <c r="B80" s="50"/>
      <c r="C80" s="50"/>
      <c r="D80" s="612" t="s">
        <v>438</v>
      </c>
      <c r="E80" s="613" t="s">
        <v>438</v>
      </c>
    </row>
    <row r="81" spans="1:5">
      <c r="A81" s="51" t="s">
        <v>483</v>
      </c>
      <c r="B81" s="52"/>
      <c r="C81" s="52"/>
      <c r="D81" s="614">
        <f>'Financial Stat.'!G11</f>
        <v>8136</v>
      </c>
      <c r="E81" s="615"/>
    </row>
    <row r="82" spans="1:5">
      <c r="A82" s="51" t="s">
        <v>484</v>
      </c>
      <c r="B82" s="53"/>
      <c r="C82" s="53">
        <v>1</v>
      </c>
      <c r="D82" s="614">
        <f>D81*C82</f>
        <v>8136</v>
      </c>
      <c r="E82" s="615">
        <f>D81*C82/4</f>
        <v>2034</v>
      </c>
    </row>
    <row r="83" spans="1:5">
      <c r="A83" s="51" t="s">
        <v>485</v>
      </c>
      <c r="B83" s="53"/>
      <c r="C83" s="53">
        <f>100%-C82</f>
        <v>0</v>
      </c>
      <c r="D83" s="614">
        <f>D81*C83</f>
        <v>0</v>
      </c>
      <c r="E83" s="615">
        <f>D81*C83/4</f>
        <v>0</v>
      </c>
    </row>
    <row r="84" spans="1:5">
      <c r="A84" s="616" t="s">
        <v>256</v>
      </c>
      <c r="B84" s="617"/>
      <c r="C84" s="617"/>
      <c r="D84" s="614">
        <f>'Financial Stat.'!G12</f>
        <v>2233</v>
      </c>
      <c r="E84" s="615">
        <f>D84/4</f>
        <v>558.25</v>
      </c>
    </row>
    <row r="85" spans="1:5">
      <c r="A85" s="616" t="s">
        <v>257</v>
      </c>
      <c r="B85" s="617"/>
      <c r="C85" s="617"/>
      <c r="D85" s="614">
        <f>'Financial Stat.'!G13</f>
        <v>990</v>
      </c>
      <c r="E85" s="615">
        <f>D85/4</f>
        <v>247.5</v>
      </c>
    </row>
    <row r="86" spans="1:5">
      <c r="A86" s="616" t="s">
        <v>135</v>
      </c>
      <c r="B86" s="617"/>
      <c r="C86" s="617"/>
      <c r="D86" s="614">
        <f>'Financial Stat.'!H14</f>
        <v>610</v>
      </c>
      <c r="E86" s="615">
        <f>D86/4</f>
        <v>152.5</v>
      </c>
    </row>
    <row r="87" spans="1:5">
      <c r="A87" s="618" t="s">
        <v>380</v>
      </c>
      <c r="B87" s="619"/>
      <c r="C87" s="619"/>
      <c r="D87" s="620">
        <f>'Financial Stat.'!G25+'Financial Stat.'!G26</f>
        <v>1912.9949999999999</v>
      </c>
      <c r="E87" s="615">
        <f>D87/4</f>
        <v>478.24874999999997</v>
      </c>
    </row>
    <row r="88" spans="1:5">
      <c r="A88" s="732" t="s">
        <v>109</v>
      </c>
      <c r="B88" s="733"/>
      <c r="C88" s="734"/>
      <c r="D88" s="47">
        <f>D81+D84+D85+D86+D87</f>
        <v>13881.994999999999</v>
      </c>
      <c r="E88" s="496">
        <f>SUM(E82:E87)</f>
        <v>3470.4987499999997</v>
      </c>
    </row>
    <row r="89" spans="1:5">
      <c r="A89" s="735" t="s">
        <v>486</v>
      </c>
      <c r="B89" s="736"/>
      <c r="C89" s="736"/>
      <c r="D89" s="737"/>
      <c r="E89" s="496">
        <f>ROUNDDOWN(E88,-2)</f>
        <v>3400</v>
      </c>
    </row>
  </sheetData>
  <protectedRanges>
    <protectedRange algorithmName="SHA-512" hashValue="naBydBijCVM/v5TdUIDTyMn+zRrPKJ4JukLHuOdKku78G1xn8OzmevUet0zWBrJ6rByK2jQISu6MjjKOcDae0g==" saltValue="Z9WtM5mLzRn16nzn+UE4MQ==" spinCount="100000" sqref="B44:K45" name="Range3"/>
    <protectedRange algorithmName="SHA-512" hashValue="H839kgL75C8DvHmGGKJJ4HYY2PVnA9SqD8R+L3miMtdETQygQ2lzrMTP6PGq8lgFscrkqCf76kI2fQ6bMyTx8A==" saltValue="kvzcIFQi429jOOxWcOMxWg==" spinCount="100000" sqref="B44:K49" name="Range2"/>
    <protectedRange sqref="B55:I61 A59:A62 B31:I39 S54 K4:T4 M5:T5 J1" name="Range1"/>
  </protectedRanges>
  <mergeCells count="32">
    <mergeCell ref="A79:C79"/>
    <mergeCell ref="A88:C88"/>
    <mergeCell ref="A89:D89"/>
    <mergeCell ref="A28:J28"/>
    <mergeCell ref="M28:T34"/>
    <mergeCell ref="B29:E29"/>
    <mergeCell ref="F29:I29"/>
    <mergeCell ref="J29:J30"/>
    <mergeCell ref="B42:E42"/>
    <mergeCell ref="F42:I42"/>
    <mergeCell ref="K42:K43"/>
    <mergeCell ref="M56:N56"/>
    <mergeCell ref="M57:N57"/>
    <mergeCell ref="L45:S47"/>
    <mergeCell ref="N36:X44"/>
    <mergeCell ref="A41:K41"/>
    <mergeCell ref="A1:G3"/>
    <mergeCell ref="K1:T1"/>
    <mergeCell ref="D7:F7"/>
    <mergeCell ref="M9:R15"/>
    <mergeCell ref="A19:G19"/>
    <mergeCell ref="M2:P2"/>
    <mergeCell ref="Q2:T2"/>
    <mergeCell ref="K2:L2"/>
    <mergeCell ref="C67:H73"/>
    <mergeCell ref="A51:I51"/>
    <mergeCell ref="B52:E52"/>
    <mergeCell ref="F52:I52"/>
    <mergeCell ref="M53:S53"/>
    <mergeCell ref="M54:N54"/>
    <mergeCell ref="M55:N55"/>
    <mergeCell ref="L60:T66"/>
  </mergeCells>
  <conditionalFormatting sqref="B46:I46">
    <cfRule type="cellIs" dxfId="16" priority="4" operator="equal">
      <formula>0</formula>
    </cfRule>
    <cfRule type="cellIs" dxfId="15" priority="5" operator="equal">
      <formula>0</formula>
    </cfRule>
  </conditionalFormatting>
  <conditionalFormatting sqref="B63:I63">
    <cfRule type="expression" dxfId="14" priority="7">
      <formula>B63&gt;B48</formula>
    </cfRule>
    <cfRule type="expression" dxfId="13" priority="8">
      <formula>B63&lt;B48</formula>
    </cfRule>
  </conditionalFormatting>
  <conditionalFormatting sqref="B46:J46">
    <cfRule type="expression" dxfId="12" priority="21">
      <formula>M4="Yes"</formula>
    </cfRule>
  </conditionalFormatting>
  <conditionalFormatting sqref="K44">
    <cfRule type="expression" dxfId="11" priority="19">
      <formula>$K$44&gt;$F$18</formula>
    </cfRule>
    <cfRule type="expression" dxfId="10" priority="20">
      <formula>$K$44=$F$18</formula>
    </cfRule>
  </conditionalFormatting>
  <conditionalFormatting sqref="K45">
    <cfRule type="expression" dxfId="9" priority="17">
      <formula>$F$22-$D$17&lt;$K$45</formula>
    </cfRule>
    <cfRule type="expression" dxfId="8" priority="18">
      <formula>$F$22-$D$17=$K$45</formula>
    </cfRule>
  </conditionalFormatting>
  <conditionalFormatting sqref="K46">
    <cfRule type="cellIs" dxfId="7" priority="1" operator="greaterThan">
      <formula>$L$4</formula>
    </cfRule>
    <cfRule type="cellIs" dxfId="6" priority="3" operator="equal">
      <formula>$L$4</formula>
    </cfRule>
  </conditionalFormatting>
  <conditionalFormatting sqref="K47">
    <cfRule type="expression" dxfId="5" priority="15">
      <formula>$K$47&gt;$D$17</formula>
    </cfRule>
    <cfRule type="expression" dxfId="4" priority="16">
      <formula>$K$47=$D$17</formula>
    </cfRule>
  </conditionalFormatting>
  <conditionalFormatting sqref="K48">
    <cfRule type="expression" dxfId="3" priority="13">
      <formula>$F$23+$F$24&lt;$K$48</formula>
    </cfRule>
    <cfRule type="expression" dxfId="2" priority="14">
      <formula>$F$23+$F$24=$K$48</formula>
    </cfRule>
  </conditionalFormatting>
  <conditionalFormatting sqref="L4">
    <cfRule type="cellIs" dxfId="1" priority="6" operator="greaterThan">
      <formula>$F$22</formula>
    </cfRule>
  </conditionalFormatting>
  <conditionalFormatting sqref="L45:S47">
    <cfRule type="expression" dxfId="0" priority="2">
      <formula>($K$45+$K$46+$K$47)&lt;=$F$22</formula>
    </cfRule>
  </conditionalFormatting>
  <dataValidations count="3">
    <dataValidation type="list" allowBlank="1" showInputMessage="1" showErrorMessage="1" sqref="M4:T4" xr:uid="{B9109753-3054-4A0A-B823-99C9B2B32DBA}">
      <formula1>INDIRECT($K$4)</formula1>
    </dataValidation>
    <dataValidation type="list" allowBlank="1" showInputMessage="1" showErrorMessage="1" sqref="K4" xr:uid="{9149EFC1-8667-4C6D-BDCE-A60FB93F621B}">
      <formula1>"Yes,No"</formula1>
    </dataValidation>
    <dataValidation type="list" allowBlank="1" showInputMessage="1" showErrorMessage="1" sqref="J1" xr:uid="{DB10A0D8-E0CF-47B3-AC6F-BA21FA4418FF}">
      <formula1>$AD$1:$AD$21</formula1>
    </dataValidation>
  </dataValidations>
  <pageMargins left="0.57999999999999996" right="0.39" top="1" bottom="1" header="0.5" footer="0.5"/>
  <pageSetup orientation="portrait" r:id="rId1"/>
  <headerFooter alignWithMargins="0">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A519-55EA-4634-9EAE-0768C0DA9BAA}">
  <sheetPr>
    <pageSetUpPr autoPageBreaks="0"/>
  </sheetPr>
  <dimension ref="A1:Q22"/>
  <sheetViews>
    <sheetView workbookViewId="0">
      <selection activeCell="A24" sqref="A24:XFD24"/>
    </sheetView>
  </sheetViews>
  <sheetFormatPr defaultRowHeight="13.2"/>
  <cols>
    <col min="2" max="17" width="11.332031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47</v>
      </c>
      <c r="B2" s="25" t="e">
        <f>#REF!*1000</f>
        <v>#REF!</v>
      </c>
      <c r="C2" s="25" t="e">
        <f>#REF!*1000</f>
        <v>#REF!</v>
      </c>
      <c r="D2" s="25" t="e">
        <f>#REF!*1000</f>
        <v>#REF!</v>
      </c>
      <c r="E2" s="25" t="e">
        <f>#REF!*1000</f>
        <v>#REF!</v>
      </c>
      <c r="F2" s="25" t="e">
        <f>#REF!*1000</f>
        <v>#REF!</v>
      </c>
      <c r="G2" s="25" t="e">
        <f>#REF!*1000</f>
        <v>#REF!</v>
      </c>
      <c r="H2" s="25" t="e">
        <f>#REF!*1000</f>
        <v>#REF!</v>
      </c>
      <c r="I2" s="25" t="e">
        <f>#REF!*1000</f>
        <v>#REF!</v>
      </c>
      <c r="J2" s="25" t="e">
        <f>#REF!*1000</f>
        <v>#REF!</v>
      </c>
      <c r="K2" s="25" t="e">
        <f>#REF!*1000</f>
        <v>#REF!</v>
      </c>
      <c r="L2" s="25" t="e">
        <f>#REF!*1000</f>
        <v>#REF!</v>
      </c>
      <c r="M2" s="25" t="e">
        <f>#REF!*1000</f>
        <v>#REF!</v>
      </c>
      <c r="N2" s="25" t="e">
        <f>#REF!*1000</f>
        <v>#REF!</v>
      </c>
      <c r="O2" s="25" t="e">
        <f>#REF!*1000</f>
        <v>#REF!</v>
      </c>
      <c r="P2" s="25" t="e">
        <f>#REF!*1000</f>
        <v>#REF!</v>
      </c>
      <c r="Q2" s="25" t="e">
        <f>#REF!*1000</f>
        <v>#REF!</v>
      </c>
    </row>
    <row r="3" spans="1:17">
      <c r="A3" t="s">
        <v>48</v>
      </c>
      <c r="B3" s="26" t="e">
        <f>#REF!*1000</f>
        <v>#REF!</v>
      </c>
      <c r="C3" s="26" t="e">
        <f>#REF!*1000</f>
        <v>#REF!</v>
      </c>
      <c r="D3" s="26" t="e">
        <f>#REF!*1000</f>
        <v>#REF!</v>
      </c>
      <c r="E3" s="26" t="e">
        <f>#REF!*1000</f>
        <v>#REF!</v>
      </c>
      <c r="F3" s="26" t="e">
        <f>#REF!*1000</f>
        <v>#REF!</v>
      </c>
      <c r="G3" s="26" t="e">
        <f>#REF!*1000</f>
        <v>#REF!</v>
      </c>
      <c r="H3" s="26" t="e">
        <f>#REF!*1000</f>
        <v>#REF!</v>
      </c>
      <c r="I3" s="26" t="e">
        <f>#REF!*1000</f>
        <v>#REF!</v>
      </c>
      <c r="J3" s="26" t="e">
        <f>#REF!*1000</f>
        <v>#REF!</v>
      </c>
      <c r="K3" s="26" t="e">
        <f>#REF!*1000</f>
        <v>#REF!</v>
      </c>
      <c r="L3" s="26" t="e">
        <f>#REF!*1000</f>
        <v>#REF!</v>
      </c>
      <c r="M3" s="26" t="e">
        <f>#REF!*1000</f>
        <v>#REF!</v>
      </c>
      <c r="N3" s="26" t="e">
        <f>#REF!*1000</f>
        <v>#REF!</v>
      </c>
      <c r="O3" s="26" t="e">
        <f>#REF!*1000</f>
        <v>#REF!</v>
      </c>
      <c r="P3" s="26" t="e">
        <f>#REF!*1000</f>
        <v>#REF!</v>
      </c>
      <c r="Q3" s="26" t="e">
        <f>#REF!*1000</f>
        <v>#REF!</v>
      </c>
    </row>
    <row r="4" spans="1:17">
      <c r="A4" t="s">
        <v>49</v>
      </c>
      <c r="B4" s="26" t="e">
        <f>#REF!*1000</f>
        <v>#REF!</v>
      </c>
      <c r="C4" s="26" t="e">
        <f>#REF!*1000</f>
        <v>#REF!</v>
      </c>
      <c r="D4" s="26" t="e">
        <f>#REF!*1000</f>
        <v>#REF!</v>
      </c>
      <c r="E4" s="26" t="e">
        <f>#REF!*1000</f>
        <v>#REF!</v>
      </c>
      <c r="F4" s="26" t="e">
        <f>#REF!*1000</f>
        <v>#REF!</v>
      </c>
      <c r="G4" s="26" t="e">
        <f>#REF!*1000</f>
        <v>#REF!</v>
      </c>
      <c r="H4" s="26" t="e">
        <f>#REF!*1000</f>
        <v>#REF!</v>
      </c>
      <c r="I4" s="26" t="e">
        <f>#REF!*1000</f>
        <v>#REF!</v>
      </c>
      <c r="J4" s="26" t="e">
        <f>#REF!*1000</f>
        <v>#REF!</v>
      </c>
      <c r="K4" s="26" t="e">
        <f>#REF!*1000</f>
        <v>#REF!</v>
      </c>
      <c r="L4" s="26" t="e">
        <f>#REF!*1000</f>
        <v>#REF!</v>
      </c>
      <c r="M4" s="26" t="e">
        <f>#REF!*1000</f>
        <v>#REF!</v>
      </c>
      <c r="N4" s="26" t="e">
        <f>#REF!*1000</f>
        <v>#REF!</v>
      </c>
      <c r="O4" s="26" t="e">
        <f>#REF!*1000</f>
        <v>#REF!</v>
      </c>
      <c r="P4" s="26" t="e">
        <f>#REF!*1000</f>
        <v>#REF!</v>
      </c>
      <c r="Q4" s="26" t="e">
        <f>#REF!*1000</f>
        <v>#REF!</v>
      </c>
    </row>
    <row r="5" spans="1:17">
      <c r="A5" t="s">
        <v>50</v>
      </c>
      <c r="B5" s="26" t="e">
        <f>#REF!*1000</f>
        <v>#REF!</v>
      </c>
      <c r="C5" s="26" t="e">
        <f>#REF!*1000</f>
        <v>#REF!</v>
      </c>
      <c r="D5" s="26" t="e">
        <f>#REF!*1000</f>
        <v>#REF!</v>
      </c>
      <c r="E5" s="26" t="e">
        <f>#REF!*1000</f>
        <v>#REF!</v>
      </c>
      <c r="F5" s="26" t="e">
        <f>#REF!*1000</f>
        <v>#REF!</v>
      </c>
      <c r="G5" s="26" t="e">
        <f>#REF!*1000</f>
        <v>#REF!</v>
      </c>
      <c r="H5" s="26" t="e">
        <f>#REF!*1000</f>
        <v>#REF!</v>
      </c>
      <c r="I5" s="26" t="e">
        <f>#REF!*1000</f>
        <v>#REF!</v>
      </c>
      <c r="J5" s="26" t="e">
        <f>#REF!*1000</f>
        <v>#REF!</v>
      </c>
      <c r="K5" s="26" t="e">
        <f>#REF!*1000</f>
        <v>#REF!</v>
      </c>
      <c r="L5" s="26" t="e">
        <f>#REF!*1000</f>
        <v>#REF!</v>
      </c>
      <c r="M5" s="26" t="e">
        <f>#REF!*1000</f>
        <v>#REF!</v>
      </c>
      <c r="N5" s="26" t="e">
        <f>#REF!*1000</f>
        <v>#REF!</v>
      </c>
      <c r="O5" s="26" t="e">
        <f>#REF!*1000</f>
        <v>#REF!</v>
      </c>
      <c r="P5" s="26" t="e">
        <f>#REF!*1000</f>
        <v>#REF!</v>
      </c>
      <c r="Q5" s="26" t="e">
        <f>#REF!*1000</f>
        <v>#REF!</v>
      </c>
    </row>
    <row r="6" spans="1:17">
      <c r="A6" t="s">
        <v>51</v>
      </c>
      <c r="B6" s="26" t="e">
        <f>#REF!*1000</f>
        <v>#REF!</v>
      </c>
      <c r="C6" s="26" t="e">
        <f>#REF!*1000</f>
        <v>#REF!</v>
      </c>
      <c r="D6" s="26" t="e">
        <f>#REF!*1000</f>
        <v>#REF!</v>
      </c>
      <c r="E6" s="26" t="e">
        <f>#REF!*1000</f>
        <v>#REF!</v>
      </c>
      <c r="F6" s="26" t="e">
        <f>#REF!*1000</f>
        <v>#REF!</v>
      </c>
      <c r="G6" s="26" t="e">
        <f>#REF!*1000</f>
        <v>#REF!</v>
      </c>
      <c r="H6" s="26" t="e">
        <f>#REF!*1000</f>
        <v>#REF!</v>
      </c>
      <c r="I6" s="26" t="e">
        <f>#REF!*1000</f>
        <v>#REF!</v>
      </c>
      <c r="J6" s="26" t="e">
        <f>#REF!*1000</f>
        <v>#REF!</v>
      </c>
      <c r="K6" s="26" t="e">
        <f>#REF!*1000</f>
        <v>#REF!</v>
      </c>
      <c r="L6" s="26" t="e">
        <f>#REF!*1000</f>
        <v>#REF!</v>
      </c>
      <c r="M6" s="26" t="e">
        <f>#REF!*1000</f>
        <v>#REF!</v>
      </c>
      <c r="N6" s="26" t="e">
        <f>#REF!*1000</f>
        <v>#REF!</v>
      </c>
      <c r="O6" s="26" t="e">
        <f>#REF!*1000</f>
        <v>#REF!</v>
      </c>
      <c r="P6" s="26" t="e">
        <f>#REF!*1000</f>
        <v>#REF!</v>
      </c>
      <c r="Q6" s="26" t="e">
        <f>#REF!*1000</f>
        <v>#REF!</v>
      </c>
    </row>
    <row r="7" spans="1:17">
      <c r="A7" t="s">
        <v>52</v>
      </c>
      <c r="B7" s="26" t="e">
        <f>#REF!*1000</f>
        <v>#REF!</v>
      </c>
      <c r="C7" s="26" t="e">
        <f>#REF!*1000</f>
        <v>#REF!</v>
      </c>
      <c r="D7" s="26" t="e">
        <f>#REF!*1000</f>
        <v>#REF!</v>
      </c>
      <c r="E7" s="26" t="e">
        <f>#REF!*1000</f>
        <v>#REF!</v>
      </c>
      <c r="F7" s="26" t="e">
        <f>#REF!*1000</f>
        <v>#REF!</v>
      </c>
      <c r="G7" s="26" t="e">
        <f>#REF!*1000</f>
        <v>#REF!</v>
      </c>
      <c r="H7" s="26" t="e">
        <f>#REF!*1000</f>
        <v>#REF!</v>
      </c>
      <c r="I7" s="26" t="e">
        <f>#REF!*1000</f>
        <v>#REF!</v>
      </c>
      <c r="J7" s="26" t="e">
        <f>#REF!*1000</f>
        <v>#REF!</v>
      </c>
      <c r="K7" s="26" t="e">
        <f>#REF!*1000</f>
        <v>#REF!</v>
      </c>
      <c r="L7" s="26" t="e">
        <f>#REF!*1000</f>
        <v>#REF!</v>
      </c>
      <c r="M7" s="26" t="e">
        <f>#REF!*1000</f>
        <v>#REF!</v>
      </c>
      <c r="N7" s="26" t="e">
        <f>#REF!*1000</f>
        <v>#REF!</v>
      </c>
      <c r="O7" s="26" t="e">
        <f>#REF!*1000</f>
        <v>#REF!</v>
      </c>
      <c r="P7" s="26" t="e">
        <f>#REF!*1000</f>
        <v>#REF!</v>
      </c>
      <c r="Q7" s="26" t="e">
        <f>#REF!*1000</f>
        <v>#REF!</v>
      </c>
    </row>
    <row r="8" spans="1:17">
      <c r="A8" t="s">
        <v>53</v>
      </c>
      <c r="B8" s="26" t="e">
        <f>#REF!*1000</f>
        <v>#REF!</v>
      </c>
      <c r="C8" s="26" t="e">
        <f>#REF!*1000</f>
        <v>#REF!</v>
      </c>
      <c r="D8" s="26" t="e">
        <f>#REF!*1000</f>
        <v>#REF!</v>
      </c>
      <c r="E8" s="26" t="e">
        <f>#REF!*1000</f>
        <v>#REF!</v>
      </c>
      <c r="F8" s="26" t="e">
        <f>#REF!*1000</f>
        <v>#REF!</v>
      </c>
      <c r="G8" s="26" t="e">
        <f>#REF!*1000</f>
        <v>#REF!</v>
      </c>
      <c r="H8" s="26" t="e">
        <f>#REF!*1000</f>
        <v>#REF!</v>
      </c>
      <c r="I8" s="26" t="e">
        <f>#REF!*1000</f>
        <v>#REF!</v>
      </c>
      <c r="J8" s="26" t="e">
        <f>#REF!*1000</f>
        <v>#REF!</v>
      </c>
      <c r="K8" s="26" t="e">
        <f>#REF!*1000</f>
        <v>#REF!</v>
      </c>
      <c r="L8" s="26" t="e">
        <f>#REF!*1000</f>
        <v>#REF!</v>
      </c>
      <c r="M8" s="26" t="e">
        <f>#REF!*1000</f>
        <v>#REF!</v>
      </c>
      <c r="N8" s="26" t="e">
        <f>#REF!*1000</f>
        <v>#REF!</v>
      </c>
      <c r="O8" s="26" t="e">
        <f>#REF!*1000</f>
        <v>#REF!</v>
      </c>
      <c r="P8" s="26" t="e">
        <f>#REF!*1000</f>
        <v>#REF!</v>
      </c>
      <c r="Q8" s="26" t="e">
        <f>#REF!*1000</f>
        <v>#REF!</v>
      </c>
    </row>
    <row r="9" spans="1:17">
      <c r="A9" t="s">
        <v>54</v>
      </c>
      <c r="B9" s="26" t="e">
        <f>#REF!*1000</f>
        <v>#REF!</v>
      </c>
      <c r="C9" s="26" t="e">
        <f>#REF!*1000</f>
        <v>#REF!</v>
      </c>
      <c r="D9" s="26" t="e">
        <f>#REF!*1000</f>
        <v>#REF!</v>
      </c>
      <c r="E9" s="26" t="e">
        <f>#REF!*1000</f>
        <v>#REF!</v>
      </c>
      <c r="F9" s="26" t="e">
        <f>#REF!*1000</f>
        <v>#REF!</v>
      </c>
      <c r="G9" s="26" t="e">
        <f>#REF!*1000</f>
        <v>#REF!</v>
      </c>
      <c r="H9" s="26" t="e">
        <f>#REF!*1000</f>
        <v>#REF!</v>
      </c>
      <c r="I9" s="26" t="e">
        <f>#REF!*1000</f>
        <v>#REF!</v>
      </c>
      <c r="J9" s="26" t="e">
        <f>#REF!*1000</f>
        <v>#REF!</v>
      </c>
      <c r="K9" s="26" t="e">
        <f>#REF!*1000</f>
        <v>#REF!</v>
      </c>
      <c r="L9" s="26" t="e">
        <f>#REF!*1000</f>
        <v>#REF!</v>
      </c>
      <c r="M9" s="26" t="e">
        <f>#REF!*1000</f>
        <v>#REF!</v>
      </c>
      <c r="N9" s="26" t="e">
        <f>#REF!*1000</f>
        <v>#REF!</v>
      </c>
      <c r="O9" s="26" t="e">
        <f>#REF!*1000</f>
        <v>#REF!</v>
      </c>
      <c r="P9" s="26" t="e">
        <f>#REF!*1000</f>
        <v>#REF!</v>
      </c>
      <c r="Q9" s="26" t="e">
        <f>#REF!*1000</f>
        <v>#REF!</v>
      </c>
    </row>
    <row r="10" spans="1:17">
      <c r="A10" t="s">
        <v>55</v>
      </c>
      <c r="B10" s="27" t="e">
        <f>#REF!*1000</f>
        <v>#REF!</v>
      </c>
      <c r="C10" s="27" t="e">
        <f>#REF!*1000</f>
        <v>#REF!</v>
      </c>
      <c r="D10" s="27" t="e">
        <f>#REF!*1000</f>
        <v>#REF!</v>
      </c>
      <c r="E10" s="27" t="e">
        <f>#REF!*1000</f>
        <v>#REF!</v>
      </c>
      <c r="F10" s="27" t="e">
        <f>#REF!*1000</f>
        <v>#REF!</v>
      </c>
      <c r="G10" s="27" t="e">
        <f>#REF!*1000</f>
        <v>#REF!</v>
      </c>
      <c r="H10" s="27" t="e">
        <f>#REF!*1000</f>
        <v>#REF!</v>
      </c>
      <c r="I10" s="27" t="e">
        <f>#REF!*1000</f>
        <v>#REF!</v>
      </c>
      <c r="J10" s="27" t="e">
        <f>#REF!*1000</f>
        <v>#REF!</v>
      </c>
      <c r="K10" s="27" t="e">
        <f>#REF!*1000</f>
        <v>#REF!</v>
      </c>
      <c r="L10" s="27" t="e">
        <f>#REF!*1000</f>
        <v>#REF!</v>
      </c>
      <c r="M10" s="27" t="e">
        <f>#REF!*1000</f>
        <v>#REF!</v>
      </c>
      <c r="N10" s="27" t="e">
        <f>#REF!*1000</f>
        <v>#REF!</v>
      </c>
      <c r="O10" s="27" t="e">
        <f>#REF!*1000</f>
        <v>#REF!</v>
      </c>
      <c r="P10" s="27" t="e">
        <f>#REF!*1000</f>
        <v>#REF!</v>
      </c>
      <c r="Q10" s="27" t="e">
        <f>#REF!*1000</f>
        <v>#REF!</v>
      </c>
    </row>
    <row r="11" spans="1:17">
      <c r="A11" t="s">
        <v>56</v>
      </c>
      <c r="B11" s="28" t="e">
        <f>#REF!*1000</f>
        <v>#REF!</v>
      </c>
      <c r="C11" s="28" t="e">
        <f>#REF!*1000</f>
        <v>#REF!</v>
      </c>
      <c r="D11" s="28" t="e">
        <f>#REF!*1000</f>
        <v>#REF!</v>
      </c>
      <c r="E11" s="28" t="e">
        <f>#REF!*1000</f>
        <v>#REF!</v>
      </c>
      <c r="F11" s="28" t="e">
        <f>#REF!*1000</f>
        <v>#REF!</v>
      </c>
      <c r="G11" s="28" t="e">
        <f>#REF!*1000</f>
        <v>#REF!</v>
      </c>
      <c r="H11" s="28" t="e">
        <f>#REF!*1000</f>
        <v>#REF!</v>
      </c>
      <c r="I11" s="28" t="e">
        <f>#REF!*1000</f>
        <v>#REF!</v>
      </c>
      <c r="J11" s="28" t="e">
        <f>#REF!*1000</f>
        <v>#REF!</v>
      </c>
      <c r="K11" s="28" t="e">
        <f>#REF!*1000</f>
        <v>#REF!</v>
      </c>
      <c r="L11" s="28" t="e">
        <f>#REF!*1000</f>
        <v>#REF!</v>
      </c>
      <c r="M11" s="28" t="e">
        <f>#REF!*1000</f>
        <v>#REF!</v>
      </c>
      <c r="N11" s="28" t="e">
        <f>#REF!*1000</f>
        <v>#REF!</v>
      </c>
      <c r="O11" s="28" t="e">
        <f>#REF!*1000</f>
        <v>#REF!</v>
      </c>
      <c r="P11" s="28" t="e">
        <f>#REF!*1000</f>
        <v>#REF!</v>
      </c>
      <c r="Q11" s="28" t="e">
        <f>#REF!*1000</f>
        <v>#REF!</v>
      </c>
    </row>
    <row r="12" spans="1:17">
      <c r="A12" t="s">
        <v>57</v>
      </c>
      <c r="B12" s="29" t="e">
        <f>#REF!*1000</f>
        <v>#REF!</v>
      </c>
      <c r="C12" s="29" t="e">
        <f>#REF!*1000</f>
        <v>#REF!</v>
      </c>
      <c r="D12" s="29" t="e">
        <f>#REF!*1000</f>
        <v>#REF!</v>
      </c>
      <c r="E12" s="29" t="e">
        <f>#REF!*1000</f>
        <v>#REF!</v>
      </c>
      <c r="F12" s="29" t="e">
        <f>#REF!*1000</f>
        <v>#REF!</v>
      </c>
      <c r="G12" s="29" t="e">
        <f>#REF!*1000</f>
        <v>#REF!</v>
      </c>
      <c r="H12" s="29" t="e">
        <f>#REF!*1000</f>
        <v>#REF!</v>
      </c>
      <c r="I12" s="29" t="e">
        <f>#REF!*1000</f>
        <v>#REF!</v>
      </c>
      <c r="J12" s="29" t="e">
        <f>#REF!*1000</f>
        <v>#REF!</v>
      </c>
      <c r="K12" s="29" t="e">
        <f>#REF!*1000</f>
        <v>#REF!</v>
      </c>
      <c r="L12" s="29" t="e">
        <f>#REF!*1000</f>
        <v>#REF!</v>
      </c>
      <c r="M12" s="29" t="e">
        <f>#REF!*1000</f>
        <v>#REF!</v>
      </c>
      <c r="N12" s="29" t="e">
        <f>#REF!*1000</f>
        <v>#REF!</v>
      </c>
      <c r="O12" s="29" t="e">
        <f>#REF!*1000</f>
        <v>#REF!</v>
      </c>
      <c r="P12" s="29" t="e">
        <f>#REF!*1000</f>
        <v>#REF!</v>
      </c>
      <c r="Q12" s="29" t="e">
        <f>#REF!*1000</f>
        <v>#REF!</v>
      </c>
    </row>
    <row r="13" spans="1:17">
      <c r="A13" t="s">
        <v>58</v>
      </c>
      <c r="B13" s="29" t="e">
        <f>#REF!*1000</f>
        <v>#REF!</v>
      </c>
      <c r="C13" s="29" t="e">
        <f>#REF!*1000</f>
        <v>#REF!</v>
      </c>
      <c r="D13" s="29" t="e">
        <f>#REF!*1000</f>
        <v>#REF!</v>
      </c>
      <c r="E13" s="29" t="e">
        <f>#REF!*1000</f>
        <v>#REF!</v>
      </c>
      <c r="F13" s="29" t="e">
        <f>#REF!*1000</f>
        <v>#REF!</v>
      </c>
      <c r="G13" s="29" t="e">
        <f>#REF!*1000</f>
        <v>#REF!</v>
      </c>
      <c r="H13" s="29" t="e">
        <f>#REF!*1000</f>
        <v>#REF!</v>
      </c>
      <c r="I13" s="29" t="e">
        <f>#REF!*1000</f>
        <v>#REF!</v>
      </c>
      <c r="J13" s="29" t="e">
        <f>#REF!*1000</f>
        <v>#REF!</v>
      </c>
      <c r="K13" s="29" t="e">
        <f>#REF!*1000</f>
        <v>#REF!</v>
      </c>
      <c r="L13" s="29" t="e">
        <f>#REF!*1000</f>
        <v>#REF!</v>
      </c>
      <c r="M13" s="29" t="e">
        <f>#REF!*1000</f>
        <v>#REF!</v>
      </c>
      <c r="N13" s="29" t="e">
        <f>#REF!*1000</f>
        <v>#REF!</v>
      </c>
      <c r="O13" s="29" t="e">
        <f>#REF!*1000</f>
        <v>#REF!</v>
      </c>
      <c r="P13" s="29" t="e">
        <f>#REF!*1000</f>
        <v>#REF!</v>
      </c>
      <c r="Q13" s="29" t="e">
        <f>#REF!*1000</f>
        <v>#REF!</v>
      </c>
    </row>
    <row r="14" spans="1:17">
      <c r="A14" t="s">
        <v>59</v>
      </c>
      <c r="B14" s="29" t="e">
        <f>#REF!*1000</f>
        <v>#REF!</v>
      </c>
      <c r="C14" s="29" t="e">
        <f>#REF!*1000</f>
        <v>#REF!</v>
      </c>
      <c r="D14" s="29" t="e">
        <f>#REF!*1000</f>
        <v>#REF!</v>
      </c>
      <c r="E14" s="29" t="e">
        <f>#REF!*1000</f>
        <v>#REF!</v>
      </c>
      <c r="F14" s="29" t="e">
        <f>#REF!*1000</f>
        <v>#REF!</v>
      </c>
      <c r="G14" s="29" t="e">
        <f>#REF!*1000</f>
        <v>#REF!</v>
      </c>
      <c r="H14" s="29" t="e">
        <f>#REF!*1000</f>
        <v>#REF!</v>
      </c>
      <c r="I14" s="29" t="e">
        <f>#REF!*1000</f>
        <v>#REF!</v>
      </c>
      <c r="J14" s="29" t="e">
        <f>#REF!*1000</f>
        <v>#REF!</v>
      </c>
      <c r="K14" s="29" t="e">
        <f>#REF!*1000</f>
        <v>#REF!</v>
      </c>
      <c r="L14" s="29" t="e">
        <f>#REF!*1000</f>
        <v>#REF!</v>
      </c>
      <c r="M14" s="29" t="e">
        <f>#REF!*1000</f>
        <v>#REF!</v>
      </c>
      <c r="N14" s="29" t="e">
        <f>#REF!*1000</f>
        <v>#REF!</v>
      </c>
      <c r="O14" s="29" t="e">
        <f>#REF!*1000</f>
        <v>#REF!</v>
      </c>
      <c r="P14" s="29" t="e">
        <f>#REF!*1000</f>
        <v>#REF!</v>
      </c>
      <c r="Q14" s="29" t="e">
        <f>#REF!*1000</f>
        <v>#REF!</v>
      </c>
    </row>
    <row r="15" spans="1:17">
      <c r="A15" t="s">
        <v>60</v>
      </c>
      <c r="B15" s="29" t="e">
        <f>#REF!*1000</f>
        <v>#REF!</v>
      </c>
      <c r="C15" s="29" t="e">
        <f>#REF!*1000</f>
        <v>#REF!</v>
      </c>
      <c r="D15" s="29" t="e">
        <f>#REF!*1000</f>
        <v>#REF!</v>
      </c>
      <c r="E15" s="29" t="e">
        <f>#REF!*1000</f>
        <v>#REF!</v>
      </c>
      <c r="F15" s="29" t="e">
        <f>#REF!*1000</f>
        <v>#REF!</v>
      </c>
      <c r="G15" s="29" t="e">
        <f>#REF!*1000</f>
        <v>#REF!</v>
      </c>
      <c r="H15" s="29" t="e">
        <f>#REF!*1000</f>
        <v>#REF!</v>
      </c>
      <c r="I15" s="29" t="e">
        <f>#REF!*1000</f>
        <v>#REF!</v>
      </c>
      <c r="J15" s="29" t="e">
        <f>#REF!*1000</f>
        <v>#REF!</v>
      </c>
      <c r="K15" s="29" t="e">
        <f>#REF!*1000</f>
        <v>#REF!</v>
      </c>
      <c r="L15" s="29" t="e">
        <f>#REF!*1000</f>
        <v>#REF!</v>
      </c>
      <c r="M15" s="29" t="e">
        <f>#REF!*1000</f>
        <v>#REF!</v>
      </c>
      <c r="N15" s="29" t="e">
        <f>#REF!*1000</f>
        <v>#REF!</v>
      </c>
      <c r="O15" s="29" t="e">
        <f>#REF!*1000</f>
        <v>#REF!</v>
      </c>
      <c r="P15" s="29" t="e">
        <f>#REF!*1000</f>
        <v>#REF!</v>
      </c>
      <c r="Q15" s="29" t="e">
        <f>#REF!*1000</f>
        <v>#REF!</v>
      </c>
    </row>
    <row r="16" spans="1:17">
      <c r="A16" t="s">
        <v>61</v>
      </c>
      <c r="B16" t="e">
        <f>#REF!*1000</f>
        <v>#REF!</v>
      </c>
      <c r="C16" t="e">
        <f>#REF!*1000</f>
        <v>#REF!</v>
      </c>
      <c r="D16" t="e">
        <f>#REF!*1000</f>
        <v>#REF!</v>
      </c>
      <c r="E16" t="e">
        <f>#REF!*1000</f>
        <v>#REF!</v>
      </c>
      <c r="F16" t="e">
        <f>#REF!*1000</f>
        <v>#REF!</v>
      </c>
      <c r="G16" t="e">
        <f>#REF!*1000</f>
        <v>#REF!</v>
      </c>
      <c r="H16" t="e">
        <f>#REF!*1000</f>
        <v>#REF!</v>
      </c>
      <c r="I16" t="e">
        <f>#REF!*1000</f>
        <v>#REF!</v>
      </c>
      <c r="J16" t="e">
        <f>#REF!*1000</f>
        <v>#REF!</v>
      </c>
      <c r="K16" t="e">
        <f>#REF!*1000</f>
        <v>#REF!</v>
      </c>
      <c r="L16" t="e">
        <f>#REF!*1000</f>
        <v>#REF!</v>
      </c>
      <c r="M16" t="e">
        <f>#REF!*1000</f>
        <v>#REF!</v>
      </c>
      <c r="N16" t="e">
        <f>#REF!*1000</f>
        <v>#REF!</v>
      </c>
      <c r="O16" t="e">
        <f>#REF!*1000</f>
        <v>#REF!</v>
      </c>
      <c r="P16" t="e">
        <f>#REF!*1000</f>
        <v>#REF!</v>
      </c>
      <c r="Q16" t="e">
        <f>#REF!*1000</f>
        <v>#REF!</v>
      </c>
    </row>
    <row r="17" spans="1:17">
      <c r="A17" t="s">
        <v>62</v>
      </c>
      <c r="B17" s="30" t="e">
        <f>#REF!*1000</f>
        <v>#REF!</v>
      </c>
      <c r="C17" s="30" t="e">
        <f>#REF!*1000</f>
        <v>#REF!</v>
      </c>
      <c r="D17" s="30" t="e">
        <f>#REF!*1000</f>
        <v>#REF!</v>
      </c>
      <c r="E17" s="30" t="e">
        <f>#REF!*1000</f>
        <v>#REF!</v>
      </c>
      <c r="F17" s="30" t="e">
        <f>#REF!*1000</f>
        <v>#REF!</v>
      </c>
      <c r="G17" s="30" t="e">
        <f>#REF!*1000</f>
        <v>#REF!</v>
      </c>
      <c r="H17" s="30" t="e">
        <f>#REF!*1000</f>
        <v>#REF!</v>
      </c>
      <c r="I17" s="30" t="e">
        <f>#REF!*1000</f>
        <v>#REF!</v>
      </c>
      <c r="J17" s="30" t="e">
        <f>#REF!*1000</f>
        <v>#REF!</v>
      </c>
      <c r="K17" s="30" t="e">
        <f>#REF!*1000</f>
        <v>#REF!</v>
      </c>
      <c r="L17" s="30" t="e">
        <f>#REF!*1000</f>
        <v>#REF!</v>
      </c>
      <c r="M17" s="30" t="e">
        <f>#REF!*1000</f>
        <v>#REF!</v>
      </c>
      <c r="N17" s="30" t="e">
        <f>#REF!*1000</f>
        <v>#REF!</v>
      </c>
      <c r="O17" s="30" t="e">
        <f>#REF!*1000</f>
        <v>#REF!</v>
      </c>
      <c r="P17" s="30" t="e">
        <f>#REF!*1000</f>
        <v>#REF!</v>
      </c>
      <c r="Q17" s="30" t="e">
        <f>#REF!*1000</f>
        <v>#REF!</v>
      </c>
    </row>
    <row r="18" spans="1:17">
      <c r="A18" t="s">
        <v>63</v>
      </c>
      <c r="B18" s="30" t="e">
        <f>#REF!*1000</f>
        <v>#REF!</v>
      </c>
      <c r="C18" s="30" t="e">
        <f>#REF!*1000</f>
        <v>#REF!</v>
      </c>
      <c r="D18" s="30" t="e">
        <f>#REF!*1000</f>
        <v>#REF!</v>
      </c>
      <c r="E18" s="30" t="e">
        <f>#REF!*1000</f>
        <v>#REF!</v>
      </c>
      <c r="F18" s="30" t="e">
        <f>#REF!*1000</f>
        <v>#REF!</v>
      </c>
      <c r="G18" s="30" t="e">
        <f>#REF!*1000</f>
        <v>#REF!</v>
      </c>
      <c r="H18" s="30" t="e">
        <f>#REF!*1000</f>
        <v>#REF!</v>
      </c>
      <c r="I18" s="30" t="e">
        <f>#REF!*1000</f>
        <v>#REF!</v>
      </c>
      <c r="J18" s="30" t="e">
        <f>#REF!*1000</f>
        <v>#REF!</v>
      </c>
      <c r="K18" s="30" t="e">
        <f>#REF!*1000</f>
        <v>#REF!</v>
      </c>
      <c r="L18" s="30" t="e">
        <f>#REF!*1000</f>
        <v>#REF!</v>
      </c>
      <c r="M18" s="30" t="e">
        <f>#REF!*1000</f>
        <v>#REF!</v>
      </c>
      <c r="N18" s="30" t="e">
        <f>#REF!*1000</f>
        <v>#REF!</v>
      </c>
      <c r="O18" s="30" t="e">
        <f>#REF!*1000</f>
        <v>#REF!</v>
      </c>
      <c r="P18" s="30" t="e">
        <f>#REF!*1000</f>
        <v>#REF!</v>
      </c>
      <c r="Q18" s="30" t="e">
        <f>#REF!*1000</f>
        <v>#REF!</v>
      </c>
    </row>
    <row r="19" spans="1:17">
      <c r="A19" t="s">
        <v>64</v>
      </c>
      <c r="B19" s="29" t="e">
        <f>#REF!*1000</f>
        <v>#REF!</v>
      </c>
      <c r="C19" s="29" t="e">
        <f>#REF!*1000</f>
        <v>#REF!</v>
      </c>
      <c r="D19" s="29" t="e">
        <f>#REF!*1000</f>
        <v>#REF!</v>
      </c>
      <c r="E19" s="29" t="e">
        <f>#REF!*1000</f>
        <v>#REF!</v>
      </c>
      <c r="F19" s="29" t="e">
        <f>#REF!*1000</f>
        <v>#REF!</v>
      </c>
      <c r="G19" s="29" t="e">
        <f>#REF!*1000</f>
        <v>#REF!</v>
      </c>
      <c r="H19" s="29" t="e">
        <f>#REF!*1000</f>
        <v>#REF!</v>
      </c>
      <c r="I19" s="29" t="e">
        <f>#REF!*1000</f>
        <v>#REF!</v>
      </c>
      <c r="J19" s="29" t="e">
        <f>#REF!*1000</f>
        <v>#REF!</v>
      </c>
      <c r="K19" s="29" t="e">
        <f>#REF!*1000</f>
        <v>#REF!</v>
      </c>
      <c r="L19" s="29" t="e">
        <f>#REF!*1000</f>
        <v>#REF!</v>
      </c>
      <c r="M19" s="29" t="e">
        <f>#REF!*1000</f>
        <v>#REF!</v>
      </c>
      <c r="N19" s="29" t="e">
        <f>#REF!*1000</f>
        <v>#REF!</v>
      </c>
      <c r="O19" s="29" t="e">
        <f>#REF!*1000</f>
        <v>#REF!</v>
      </c>
      <c r="P19" s="29" t="e">
        <f>#REF!*1000</f>
        <v>#REF!</v>
      </c>
      <c r="Q19" s="29" t="e">
        <f>#REF!*1000</f>
        <v>#REF!</v>
      </c>
    </row>
    <row r="20" spans="1:17">
      <c r="A20" t="s">
        <v>19</v>
      </c>
      <c r="B20" s="29" t="e">
        <f>#REF!*1000</f>
        <v>#REF!</v>
      </c>
      <c r="C20" s="29" t="e">
        <f>#REF!*1000</f>
        <v>#REF!</v>
      </c>
      <c r="D20" s="29" t="e">
        <f>#REF!*1000</f>
        <v>#REF!</v>
      </c>
      <c r="E20" s="29" t="e">
        <f>#REF!*1000</f>
        <v>#REF!</v>
      </c>
      <c r="F20" s="29" t="e">
        <f>#REF!*1000</f>
        <v>#REF!</v>
      </c>
      <c r="G20" s="29" t="e">
        <f>#REF!*1000</f>
        <v>#REF!</v>
      </c>
      <c r="H20" s="29" t="e">
        <f>#REF!*1000</f>
        <v>#REF!</v>
      </c>
      <c r="I20" s="29" t="e">
        <f>#REF!*1000</f>
        <v>#REF!</v>
      </c>
      <c r="J20" s="29" t="e">
        <f>#REF!*1000</f>
        <v>#REF!</v>
      </c>
      <c r="K20" s="29" t="e">
        <f>#REF!*1000</f>
        <v>#REF!</v>
      </c>
      <c r="L20" s="29" t="e">
        <f>#REF!*1000</f>
        <v>#REF!</v>
      </c>
      <c r="M20" s="29" t="e">
        <f>#REF!*1000</f>
        <v>#REF!</v>
      </c>
      <c r="N20" s="29" t="e">
        <f>#REF!*1000</f>
        <v>#REF!</v>
      </c>
      <c r="O20" s="29" t="e">
        <f>#REF!*1000</f>
        <v>#REF!</v>
      </c>
      <c r="P20" s="29" t="e">
        <f>#REF!*1000</f>
        <v>#REF!</v>
      </c>
      <c r="Q20" s="29" t="e">
        <f>#REF!*1000</f>
        <v>#REF!</v>
      </c>
    </row>
    <row r="21" spans="1:17">
      <c r="A21" t="s">
        <v>65</v>
      </c>
      <c r="B21" s="29" t="e">
        <f>#REF!*1000</f>
        <v>#REF!</v>
      </c>
      <c r="C21" s="29" t="e">
        <f>#REF!*1000</f>
        <v>#REF!</v>
      </c>
      <c r="D21" s="29" t="e">
        <f>#REF!*1000</f>
        <v>#REF!</v>
      </c>
      <c r="E21" s="29" t="e">
        <f>#REF!*1000</f>
        <v>#REF!</v>
      </c>
      <c r="F21" s="29" t="e">
        <f>#REF!*1000</f>
        <v>#REF!</v>
      </c>
      <c r="G21" s="29" t="e">
        <f>#REF!*1000</f>
        <v>#REF!</v>
      </c>
      <c r="H21" s="29" t="e">
        <f>#REF!*1000</f>
        <v>#REF!</v>
      </c>
      <c r="I21" s="29" t="e">
        <f>#REF!*1000</f>
        <v>#REF!</v>
      </c>
      <c r="J21" s="29" t="e">
        <f>#REF!*1000</f>
        <v>#REF!</v>
      </c>
      <c r="K21" s="29" t="e">
        <f>#REF!*1000</f>
        <v>#REF!</v>
      </c>
      <c r="L21" s="29" t="e">
        <f>#REF!*1000</f>
        <v>#REF!</v>
      </c>
      <c r="M21" s="29" t="e">
        <f>#REF!*1000</f>
        <v>#REF!</v>
      </c>
      <c r="N21" s="29" t="e">
        <f>#REF!*1000</f>
        <v>#REF!</v>
      </c>
      <c r="O21" s="29" t="e">
        <f>#REF!*1000</f>
        <v>#REF!</v>
      </c>
      <c r="P21" s="29" t="e">
        <f>#REF!*1000</f>
        <v>#REF!</v>
      </c>
      <c r="Q21" s="29" t="e">
        <f>#REF!*1000</f>
        <v>#REF!</v>
      </c>
    </row>
    <row r="22" spans="1:17">
      <c r="A22" t="s">
        <v>66</v>
      </c>
      <c r="B22" s="29" t="e">
        <f>#REF!*1000</f>
        <v>#REF!</v>
      </c>
      <c r="C22" s="29" t="e">
        <f>#REF!*1000</f>
        <v>#REF!</v>
      </c>
      <c r="D22" s="29" t="e">
        <f>#REF!*1000</f>
        <v>#REF!</v>
      </c>
      <c r="E22" s="29" t="e">
        <f>#REF!*1000</f>
        <v>#REF!</v>
      </c>
      <c r="F22" s="29" t="e">
        <f>#REF!*1000</f>
        <v>#REF!</v>
      </c>
      <c r="G22" s="29" t="e">
        <f>#REF!*1000</f>
        <v>#REF!</v>
      </c>
      <c r="H22" s="29" t="e">
        <f>#REF!*1000</f>
        <v>#REF!</v>
      </c>
      <c r="I22" s="29" t="e">
        <f>#REF!*1000</f>
        <v>#REF!</v>
      </c>
      <c r="J22" s="29" t="e">
        <f>#REF!*1000</f>
        <v>#REF!</v>
      </c>
      <c r="K22" s="29" t="e">
        <f>#REF!*1000</f>
        <v>#REF!</v>
      </c>
      <c r="L22" s="29" t="e">
        <f>#REF!*1000</f>
        <v>#REF!</v>
      </c>
      <c r="M22" s="29" t="e">
        <f>#REF!*1000</f>
        <v>#REF!</v>
      </c>
      <c r="N22" s="29" t="e">
        <f>#REF!*1000</f>
        <v>#REF!</v>
      </c>
      <c r="O22" s="29" t="e">
        <f>#REF!*1000</f>
        <v>#REF!</v>
      </c>
      <c r="P22" s="29" t="e">
        <f>#REF!*1000</f>
        <v>#REF!</v>
      </c>
      <c r="Q22" s="29" t="e">
        <f>#REF!*1000</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B24D-4FFD-43D3-BD32-3263A921C584}">
  <sheetPr>
    <pageSetUpPr autoPageBreaks="0"/>
  </sheetPr>
  <dimension ref="A1:Q26"/>
  <sheetViews>
    <sheetView workbookViewId="0">
      <selection activeCell="A24" sqref="A24:XFD24"/>
    </sheetView>
  </sheetViews>
  <sheetFormatPr defaultRowHeight="13.2"/>
  <cols>
    <col min="1" max="1" width="16.88671875" customWidth="1"/>
    <col min="2" max="2" width="11.6640625" customWidth="1"/>
    <col min="3" max="17" width="11.332031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24</v>
      </c>
      <c r="B2" s="30" t="e">
        <f>#REF!*1000</f>
        <v>#REF!</v>
      </c>
      <c r="C2" s="30" t="e">
        <f>#REF!*1000</f>
        <v>#REF!</v>
      </c>
      <c r="D2" s="30" t="e">
        <f>#REF!*1000</f>
        <v>#REF!</v>
      </c>
      <c r="E2" s="30" t="e">
        <f>#REF!*1000</f>
        <v>#REF!</v>
      </c>
      <c r="F2" s="30" t="e">
        <f>#REF!*1000</f>
        <v>#REF!</v>
      </c>
      <c r="G2" s="30" t="e">
        <f>#REF!*1000</f>
        <v>#REF!</v>
      </c>
      <c r="H2" s="30" t="e">
        <f>#REF!*1000</f>
        <v>#REF!</v>
      </c>
      <c r="I2" s="30" t="e">
        <f>#REF!*1000</f>
        <v>#REF!</v>
      </c>
      <c r="J2" s="30" t="e">
        <f>#REF!*1000</f>
        <v>#REF!</v>
      </c>
      <c r="K2" s="30" t="e">
        <f>#REF!*1000</f>
        <v>#REF!</v>
      </c>
      <c r="L2" s="30" t="e">
        <f>#REF!*1000</f>
        <v>#REF!</v>
      </c>
      <c r="M2" s="30" t="e">
        <f>#REF!*1000</f>
        <v>#REF!</v>
      </c>
      <c r="N2" s="30" t="e">
        <f>#REF!*1000</f>
        <v>#REF!</v>
      </c>
      <c r="O2" s="30" t="e">
        <f>#REF!*1000</f>
        <v>#REF!</v>
      </c>
      <c r="P2" s="30" t="e">
        <f>#REF!*1000</f>
        <v>#REF!</v>
      </c>
      <c r="Q2" s="30" t="e">
        <f>#REF!*1000</f>
        <v>#REF!</v>
      </c>
    </row>
    <row r="3" spans="1:17">
      <c r="A3" t="s">
        <v>25</v>
      </c>
      <c r="B3" s="30" t="e">
        <f>#REF!*1000</f>
        <v>#REF!</v>
      </c>
      <c r="C3" s="30" t="e">
        <f>#REF!*1000</f>
        <v>#REF!</v>
      </c>
      <c r="D3" s="30" t="e">
        <f>#REF!*1000</f>
        <v>#REF!</v>
      </c>
      <c r="E3" s="30" t="e">
        <f>#REF!*1000</f>
        <v>#REF!</v>
      </c>
      <c r="F3" s="30" t="e">
        <f>#REF!*1000</f>
        <v>#REF!</v>
      </c>
      <c r="G3" s="30" t="e">
        <f>#REF!*1000</f>
        <v>#REF!</v>
      </c>
      <c r="H3" s="30" t="e">
        <f>#REF!*1000</f>
        <v>#REF!</v>
      </c>
      <c r="I3" s="30" t="e">
        <f>#REF!*1000</f>
        <v>#REF!</v>
      </c>
      <c r="J3" s="30" t="e">
        <f>#REF!*1000</f>
        <v>#REF!</v>
      </c>
      <c r="K3" s="30" t="e">
        <f>#REF!*1000</f>
        <v>#REF!</v>
      </c>
      <c r="L3" s="30" t="e">
        <f>#REF!*1000</f>
        <v>#REF!</v>
      </c>
      <c r="M3" s="30" t="e">
        <f>#REF!*1000</f>
        <v>#REF!</v>
      </c>
      <c r="N3" s="30" t="e">
        <f>#REF!*1000</f>
        <v>#REF!</v>
      </c>
      <c r="O3" s="30" t="e">
        <f>#REF!*1000</f>
        <v>#REF!</v>
      </c>
      <c r="P3" s="30" t="e">
        <f>#REF!*1000</f>
        <v>#REF!</v>
      </c>
      <c r="Q3" s="30" t="e">
        <f>#REF!*1000</f>
        <v>#REF!</v>
      </c>
    </row>
    <row r="4" spans="1:17">
      <c r="A4" t="s">
        <v>26</v>
      </c>
      <c r="B4" s="30" t="e">
        <f>#REF!*1000</f>
        <v>#REF!</v>
      </c>
      <c r="C4" s="30" t="e">
        <f>#REF!*1000</f>
        <v>#REF!</v>
      </c>
      <c r="D4" s="30" t="e">
        <f>#REF!*1000</f>
        <v>#REF!</v>
      </c>
      <c r="E4" s="30" t="e">
        <f>#REF!*1000</f>
        <v>#REF!</v>
      </c>
      <c r="F4" s="30" t="e">
        <f>#REF!*1000</f>
        <v>#REF!</v>
      </c>
      <c r="G4" s="30" t="e">
        <f>#REF!*1000</f>
        <v>#REF!</v>
      </c>
      <c r="H4" s="30" t="e">
        <f>#REF!*1000</f>
        <v>#REF!</v>
      </c>
      <c r="I4" s="30" t="e">
        <f>#REF!*1000</f>
        <v>#REF!</v>
      </c>
      <c r="J4" s="30" t="e">
        <f>#REF!*1000</f>
        <v>#REF!</v>
      </c>
      <c r="K4" s="30" t="e">
        <f>#REF!*1000</f>
        <v>#REF!</v>
      </c>
      <c r="L4" s="30" t="e">
        <f>#REF!*1000</f>
        <v>#REF!</v>
      </c>
      <c r="M4" s="30" t="e">
        <f>#REF!*1000</f>
        <v>#REF!</v>
      </c>
      <c r="N4" s="30" t="e">
        <f>#REF!*1000</f>
        <v>#REF!</v>
      </c>
      <c r="O4" s="30" t="e">
        <f>#REF!*1000</f>
        <v>#REF!</v>
      </c>
      <c r="P4" s="30" t="e">
        <f>#REF!*1000</f>
        <v>#REF!</v>
      </c>
      <c r="Q4" s="30" t="e">
        <f>#REF!*1000</f>
        <v>#REF!</v>
      </c>
    </row>
    <row r="5" spans="1:17">
      <c r="A5" t="s">
        <v>27</v>
      </c>
      <c r="B5" s="30" t="e">
        <f>#REF!*1000</f>
        <v>#REF!</v>
      </c>
      <c r="C5" s="30" t="e">
        <f>#REF!*1000</f>
        <v>#REF!</v>
      </c>
      <c r="D5" s="30" t="e">
        <f>#REF!*1000</f>
        <v>#REF!</v>
      </c>
      <c r="E5" s="30" t="e">
        <f>#REF!*1000</f>
        <v>#REF!</v>
      </c>
      <c r="F5" s="30" t="e">
        <f>#REF!*1000</f>
        <v>#REF!</v>
      </c>
      <c r="G5" s="30" t="e">
        <f>#REF!*1000</f>
        <v>#REF!</v>
      </c>
      <c r="H5" s="30" t="e">
        <f>#REF!*1000</f>
        <v>#REF!</v>
      </c>
      <c r="I5" s="30" t="e">
        <f>#REF!*1000</f>
        <v>#REF!</v>
      </c>
      <c r="J5" s="30" t="e">
        <f>#REF!*1000</f>
        <v>#REF!</v>
      </c>
      <c r="K5" s="30" t="e">
        <f>#REF!*1000</f>
        <v>#REF!</v>
      </c>
      <c r="L5" s="30" t="e">
        <f>#REF!*1000</f>
        <v>#REF!</v>
      </c>
      <c r="M5" s="30" t="e">
        <f>#REF!*1000</f>
        <v>#REF!</v>
      </c>
      <c r="N5" s="30" t="e">
        <f>#REF!*1000</f>
        <v>#REF!</v>
      </c>
      <c r="O5" s="30" t="e">
        <f>#REF!*1000</f>
        <v>#REF!</v>
      </c>
      <c r="P5" s="30" t="e">
        <f>#REF!*1000</f>
        <v>#REF!</v>
      </c>
      <c r="Q5" s="30" t="e">
        <f>#REF!*1000</f>
        <v>#REF!</v>
      </c>
    </row>
    <row r="6" spans="1:17">
      <c r="A6" t="s">
        <v>28</v>
      </c>
      <c r="B6" s="30" t="e">
        <f>#REF!*1000</f>
        <v>#REF!</v>
      </c>
      <c r="C6" s="30" t="e">
        <f>#REF!*1000</f>
        <v>#REF!</v>
      </c>
      <c r="D6" s="30" t="e">
        <f>#REF!*1000</f>
        <v>#REF!</v>
      </c>
      <c r="E6" s="30" t="e">
        <f>#REF!*1000</f>
        <v>#REF!</v>
      </c>
      <c r="F6" s="30" t="e">
        <f>#REF!*1000</f>
        <v>#REF!</v>
      </c>
      <c r="G6" s="30" t="e">
        <f>#REF!*1000</f>
        <v>#REF!</v>
      </c>
      <c r="H6" s="30" t="e">
        <f>#REF!*1000</f>
        <v>#REF!</v>
      </c>
      <c r="I6" s="30" t="e">
        <f>#REF!*1000</f>
        <v>#REF!</v>
      </c>
      <c r="J6" s="30" t="e">
        <f>#REF!*1000</f>
        <v>#REF!</v>
      </c>
      <c r="K6" s="30" t="e">
        <f>#REF!*1000</f>
        <v>#REF!</v>
      </c>
      <c r="L6" s="30" t="e">
        <f>#REF!*1000</f>
        <v>#REF!</v>
      </c>
      <c r="M6" s="30" t="e">
        <f>#REF!*1000</f>
        <v>#REF!</v>
      </c>
      <c r="N6" s="30" t="e">
        <f>#REF!*1000</f>
        <v>#REF!</v>
      </c>
      <c r="O6" s="30" t="e">
        <f>#REF!*1000</f>
        <v>#REF!</v>
      </c>
      <c r="P6" s="30" t="e">
        <f>#REF!*1000</f>
        <v>#REF!</v>
      </c>
      <c r="Q6" s="30" t="e">
        <f>#REF!*1000</f>
        <v>#REF!</v>
      </c>
    </row>
    <row r="7" spans="1:17">
      <c r="A7" t="s">
        <v>7</v>
      </c>
      <c r="B7" s="30" t="e">
        <f>#REF!*1000</f>
        <v>#REF!</v>
      </c>
      <c r="C7" s="30" t="e">
        <f>#REF!*1000</f>
        <v>#REF!</v>
      </c>
      <c r="D7" s="30" t="e">
        <f>#REF!*1000</f>
        <v>#REF!</v>
      </c>
      <c r="E7" s="30" t="e">
        <f>#REF!*1000</f>
        <v>#REF!</v>
      </c>
      <c r="F7" s="30" t="e">
        <f>#REF!*1000</f>
        <v>#REF!</v>
      </c>
      <c r="G7" s="30" t="e">
        <f>#REF!*1000</f>
        <v>#REF!</v>
      </c>
      <c r="H7" s="30" t="e">
        <f>#REF!*1000</f>
        <v>#REF!</v>
      </c>
      <c r="I7" s="30" t="e">
        <f>#REF!*1000</f>
        <v>#REF!</v>
      </c>
      <c r="J7" s="30" t="e">
        <f>#REF!*1000</f>
        <v>#REF!</v>
      </c>
      <c r="K7" s="30" t="e">
        <f>#REF!*1000</f>
        <v>#REF!</v>
      </c>
      <c r="L7" s="30" t="e">
        <f>#REF!*1000</f>
        <v>#REF!</v>
      </c>
      <c r="M7" s="30" t="e">
        <f>#REF!*1000</f>
        <v>#REF!</v>
      </c>
      <c r="N7" s="30" t="e">
        <f>#REF!*1000</f>
        <v>#REF!</v>
      </c>
      <c r="O7" s="30" t="e">
        <f>#REF!*1000</f>
        <v>#REF!</v>
      </c>
      <c r="P7" s="30" t="e">
        <f>#REF!*1000</f>
        <v>#REF!</v>
      </c>
      <c r="Q7" s="30" t="e">
        <f>#REF!*1000</f>
        <v>#REF!</v>
      </c>
    </row>
    <row r="8" spans="1:17">
      <c r="A8" t="s">
        <v>29</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s">
        <v>30</v>
      </c>
      <c r="B9" s="30" t="e">
        <f>#REF!*1000</f>
        <v>#REF!</v>
      </c>
      <c r="C9" s="30" t="e">
        <f>#REF!*1000</f>
        <v>#REF!</v>
      </c>
      <c r="D9" s="30" t="e">
        <f>#REF!*1000</f>
        <v>#REF!</v>
      </c>
      <c r="E9" s="30" t="e">
        <f>#REF!*1000</f>
        <v>#REF!</v>
      </c>
      <c r="F9" s="30" t="e">
        <f>#REF!*1000</f>
        <v>#REF!</v>
      </c>
      <c r="G9" s="30" t="e">
        <f>#REF!*1000</f>
        <v>#REF!</v>
      </c>
      <c r="H9" s="30" t="e">
        <f>#REF!*1000</f>
        <v>#REF!</v>
      </c>
      <c r="I9" s="30" t="e">
        <f>#REF!*1000</f>
        <v>#REF!</v>
      </c>
      <c r="J9" s="30" t="e">
        <f>#REF!*1000</f>
        <v>#REF!</v>
      </c>
      <c r="K9" s="30" t="e">
        <f>#REF!*1000</f>
        <v>#REF!</v>
      </c>
      <c r="L9" s="30" t="e">
        <f>#REF!*1000</f>
        <v>#REF!</v>
      </c>
      <c r="M9" s="30" t="e">
        <f>#REF!*1000</f>
        <v>#REF!</v>
      </c>
      <c r="N9" s="30" t="e">
        <f>#REF!*1000</f>
        <v>#REF!</v>
      </c>
      <c r="O9" s="30" t="e">
        <f>#REF!*1000</f>
        <v>#REF!</v>
      </c>
      <c r="P9" s="30" t="e">
        <f>#REF!*1000</f>
        <v>#REF!</v>
      </c>
      <c r="Q9" s="30" t="e">
        <f>#REF!*1000</f>
        <v>#REF!</v>
      </c>
    </row>
    <row r="10" spans="1:17">
      <c r="A10" t="s">
        <v>31</v>
      </c>
      <c r="B10" s="30" t="e">
        <f>#REF!*1000</f>
        <v>#REF!</v>
      </c>
      <c r="C10" s="30" t="e">
        <f>#REF!*1000</f>
        <v>#REF!</v>
      </c>
      <c r="D10" s="30" t="e">
        <f>#REF!*1000</f>
        <v>#REF!</v>
      </c>
      <c r="E10" s="30" t="e">
        <f>#REF!*1000</f>
        <v>#REF!</v>
      </c>
      <c r="F10" s="30" t="e">
        <f>#REF!*1000</f>
        <v>#REF!</v>
      </c>
      <c r="G10" s="30" t="e">
        <f>#REF!*1000</f>
        <v>#REF!</v>
      </c>
      <c r="H10" s="30" t="e">
        <f>#REF!*1000</f>
        <v>#REF!</v>
      </c>
      <c r="I10" s="30" t="e">
        <f>#REF!*1000</f>
        <v>#REF!</v>
      </c>
      <c r="J10" s="30" t="e">
        <f>#REF!*1000</f>
        <v>#REF!</v>
      </c>
      <c r="K10" s="30" t="e">
        <f>#REF!*1000</f>
        <v>#REF!</v>
      </c>
      <c r="L10" s="30" t="e">
        <f>#REF!*1000</f>
        <v>#REF!</v>
      </c>
      <c r="M10" s="30" t="e">
        <f>#REF!*1000</f>
        <v>#REF!</v>
      </c>
      <c r="N10" s="30" t="e">
        <f>#REF!*1000</f>
        <v>#REF!</v>
      </c>
      <c r="O10" s="30" t="e">
        <f>#REF!*1000</f>
        <v>#REF!</v>
      </c>
      <c r="P10" s="30" t="e">
        <f>#REF!*1000</f>
        <v>#REF!</v>
      </c>
      <c r="Q10" s="30" t="e">
        <f>#REF!*1000</f>
        <v>#REF!</v>
      </c>
    </row>
    <row r="11" spans="1:17">
      <c r="A11" t="s">
        <v>32</v>
      </c>
      <c r="B11" s="30" t="e">
        <f>#REF!*1000</f>
        <v>#REF!</v>
      </c>
      <c r="C11" s="30" t="e">
        <f>#REF!*1000</f>
        <v>#REF!</v>
      </c>
      <c r="D11" s="30" t="e">
        <f>#REF!*1000</f>
        <v>#REF!</v>
      </c>
      <c r="E11" s="30" t="e">
        <f>#REF!*1000</f>
        <v>#REF!</v>
      </c>
      <c r="F11" s="30" t="e">
        <f>#REF!*1000</f>
        <v>#REF!</v>
      </c>
      <c r="G11" s="30" t="e">
        <f>#REF!*1000</f>
        <v>#REF!</v>
      </c>
      <c r="H11" s="30" t="e">
        <f>#REF!*1000</f>
        <v>#REF!</v>
      </c>
      <c r="I11" s="30" t="e">
        <f>#REF!*1000</f>
        <v>#REF!</v>
      </c>
      <c r="J11" s="30" t="e">
        <f>#REF!*1000</f>
        <v>#REF!</v>
      </c>
      <c r="K11" s="30" t="e">
        <f>#REF!*1000</f>
        <v>#REF!</v>
      </c>
      <c r="L11" s="30" t="e">
        <f>#REF!*1000</f>
        <v>#REF!</v>
      </c>
      <c r="M11" s="30" t="e">
        <f>#REF!*1000</f>
        <v>#REF!</v>
      </c>
      <c r="N11" s="30" t="e">
        <f>#REF!*1000</f>
        <v>#REF!</v>
      </c>
      <c r="O11" s="30" t="e">
        <f>#REF!*1000</f>
        <v>#REF!</v>
      </c>
      <c r="P11" s="30" t="e">
        <f>#REF!*1000</f>
        <v>#REF!</v>
      </c>
      <c r="Q11" s="30" t="e">
        <f>#REF!*1000</f>
        <v>#REF!</v>
      </c>
    </row>
    <row r="12" spans="1:17">
      <c r="A12" t="s">
        <v>33</v>
      </c>
      <c r="B12" s="30" t="e">
        <f>#REF!*1000</f>
        <v>#REF!</v>
      </c>
      <c r="C12" s="30" t="e">
        <f>#REF!*1000</f>
        <v>#REF!</v>
      </c>
      <c r="D12" s="30" t="e">
        <f>#REF!*1000</f>
        <v>#REF!</v>
      </c>
      <c r="E12" s="30" t="e">
        <f>#REF!*1000</f>
        <v>#REF!</v>
      </c>
      <c r="F12" s="30" t="e">
        <f>#REF!*1000</f>
        <v>#REF!</v>
      </c>
      <c r="G12" s="30" t="e">
        <f>#REF!*1000</f>
        <v>#REF!</v>
      </c>
      <c r="H12" s="30" t="e">
        <f>#REF!*1000</f>
        <v>#REF!</v>
      </c>
      <c r="I12" s="30" t="e">
        <f>#REF!*1000</f>
        <v>#REF!</v>
      </c>
      <c r="J12" s="30" t="e">
        <f>#REF!*1000</f>
        <v>#REF!</v>
      </c>
      <c r="K12" s="30" t="e">
        <f>#REF!*1000</f>
        <v>#REF!</v>
      </c>
      <c r="L12" s="30" t="e">
        <f>#REF!*1000</f>
        <v>#REF!</v>
      </c>
      <c r="M12" s="30" t="e">
        <f>#REF!*1000</f>
        <v>#REF!</v>
      </c>
      <c r="N12" s="30" t="e">
        <f>#REF!*1000</f>
        <v>#REF!</v>
      </c>
      <c r="O12" s="30" t="e">
        <f>#REF!*1000</f>
        <v>#REF!</v>
      </c>
      <c r="P12" s="30" t="e">
        <f>#REF!*1000</f>
        <v>#REF!</v>
      </c>
      <c r="Q12" s="30" t="e">
        <f>#REF!*1000</f>
        <v>#REF!</v>
      </c>
    </row>
    <row r="13" spans="1:17">
      <c r="A13" t="s">
        <v>34</v>
      </c>
      <c r="B13" s="30" t="e">
        <f>#REF!*1000</f>
        <v>#REF!</v>
      </c>
      <c r="C13" s="30" t="e">
        <f>#REF!*1000</f>
        <v>#REF!</v>
      </c>
      <c r="D13" s="30" t="e">
        <f>#REF!*1000</f>
        <v>#REF!</v>
      </c>
      <c r="E13" s="30" t="e">
        <f>#REF!*1000</f>
        <v>#REF!</v>
      </c>
      <c r="F13" s="30" t="e">
        <f>#REF!*1000</f>
        <v>#REF!</v>
      </c>
      <c r="G13" s="30" t="e">
        <f>#REF!*1000</f>
        <v>#REF!</v>
      </c>
      <c r="H13" s="30" t="e">
        <f>#REF!*1000</f>
        <v>#REF!</v>
      </c>
      <c r="I13" s="30" t="e">
        <f>#REF!*1000</f>
        <v>#REF!</v>
      </c>
      <c r="J13" s="30" t="e">
        <f>#REF!*1000</f>
        <v>#REF!</v>
      </c>
      <c r="K13" s="30" t="e">
        <f>#REF!*1000</f>
        <v>#REF!</v>
      </c>
      <c r="L13" s="30" t="e">
        <f>#REF!*1000</f>
        <v>#REF!</v>
      </c>
      <c r="M13" s="30" t="e">
        <f>#REF!*1000</f>
        <v>#REF!</v>
      </c>
      <c r="N13" s="30" t="e">
        <f>#REF!*1000</f>
        <v>#REF!</v>
      </c>
      <c r="O13" s="30" t="e">
        <f>#REF!*1000</f>
        <v>#REF!</v>
      </c>
      <c r="P13" s="30" t="e">
        <f>#REF!*1000</f>
        <v>#REF!</v>
      </c>
      <c r="Q13" s="30" t="e">
        <f>#REF!*1000</f>
        <v>#REF!</v>
      </c>
    </row>
    <row r="14" spans="1:17">
      <c r="A14" t="s">
        <v>35</v>
      </c>
      <c r="B14" s="30" t="e">
        <f>#REF!*1000</f>
        <v>#REF!</v>
      </c>
      <c r="C14" s="30" t="e">
        <f>#REF!*1000</f>
        <v>#REF!</v>
      </c>
      <c r="D14" s="30" t="e">
        <f>#REF!*1000</f>
        <v>#REF!</v>
      </c>
      <c r="E14" s="30" t="e">
        <f>#REF!*1000</f>
        <v>#REF!</v>
      </c>
      <c r="F14" s="30" t="e">
        <f>#REF!*1000</f>
        <v>#REF!</v>
      </c>
      <c r="G14" s="30" t="e">
        <f>#REF!*1000</f>
        <v>#REF!</v>
      </c>
      <c r="H14" s="30" t="e">
        <f>#REF!*1000</f>
        <v>#REF!</v>
      </c>
      <c r="I14" s="30" t="e">
        <f>#REF!*1000</f>
        <v>#REF!</v>
      </c>
      <c r="J14" s="30" t="e">
        <f>#REF!*1000</f>
        <v>#REF!</v>
      </c>
      <c r="K14" s="30" t="e">
        <f>#REF!*1000</f>
        <v>#REF!</v>
      </c>
      <c r="L14" s="30" t="e">
        <f>#REF!*1000</f>
        <v>#REF!</v>
      </c>
      <c r="M14" s="30" t="e">
        <f>#REF!*1000</f>
        <v>#REF!</v>
      </c>
      <c r="N14" s="30" t="e">
        <f>#REF!*1000</f>
        <v>#REF!</v>
      </c>
      <c r="O14" s="30" t="e">
        <f>#REF!*1000</f>
        <v>#REF!</v>
      </c>
      <c r="P14" s="30" t="e">
        <f>#REF!*1000</f>
        <v>#REF!</v>
      </c>
      <c r="Q14" s="30" t="e">
        <f>#REF!*1000</f>
        <v>#REF!</v>
      </c>
    </row>
    <row r="15" spans="1:17">
      <c r="A15" t="s">
        <v>8</v>
      </c>
      <c r="B15" s="30" t="e">
        <f>#REF!*1000</f>
        <v>#REF!</v>
      </c>
      <c r="C15" s="30" t="e">
        <f>#REF!*1000</f>
        <v>#REF!</v>
      </c>
      <c r="D15" s="30" t="e">
        <f>#REF!*1000</f>
        <v>#REF!</v>
      </c>
      <c r="E15" s="30" t="e">
        <f>#REF!*1000</f>
        <v>#REF!</v>
      </c>
      <c r="F15" s="30" t="e">
        <f>#REF!*1000</f>
        <v>#REF!</v>
      </c>
      <c r="G15" s="30" t="e">
        <f>#REF!*1000</f>
        <v>#REF!</v>
      </c>
      <c r="H15" s="30" t="e">
        <f>#REF!*1000</f>
        <v>#REF!</v>
      </c>
      <c r="I15" s="30" t="e">
        <f>#REF!*1000</f>
        <v>#REF!</v>
      </c>
      <c r="J15" s="30" t="e">
        <f>#REF!*1000</f>
        <v>#REF!</v>
      </c>
      <c r="K15" s="30" t="e">
        <f>#REF!*1000</f>
        <v>#REF!</v>
      </c>
      <c r="L15" s="30" t="e">
        <f>#REF!*1000</f>
        <v>#REF!</v>
      </c>
      <c r="M15" s="30" t="e">
        <f>#REF!*1000</f>
        <v>#REF!</v>
      </c>
      <c r="N15" s="30" t="e">
        <f>#REF!*1000</f>
        <v>#REF!</v>
      </c>
      <c r="O15" s="30" t="e">
        <f>#REF!*1000</f>
        <v>#REF!</v>
      </c>
      <c r="P15" s="30" t="e">
        <f>#REF!*1000</f>
        <v>#REF!</v>
      </c>
      <c r="Q15" s="30" t="e">
        <f>#REF!*1000</f>
        <v>#REF!</v>
      </c>
    </row>
    <row r="16" spans="1:17">
      <c r="A16" t="s">
        <v>36</v>
      </c>
      <c r="B16" s="30" t="e">
        <f>#REF!*1000</f>
        <v>#REF!</v>
      </c>
      <c r="C16" s="30" t="e">
        <f>#REF!*1000</f>
        <v>#REF!</v>
      </c>
      <c r="D16" s="30" t="e">
        <f>#REF!*1000</f>
        <v>#REF!</v>
      </c>
      <c r="E16" s="30" t="e">
        <f>#REF!*1000</f>
        <v>#REF!</v>
      </c>
      <c r="F16" s="30" t="e">
        <f>#REF!*1000</f>
        <v>#REF!</v>
      </c>
      <c r="G16" s="30" t="e">
        <f>#REF!*1000</f>
        <v>#REF!</v>
      </c>
      <c r="H16" s="30" t="e">
        <f>#REF!*1000</f>
        <v>#REF!</v>
      </c>
      <c r="I16" s="30" t="e">
        <f>#REF!*1000</f>
        <v>#REF!</v>
      </c>
      <c r="J16" s="30" t="e">
        <f>#REF!*1000</f>
        <v>#REF!</v>
      </c>
      <c r="K16" s="30" t="e">
        <f>#REF!*1000</f>
        <v>#REF!</v>
      </c>
      <c r="L16" s="30" t="e">
        <f>#REF!*1000</f>
        <v>#REF!</v>
      </c>
      <c r="M16" s="30" t="e">
        <f>#REF!*1000</f>
        <v>#REF!</v>
      </c>
      <c r="N16" s="30" t="e">
        <f>#REF!*1000</f>
        <v>#REF!</v>
      </c>
      <c r="O16" s="30" t="e">
        <f>#REF!*1000</f>
        <v>#REF!</v>
      </c>
      <c r="P16" s="30" t="e">
        <f>#REF!*1000</f>
        <v>#REF!</v>
      </c>
      <c r="Q16" s="30" t="e">
        <f>#REF!*1000</f>
        <v>#REF!</v>
      </c>
    </row>
    <row r="17" spans="1:17">
      <c r="A17" t="s">
        <v>37</v>
      </c>
      <c r="B17" s="31" t="e">
        <f>#REF!*1000</f>
        <v>#REF!</v>
      </c>
      <c r="C17" s="31" t="e">
        <f>#REF!*1000</f>
        <v>#REF!</v>
      </c>
      <c r="D17" s="31" t="e">
        <f>#REF!*1000</f>
        <v>#REF!</v>
      </c>
      <c r="E17" s="31" t="e">
        <f>#REF!*1000</f>
        <v>#REF!</v>
      </c>
      <c r="F17" s="31" t="e">
        <f>#REF!*1000</f>
        <v>#REF!</v>
      </c>
      <c r="G17" s="31" t="e">
        <f>#REF!*1000</f>
        <v>#REF!</v>
      </c>
      <c r="H17" s="31" t="e">
        <f>#REF!*1000</f>
        <v>#REF!</v>
      </c>
      <c r="I17" s="31" t="e">
        <f>#REF!*1000</f>
        <v>#REF!</v>
      </c>
      <c r="J17" s="31" t="e">
        <f>#REF!*1000</f>
        <v>#REF!</v>
      </c>
      <c r="K17" s="31" t="e">
        <f>#REF!*1000</f>
        <v>#REF!</v>
      </c>
      <c r="L17" s="31" t="e">
        <f>#REF!*1000</f>
        <v>#REF!</v>
      </c>
      <c r="M17" s="31" t="e">
        <f>#REF!*1000</f>
        <v>#REF!</v>
      </c>
      <c r="N17" s="31" t="e">
        <f>#REF!*1000</f>
        <v>#REF!</v>
      </c>
      <c r="O17" s="31" t="e">
        <f>#REF!*1000</f>
        <v>#REF!</v>
      </c>
      <c r="P17" s="31" t="e">
        <f>#REF!*1000</f>
        <v>#REF!</v>
      </c>
      <c r="Q17" s="31" t="e">
        <f>#REF!*1000</f>
        <v>#REF!</v>
      </c>
    </row>
    <row r="18" spans="1:17">
      <c r="A18" t="s">
        <v>38</v>
      </c>
      <c r="B18" s="31" t="e">
        <f>#REF!*1000</f>
        <v>#REF!</v>
      </c>
      <c r="C18" s="31" t="e">
        <f>#REF!*1000</f>
        <v>#REF!</v>
      </c>
      <c r="D18" s="31" t="e">
        <f>#REF!*1000</f>
        <v>#REF!</v>
      </c>
      <c r="E18" s="31" t="e">
        <f>#REF!*1000</f>
        <v>#REF!</v>
      </c>
      <c r="F18" s="31" t="e">
        <f>#REF!*1000</f>
        <v>#REF!</v>
      </c>
      <c r="G18" s="31" t="e">
        <f>#REF!*1000</f>
        <v>#REF!</v>
      </c>
      <c r="H18" s="31" t="e">
        <f>#REF!*1000</f>
        <v>#REF!</v>
      </c>
      <c r="I18" s="31" t="e">
        <f>#REF!*1000</f>
        <v>#REF!</v>
      </c>
      <c r="J18" s="31" t="e">
        <f>#REF!*1000</f>
        <v>#REF!</v>
      </c>
      <c r="K18" s="31" t="e">
        <f>#REF!*1000</f>
        <v>#REF!</v>
      </c>
      <c r="L18" s="31" t="e">
        <f>#REF!*1000</f>
        <v>#REF!</v>
      </c>
      <c r="M18" s="31" t="e">
        <f>#REF!*1000</f>
        <v>#REF!</v>
      </c>
      <c r="N18" s="31" t="e">
        <f>#REF!*1000</f>
        <v>#REF!</v>
      </c>
      <c r="O18" s="31" t="e">
        <f>#REF!*1000</f>
        <v>#REF!</v>
      </c>
      <c r="P18" s="31" t="e">
        <f>#REF!*1000</f>
        <v>#REF!</v>
      </c>
      <c r="Q18" s="31" t="e">
        <f>#REF!*1000</f>
        <v>#REF!</v>
      </c>
    </row>
    <row r="19" spans="1:17">
      <c r="A19" t="s">
        <v>39</v>
      </c>
      <c r="B19" s="31" t="e">
        <f>#REF!*1000</f>
        <v>#REF!</v>
      </c>
      <c r="C19" s="31" t="e">
        <f>#REF!*1000</f>
        <v>#REF!</v>
      </c>
      <c r="D19" s="31" t="e">
        <f>#REF!*1000</f>
        <v>#REF!</v>
      </c>
      <c r="E19" s="31" t="e">
        <f>#REF!*1000</f>
        <v>#REF!</v>
      </c>
      <c r="F19" s="31" t="e">
        <f>#REF!*1000</f>
        <v>#REF!</v>
      </c>
      <c r="G19" s="31" t="e">
        <f>#REF!*1000</f>
        <v>#REF!</v>
      </c>
      <c r="H19" s="31" t="e">
        <f>#REF!*1000</f>
        <v>#REF!</v>
      </c>
      <c r="I19" s="31" t="e">
        <f>#REF!*1000</f>
        <v>#REF!</v>
      </c>
      <c r="J19" s="31" t="e">
        <f>#REF!*1000</f>
        <v>#REF!</v>
      </c>
      <c r="K19" s="31" t="e">
        <f>#REF!*1000</f>
        <v>#REF!</v>
      </c>
      <c r="L19" s="31" t="e">
        <f>#REF!*1000</f>
        <v>#REF!</v>
      </c>
      <c r="M19" s="31" t="e">
        <f>#REF!*1000</f>
        <v>#REF!</v>
      </c>
      <c r="N19" s="31" t="e">
        <f>#REF!*1000</f>
        <v>#REF!</v>
      </c>
      <c r="O19" s="31" t="e">
        <f>#REF!*1000</f>
        <v>#REF!</v>
      </c>
      <c r="P19" s="31" t="e">
        <f>#REF!*1000</f>
        <v>#REF!</v>
      </c>
      <c r="Q19" s="31" t="e">
        <f>#REF!*1000</f>
        <v>#REF!</v>
      </c>
    </row>
    <row r="20" spans="1:17">
      <c r="A20" t="s">
        <v>40</v>
      </c>
      <c r="B20" s="32" t="e">
        <f>#REF!*1000</f>
        <v>#REF!</v>
      </c>
      <c r="C20" s="32" t="e">
        <f>#REF!*1000</f>
        <v>#REF!</v>
      </c>
      <c r="D20" s="32" t="e">
        <f>#REF!*1000</f>
        <v>#REF!</v>
      </c>
      <c r="E20" s="32" t="e">
        <f>#REF!*1000</f>
        <v>#REF!</v>
      </c>
      <c r="F20" s="32" t="e">
        <f>#REF!*1000</f>
        <v>#REF!</v>
      </c>
      <c r="G20" s="32" t="e">
        <f>#REF!*1000</f>
        <v>#REF!</v>
      </c>
      <c r="H20" s="32" t="e">
        <f>#REF!*1000</f>
        <v>#REF!</v>
      </c>
      <c r="I20" s="32" t="e">
        <f>#REF!*1000</f>
        <v>#REF!</v>
      </c>
      <c r="J20" s="32" t="e">
        <f>#REF!*1000</f>
        <v>#REF!</v>
      </c>
      <c r="K20" s="32" t="e">
        <f>#REF!*1000</f>
        <v>#REF!</v>
      </c>
      <c r="L20" s="32" t="e">
        <f>#REF!*1000</f>
        <v>#REF!</v>
      </c>
      <c r="M20" s="32" t="e">
        <f>#REF!*1000</f>
        <v>#REF!</v>
      </c>
      <c r="N20" s="32" t="e">
        <f>#REF!*1000</f>
        <v>#REF!</v>
      </c>
      <c r="O20" s="32" t="e">
        <f>#REF!*1000</f>
        <v>#REF!</v>
      </c>
      <c r="P20" s="32" t="e">
        <f>#REF!*1000</f>
        <v>#REF!</v>
      </c>
      <c r="Q20" s="32" t="e">
        <f>#REF!*1000</f>
        <v>#REF!</v>
      </c>
    </row>
    <row r="21" spans="1:17">
      <c r="A21" t="s">
        <v>41</v>
      </c>
      <c r="B21" s="30" t="e">
        <f>#REF!*1000</f>
        <v>#REF!</v>
      </c>
      <c r="C21" s="30" t="e">
        <f>#REF!*1000</f>
        <v>#REF!</v>
      </c>
      <c r="D21" s="30" t="e">
        <f>#REF!*1000</f>
        <v>#REF!</v>
      </c>
      <c r="E21" s="30" t="e">
        <f>#REF!*1000</f>
        <v>#REF!</v>
      </c>
      <c r="F21" s="30" t="e">
        <f>#REF!*1000</f>
        <v>#REF!</v>
      </c>
      <c r="G21" s="30" t="e">
        <f>#REF!*1000</f>
        <v>#REF!</v>
      </c>
      <c r="H21" s="30" t="e">
        <f>#REF!*1000</f>
        <v>#REF!</v>
      </c>
      <c r="I21" s="30" t="e">
        <f>#REF!*1000</f>
        <v>#REF!</v>
      </c>
      <c r="J21" s="30" t="e">
        <f>#REF!*1000</f>
        <v>#REF!</v>
      </c>
      <c r="K21" s="30" t="e">
        <f>#REF!*1000</f>
        <v>#REF!</v>
      </c>
      <c r="L21" s="30" t="e">
        <f>#REF!*1000</f>
        <v>#REF!</v>
      </c>
      <c r="M21" s="30" t="e">
        <f>#REF!*1000</f>
        <v>#REF!</v>
      </c>
      <c r="N21" s="30" t="e">
        <f>#REF!*1000</f>
        <v>#REF!</v>
      </c>
      <c r="O21" s="30" t="e">
        <f>#REF!*1000</f>
        <v>#REF!</v>
      </c>
      <c r="P21" s="30" t="e">
        <f>#REF!*1000</f>
        <v>#REF!</v>
      </c>
      <c r="Q21" s="30" t="e">
        <f>#REF!*1000</f>
        <v>#REF!</v>
      </c>
    </row>
    <row r="22" spans="1:17">
      <c r="A22" t="s">
        <v>42</v>
      </c>
      <c r="B22" s="30" t="e">
        <f>#REF!*1000</f>
        <v>#REF!</v>
      </c>
      <c r="C22" s="30" t="e">
        <f>#REF!*1000</f>
        <v>#REF!</v>
      </c>
      <c r="D22" s="30" t="e">
        <f>#REF!*1000</f>
        <v>#REF!</v>
      </c>
      <c r="E22" s="30" t="e">
        <f>#REF!*1000</f>
        <v>#REF!</v>
      </c>
      <c r="F22" s="30" t="e">
        <f>#REF!*1000</f>
        <v>#REF!</v>
      </c>
      <c r="G22" s="30" t="e">
        <f>#REF!*1000</f>
        <v>#REF!</v>
      </c>
      <c r="H22" s="30" t="e">
        <f>#REF!*1000</f>
        <v>#REF!</v>
      </c>
      <c r="I22" s="30" t="e">
        <f>#REF!*1000</f>
        <v>#REF!</v>
      </c>
      <c r="J22" s="30" t="e">
        <f>#REF!*1000</f>
        <v>#REF!</v>
      </c>
      <c r="K22" s="30" t="e">
        <f>#REF!*1000</f>
        <v>#REF!</v>
      </c>
      <c r="L22" s="30" t="e">
        <f>#REF!*1000</f>
        <v>#REF!</v>
      </c>
      <c r="M22" s="30" t="e">
        <f>#REF!*1000</f>
        <v>#REF!</v>
      </c>
      <c r="N22" s="30" t="e">
        <f>#REF!*1000</f>
        <v>#REF!</v>
      </c>
      <c r="O22" s="30" t="e">
        <f>#REF!*1000</f>
        <v>#REF!</v>
      </c>
      <c r="P22" s="30" t="e">
        <f>#REF!*1000</f>
        <v>#REF!</v>
      </c>
      <c r="Q22" s="30" t="e">
        <f>#REF!*1000</f>
        <v>#REF!</v>
      </c>
    </row>
    <row r="23" spans="1:17">
      <c r="A23" t="s">
        <v>43</v>
      </c>
      <c r="B23" s="30" t="e">
        <f>#REF!*1000</f>
        <v>#REF!</v>
      </c>
      <c r="C23" s="30" t="e">
        <f>#REF!*1000</f>
        <v>#REF!</v>
      </c>
      <c r="D23" s="30" t="e">
        <f>#REF!*1000</f>
        <v>#REF!</v>
      </c>
      <c r="E23" s="30" t="e">
        <f>#REF!*1000</f>
        <v>#REF!</v>
      </c>
      <c r="F23" s="30" t="e">
        <f>#REF!*1000</f>
        <v>#REF!</v>
      </c>
      <c r="G23" s="30" t="e">
        <f>#REF!*1000</f>
        <v>#REF!</v>
      </c>
      <c r="H23" s="30" t="e">
        <f>#REF!*1000</f>
        <v>#REF!</v>
      </c>
      <c r="I23" s="30" t="e">
        <f>#REF!*1000</f>
        <v>#REF!</v>
      </c>
      <c r="J23" s="30" t="e">
        <f>#REF!*1000</f>
        <v>#REF!</v>
      </c>
      <c r="K23" s="30" t="e">
        <f>#REF!*1000</f>
        <v>#REF!</v>
      </c>
      <c r="L23" s="30" t="e">
        <f>#REF!*1000</f>
        <v>#REF!</v>
      </c>
      <c r="M23" s="30" t="e">
        <f>#REF!*1000</f>
        <v>#REF!</v>
      </c>
      <c r="N23" s="30" t="e">
        <f>#REF!*1000</f>
        <v>#REF!</v>
      </c>
      <c r="O23" s="30" t="e">
        <f>#REF!*1000</f>
        <v>#REF!</v>
      </c>
      <c r="P23" s="30" t="e">
        <f>#REF!*1000</f>
        <v>#REF!</v>
      </c>
      <c r="Q23" s="30" t="e">
        <f>#REF!*1000</f>
        <v>#REF!</v>
      </c>
    </row>
    <row r="24" spans="1:17">
      <c r="A24" t="s">
        <v>44</v>
      </c>
      <c r="B24" s="30" t="e">
        <f>#REF!*1000</f>
        <v>#REF!</v>
      </c>
      <c r="C24" s="30" t="e">
        <f>#REF!*1000</f>
        <v>#REF!</v>
      </c>
      <c r="D24" s="30" t="e">
        <f>#REF!*1000</f>
        <v>#REF!</v>
      </c>
      <c r="E24" s="30" t="e">
        <f>#REF!*1000</f>
        <v>#REF!</v>
      </c>
      <c r="F24" s="30" t="e">
        <f>#REF!*1000</f>
        <v>#REF!</v>
      </c>
      <c r="G24" s="30" t="e">
        <f>#REF!*1000</f>
        <v>#REF!</v>
      </c>
      <c r="H24" s="30" t="e">
        <f>#REF!*1000</f>
        <v>#REF!</v>
      </c>
      <c r="I24" s="30" t="e">
        <f>#REF!*1000</f>
        <v>#REF!</v>
      </c>
      <c r="J24" s="30" t="e">
        <f>#REF!*1000</f>
        <v>#REF!</v>
      </c>
      <c r="K24" s="30" t="e">
        <f>#REF!*1000</f>
        <v>#REF!</v>
      </c>
      <c r="L24" s="30" t="e">
        <f>#REF!*1000</f>
        <v>#REF!</v>
      </c>
      <c r="M24" s="30" t="e">
        <f>#REF!*1000</f>
        <v>#REF!</v>
      </c>
      <c r="N24" s="30" t="e">
        <f>#REF!*1000</f>
        <v>#REF!</v>
      </c>
      <c r="O24" s="30" t="e">
        <f>#REF!*1000</f>
        <v>#REF!</v>
      </c>
      <c r="P24" s="30" t="e">
        <f>#REF!*1000</f>
        <v>#REF!</v>
      </c>
      <c r="Q24" s="30" t="e">
        <f>#REF!*1000</f>
        <v>#REF!</v>
      </c>
    </row>
    <row r="25" spans="1:17">
      <c r="A25" t="s">
        <v>45</v>
      </c>
      <c r="B25" s="30" t="e">
        <f>#REF!*1000</f>
        <v>#REF!</v>
      </c>
      <c r="C25" s="30" t="e">
        <f>#REF!*1000</f>
        <v>#REF!</v>
      </c>
      <c r="D25" s="30" t="e">
        <f>#REF!*1000</f>
        <v>#REF!</v>
      </c>
      <c r="E25" s="30" t="e">
        <f>#REF!*1000</f>
        <v>#REF!</v>
      </c>
      <c r="F25" s="30" t="e">
        <f>#REF!*1000</f>
        <v>#REF!</v>
      </c>
      <c r="G25" s="30" t="e">
        <f>#REF!*1000</f>
        <v>#REF!</v>
      </c>
      <c r="H25" s="30" t="e">
        <f>#REF!*1000</f>
        <v>#REF!</v>
      </c>
      <c r="I25" s="30" t="e">
        <f>#REF!*1000</f>
        <v>#REF!</v>
      </c>
      <c r="J25" s="30" t="e">
        <f>#REF!*1000</f>
        <v>#REF!</v>
      </c>
      <c r="K25" s="30" t="e">
        <f>#REF!*1000</f>
        <v>#REF!</v>
      </c>
      <c r="L25" s="30" t="e">
        <f>#REF!*1000</f>
        <v>#REF!</v>
      </c>
      <c r="M25" s="30" t="e">
        <f>#REF!*1000</f>
        <v>#REF!</v>
      </c>
      <c r="N25" s="30" t="e">
        <f>#REF!*1000</f>
        <v>#REF!</v>
      </c>
      <c r="O25" s="30" t="e">
        <f>#REF!*1000</f>
        <v>#REF!</v>
      </c>
      <c r="P25" s="30" t="e">
        <f>#REF!*1000</f>
        <v>#REF!</v>
      </c>
      <c r="Q25" s="30" t="e">
        <f>#REF!*1000</f>
        <v>#REF!</v>
      </c>
    </row>
    <row r="26" spans="1:17">
      <c r="A26" t="s">
        <v>46</v>
      </c>
      <c r="B26" t="e">
        <f>#REF!*1000</f>
        <v>#REF!</v>
      </c>
      <c r="C26" t="e">
        <f>#REF!*1000</f>
        <v>#REF!</v>
      </c>
      <c r="D26" t="e">
        <f>#REF!*1000</f>
        <v>#REF!</v>
      </c>
      <c r="E26" t="e">
        <f>#REF!*1000</f>
        <v>#REF!</v>
      </c>
      <c r="F26" t="e">
        <f>#REF!*1000</f>
        <v>#REF!</v>
      </c>
      <c r="G26" t="e">
        <f>#REF!*1000</f>
        <v>#REF!</v>
      </c>
      <c r="H26" t="e">
        <f>#REF!*1000</f>
        <v>#REF!</v>
      </c>
      <c r="I26" t="e">
        <f>#REF!*1000</f>
        <v>#REF!</v>
      </c>
      <c r="J26" t="e">
        <f>#REF!*1000</f>
        <v>#REF!</v>
      </c>
      <c r="K26" t="e">
        <f>#REF!*1000</f>
        <v>#REF!</v>
      </c>
      <c r="L26" t="e">
        <f>#REF!*1000</f>
        <v>#REF!</v>
      </c>
      <c r="M26" t="e">
        <f>#REF!*1000</f>
        <v>#REF!</v>
      </c>
      <c r="N26" t="e">
        <f>#REF!*1000</f>
        <v>#REF!</v>
      </c>
      <c r="O26" t="e">
        <f>#REF!*1000</f>
        <v>#REF!</v>
      </c>
      <c r="P26" t="e">
        <f>#REF!*1000</f>
        <v>#REF!</v>
      </c>
      <c r="Q26" t="e">
        <f>#REF!*1000</f>
        <v>#REF!</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C26DE-6DE1-44A4-B82E-3E9468B214D0}">
  <sheetPr>
    <pageSetUpPr autoPageBreaks="0"/>
  </sheetPr>
  <dimension ref="A1:Q23"/>
  <sheetViews>
    <sheetView workbookViewId="0">
      <selection activeCell="A24" sqref="A24:XFD24"/>
    </sheetView>
  </sheetViews>
  <sheetFormatPr defaultRowHeight="13.2"/>
  <cols>
    <col min="2" max="17" width="11.6640625" customWidth="1"/>
  </cols>
  <sheetData>
    <row r="1" spans="1:17">
      <c r="A1" t="s">
        <v>0</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s">
        <v>1</v>
      </c>
      <c r="B2" t="e">
        <f>#REF!*1000</f>
        <v>#REF!</v>
      </c>
      <c r="C2" t="e">
        <f>#REF!*1000</f>
        <v>#REF!</v>
      </c>
      <c r="D2" t="e">
        <f>#REF!*1000</f>
        <v>#REF!</v>
      </c>
      <c r="E2" t="e">
        <f>#REF!*1000</f>
        <v>#REF!</v>
      </c>
      <c r="F2" t="e">
        <f>#REF!*1000</f>
        <v>#REF!</v>
      </c>
      <c r="G2" t="e">
        <f>#REF!*1000</f>
        <v>#REF!</v>
      </c>
      <c r="H2" t="e">
        <f>#REF!*1000</f>
        <v>#REF!</v>
      </c>
      <c r="I2" t="e">
        <f>#REF!*1000</f>
        <v>#REF!</v>
      </c>
      <c r="J2" t="e">
        <f>#REF!*1000</f>
        <v>#REF!</v>
      </c>
      <c r="K2" t="e">
        <f>#REF!*1000</f>
        <v>#REF!</v>
      </c>
      <c r="L2" t="e">
        <f>#REF!*1000</f>
        <v>#REF!</v>
      </c>
      <c r="M2" t="e">
        <f>#REF!*1000</f>
        <v>#REF!</v>
      </c>
      <c r="N2" t="e">
        <f>#REF!*1000</f>
        <v>#REF!</v>
      </c>
      <c r="O2" t="e">
        <f>#REF!*1000</f>
        <v>#REF!</v>
      </c>
      <c r="P2" t="e">
        <f>#REF!*1000</f>
        <v>#REF!</v>
      </c>
      <c r="Q2" t="e">
        <f>#REF!*1000</f>
        <v>#REF!</v>
      </c>
    </row>
    <row r="3" spans="1:17">
      <c r="A3" t="s">
        <v>2</v>
      </c>
      <c r="B3" t="e">
        <f>#REF!*1000</f>
        <v>#REF!</v>
      </c>
      <c r="C3" t="e">
        <f>#REF!*1000</f>
        <v>#REF!</v>
      </c>
      <c r="D3" t="e">
        <f>#REF!*1000</f>
        <v>#REF!</v>
      </c>
      <c r="E3" t="e">
        <f>#REF!*1000</f>
        <v>#REF!</v>
      </c>
      <c r="F3" t="e">
        <f>#REF!*1000</f>
        <v>#REF!</v>
      </c>
      <c r="G3" t="e">
        <f>#REF!*1000</f>
        <v>#REF!</v>
      </c>
      <c r="H3" t="e">
        <f>#REF!*1000</f>
        <v>#REF!</v>
      </c>
      <c r="I3" t="e">
        <f>#REF!*1000</f>
        <v>#REF!</v>
      </c>
      <c r="J3" t="e">
        <f>#REF!*1000</f>
        <v>#REF!</v>
      </c>
      <c r="K3" t="e">
        <f>#REF!*1000</f>
        <v>#REF!</v>
      </c>
      <c r="L3" t="e">
        <f>#REF!*1000</f>
        <v>#REF!</v>
      </c>
      <c r="M3" t="e">
        <f>#REF!*1000</f>
        <v>#REF!</v>
      </c>
      <c r="N3" t="e">
        <f>#REF!*1000</f>
        <v>#REF!</v>
      </c>
      <c r="O3" t="e">
        <f>#REF!*1000</f>
        <v>#REF!</v>
      </c>
      <c r="P3" t="e">
        <f>#REF!*1000</f>
        <v>#REF!</v>
      </c>
      <c r="Q3" t="e">
        <f>#REF!*1000</f>
        <v>#REF!</v>
      </c>
    </row>
    <row r="4" spans="1:17">
      <c r="A4" t="s">
        <v>3</v>
      </c>
      <c r="B4" t="e">
        <f>#REF!*1000</f>
        <v>#REF!</v>
      </c>
      <c r="C4" t="e">
        <f>#REF!*1000</f>
        <v>#REF!</v>
      </c>
      <c r="D4" t="e">
        <f>#REF!*1000</f>
        <v>#REF!</v>
      </c>
      <c r="E4" t="e">
        <f>#REF!*1000</f>
        <v>#REF!</v>
      </c>
      <c r="F4" t="e">
        <f>#REF!*1000</f>
        <v>#REF!</v>
      </c>
      <c r="G4" t="e">
        <f>#REF!*1000</f>
        <v>#REF!</v>
      </c>
      <c r="H4" t="e">
        <f>#REF!*1000</f>
        <v>#REF!</v>
      </c>
      <c r="I4" t="e">
        <f>#REF!*1000</f>
        <v>#REF!</v>
      </c>
      <c r="J4" t="e">
        <f>#REF!*1000</f>
        <v>#REF!</v>
      </c>
      <c r="K4" t="e">
        <f>#REF!*1000</f>
        <v>#REF!</v>
      </c>
      <c r="L4" t="e">
        <f>#REF!*1000</f>
        <v>#REF!</v>
      </c>
      <c r="M4" t="e">
        <f>#REF!*1000</f>
        <v>#REF!</v>
      </c>
      <c r="N4" t="e">
        <f>#REF!*1000</f>
        <v>#REF!</v>
      </c>
      <c r="O4" t="e">
        <f>#REF!*1000</f>
        <v>#REF!</v>
      </c>
      <c r="P4" t="e">
        <f>#REF!*1000</f>
        <v>#REF!</v>
      </c>
      <c r="Q4" t="e">
        <f>#REF!*1000</f>
        <v>#REF!</v>
      </c>
    </row>
    <row r="5" spans="1:17">
      <c r="A5" t="s">
        <v>4</v>
      </c>
      <c r="B5" t="e">
        <f>#REF!*1000</f>
        <v>#REF!</v>
      </c>
      <c r="C5" t="e">
        <f>#REF!*1000</f>
        <v>#REF!</v>
      </c>
      <c r="D5" t="e">
        <f>#REF!*1000</f>
        <v>#REF!</v>
      </c>
      <c r="E5" t="e">
        <f>#REF!*1000</f>
        <v>#REF!</v>
      </c>
      <c r="F5" t="e">
        <f>#REF!*1000</f>
        <v>#REF!</v>
      </c>
      <c r="G5" t="e">
        <f>#REF!*1000</f>
        <v>#REF!</v>
      </c>
      <c r="H5" t="e">
        <f>#REF!*1000</f>
        <v>#REF!</v>
      </c>
      <c r="I5" t="e">
        <f>#REF!*1000</f>
        <v>#REF!</v>
      </c>
      <c r="J5" t="e">
        <f>#REF!*1000</f>
        <v>#REF!</v>
      </c>
      <c r="K5" t="e">
        <f>#REF!*1000</f>
        <v>#REF!</v>
      </c>
      <c r="L5" t="e">
        <f>#REF!*1000</f>
        <v>#REF!</v>
      </c>
      <c r="M5" t="e">
        <f>#REF!*1000</f>
        <v>#REF!</v>
      </c>
      <c r="N5" t="e">
        <f>#REF!*1000</f>
        <v>#REF!</v>
      </c>
      <c r="O5" t="e">
        <f>#REF!*1000</f>
        <v>#REF!</v>
      </c>
      <c r="P5" t="e">
        <f>#REF!*1000</f>
        <v>#REF!</v>
      </c>
      <c r="Q5" t="e">
        <f>#REF!*1000</f>
        <v>#REF!</v>
      </c>
    </row>
    <row r="6" spans="1:17">
      <c r="A6" t="s">
        <v>5</v>
      </c>
      <c r="B6" t="e">
        <f>#REF!*1000</f>
        <v>#REF!</v>
      </c>
      <c r="C6" t="e">
        <f>#REF!*1000</f>
        <v>#REF!</v>
      </c>
      <c r="D6" t="e">
        <f>#REF!*1000</f>
        <v>#REF!</v>
      </c>
      <c r="E6" t="e">
        <f>#REF!*1000</f>
        <v>#REF!</v>
      </c>
      <c r="F6" t="e">
        <f>#REF!*1000</f>
        <v>#REF!</v>
      </c>
      <c r="G6" t="e">
        <f>#REF!*1000</f>
        <v>#REF!</v>
      </c>
      <c r="H6" t="e">
        <f>#REF!*1000</f>
        <v>#REF!</v>
      </c>
      <c r="I6" t="e">
        <f>#REF!*1000</f>
        <v>#REF!</v>
      </c>
      <c r="J6" t="e">
        <f>#REF!*1000</f>
        <v>#REF!</v>
      </c>
      <c r="K6" t="e">
        <f>#REF!*1000</f>
        <v>#REF!</v>
      </c>
      <c r="L6" t="e">
        <f>#REF!*1000</f>
        <v>#REF!</v>
      </c>
      <c r="M6" t="e">
        <f>#REF!*1000</f>
        <v>#REF!</v>
      </c>
      <c r="N6" t="e">
        <f>#REF!*1000</f>
        <v>#REF!</v>
      </c>
      <c r="O6" t="e">
        <f>#REF!*1000</f>
        <v>#REF!</v>
      </c>
      <c r="P6" t="e">
        <f>#REF!*1000</f>
        <v>#REF!</v>
      </c>
      <c r="Q6" t="e">
        <f>#REF!*1000</f>
        <v>#REF!</v>
      </c>
    </row>
    <row r="7" spans="1:17">
      <c r="A7" t="s">
        <v>6</v>
      </c>
      <c r="B7" t="e">
        <f>#REF!*1000</f>
        <v>#REF!</v>
      </c>
      <c r="C7" t="e">
        <f>#REF!*1000</f>
        <v>#REF!</v>
      </c>
      <c r="D7" t="e">
        <f>#REF!*1000</f>
        <v>#REF!</v>
      </c>
      <c r="E7" t="e">
        <f>#REF!*1000</f>
        <v>#REF!</v>
      </c>
      <c r="F7" t="e">
        <f>#REF!*1000</f>
        <v>#REF!</v>
      </c>
      <c r="G7" t="e">
        <f>#REF!*1000</f>
        <v>#REF!</v>
      </c>
      <c r="H7" t="e">
        <f>#REF!*1000</f>
        <v>#REF!</v>
      </c>
      <c r="I7" t="e">
        <f>#REF!*1000</f>
        <v>#REF!</v>
      </c>
      <c r="J7" t="e">
        <f>#REF!*1000</f>
        <v>#REF!</v>
      </c>
      <c r="K7" t="e">
        <f>#REF!*1000</f>
        <v>#REF!</v>
      </c>
      <c r="L7" t="e">
        <f>#REF!*1000</f>
        <v>#REF!</v>
      </c>
      <c r="M7" t="e">
        <f>#REF!*1000</f>
        <v>#REF!</v>
      </c>
      <c r="N7" t="e">
        <f>#REF!*1000</f>
        <v>#REF!</v>
      </c>
      <c r="O7" t="e">
        <f>#REF!*1000</f>
        <v>#REF!</v>
      </c>
      <c r="P7" t="e">
        <f>#REF!*1000</f>
        <v>#REF!</v>
      </c>
      <c r="Q7" t="e">
        <f>#REF!*1000</f>
        <v>#REF!</v>
      </c>
    </row>
    <row r="8" spans="1:17">
      <c r="A8" t="s">
        <v>7</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s">
        <v>8</v>
      </c>
      <c r="B9" t="e">
        <f>#REF!*1000</f>
        <v>#REF!</v>
      </c>
      <c r="C9" t="e">
        <f>#REF!*1000</f>
        <v>#REF!</v>
      </c>
      <c r="D9" t="e">
        <f>#REF!*1000</f>
        <v>#REF!</v>
      </c>
      <c r="E9" t="e">
        <f>#REF!*1000</f>
        <v>#REF!</v>
      </c>
      <c r="F9" t="e">
        <f>#REF!*1000</f>
        <v>#REF!</v>
      </c>
      <c r="G9" t="e">
        <f>#REF!*1000</f>
        <v>#REF!</v>
      </c>
      <c r="H9" t="e">
        <f>#REF!*1000</f>
        <v>#REF!</v>
      </c>
      <c r="I9" t="e">
        <f>#REF!*1000</f>
        <v>#REF!</v>
      </c>
      <c r="J9" t="e">
        <f>#REF!*1000</f>
        <v>#REF!</v>
      </c>
      <c r="K9" t="e">
        <f>#REF!*1000</f>
        <v>#REF!</v>
      </c>
      <c r="L9" t="e">
        <f>#REF!*1000</f>
        <v>#REF!</v>
      </c>
      <c r="M9" t="e">
        <f>#REF!*1000</f>
        <v>#REF!</v>
      </c>
      <c r="N9" t="e">
        <f>#REF!*1000</f>
        <v>#REF!</v>
      </c>
      <c r="O9" t="e">
        <f>#REF!*1000</f>
        <v>#REF!</v>
      </c>
      <c r="P9" t="e">
        <f>#REF!*1000</f>
        <v>#REF!</v>
      </c>
      <c r="Q9" t="e">
        <f>#REF!*1000</f>
        <v>#REF!</v>
      </c>
    </row>
    <row r="10" spans="1:17">
      <c r="A10" t="s">
        <v>9</v>
      </c>
      <c r="B10" t="e">
        <f>#REF!*1000</f>
        <v>#REF!</v>
      </c>
      <c r="C10" t="e">
        <f>#REF!*1000</f>
        <v>#REF!</v>
      </c>
      <c r="D10" t="e">
        <f>#REF!*1000</f>
        <v>#REF!</v>
      </c>
      <c r="E10" t="e">
        <f>#REF!*1000</f>
        <v>#REF!</v>
      </c>
      <c r="F10" t="e">
        <f>#REF!*1000</f>
        <v>#REF!</v>
      </c>
      <c r="G10" t="e">
        <f>#REF!*1000</f>
        <v>#REF!</v>
      </c>
      <c r="H10" t="e">
        <f>#REF!*1000</f>
        <v>#REF!</v>
      </c>
      <c r="I10" t="e">
        <f>#REF!*1000</f>
        <v>#REF!</v>
      </c>
      <c r="J10" t="e">
        <f>#REF!*1000</f>
        <v>#REF!</v>
      </c>
      <c r="K10" t="e">
        <f>#REF!*1000</f>
        <v>#REF!</v>
      </c>
      <c r="L10" t="e">
        <f>#REF!*1000</f>
        <v>#REF!</v>
      </c>
      <c r="M10" t="e">
        <f>#REF!*1000</f>
        <v>#REF!</v>
      </c>
      <c r="N10" t="e">
        <f>#REF!*1000</f>
        <v>#REF!</v>
      </c>
      <c r="O10" t="e">
        <f>#REF!*1000</f>
        <v>#REF!</v>
      </c>
      <c r="P10" t="e">
        <f>#REF!*1000</f>
        <v>#REF!</v>
      </c>
      <c r="Q10" t="e">
        <f>#REF!*1000</f>
        <v>#REF!</v>
      </c>
    </row>
    <row r="11" spans="1:17">
      <c r="A11" t="s">
        <v>10</v>
      </c>
      <c r="B11" t="e">
        <f>#REF!*1000</f>
        <v>#REF!</v>
      </c>
      <c r="C11" t="e">
        <f>#REF!*1000</f>
        <v>#REF!</v>
      </c>
      <c r="D11" t="e">
        <f>#REF!*1000</f>
        <v>#REF!</v>
      </c>
      <c r="E11" t="e">
        <f>#REF!*1000</f>
        <v>#REF!</v>
      </c>
      <c r="F11" t="e">
        <f>#REF!*1000</f>
        <v>#REF!</v>
      </c>
      <c r="G11" t="e">
        <f>#REF!*1000</f>
        <v>#REF!</v>
      </c>
      <c r="H11" t="e">
        <f>#REF!*1000</f>
        <v>#REF!</v>
      </c>
      <c r="I11" t="e">
        <f>#REF!*1000</f>
        <v>#REF!</v>
      </c>
      <c r="J11" t="e">
        <f>#REF!*1000</f>
        <v>#REF!</v>
      </c>
      <c r="K11" t="e">
        <f>#REF!*1000</f>
        <v>#REF!</v>
      </c>
      <c r="L11" t="e">
        <f>#REF!*1000</f>
        <v>#REF!</v>
      </c>
      <c r="M11" t="e">
        <f>#REF!*1000</f>
        <v>#REF!</v>
      </c>
      <c r="N11" t="e">
        <f>#REF!*1000</f>
        <v>#REF!</v>
      </c>
      <c r="O11" t="e">
        <f>#REF!*1000</f>
        <v>#REF!</v>
      </c>
      <c r="P11" t="e">
        <f>#REF!*1000</f>
        <v>#REF!</v>
      </c>
      <c r="Q11" t="e">
        <f>#REF!*1000</f>
        <v>#REF!</v>
      </c>
    </row>
    <row r="12" spans="1:17">
      <c r="A12" t="s">
        <v>11</v>
      </c>
      <c r="B12" t="e">
        <f>#REF!*1000</f>
        <v>#REF!</v>
      </c>
      <c r="C12" t="e">
        <f>#REF!*1000</f>
        <v>#REF!</v>
      </c>
      <c r="D12" t="e">
        <f>#REF!*1000</f>
        <v>#REF!</v>
      </c>
      <c r="E12" t="e">
        <f>#REF!*1000</f>
        <v>#REF!</v>
      </c>
      <c r="F12" t="e">
        <f>#REF!*1000</f>
        <v>#REF!</v>
      </c>
      <c r="G12" t="e">
        <f>#REF!*1000</f>
        <v>#REF!</v>
      </c>
      <c r="H12" t="e">
        <f>#REF!*1000</f>
        <v>#REF!</v>
      </c>
      <c r="I12" t="e">
        <f>#REF!*1000</f>
        <v>#REF!</v>
      </c>
      <c r="J12" t="e">
        <f>#REF!*1000</f>
        <v>#REF!</v>
      </c>
      <c r="K12" t="e">
        <f>#REF!*1000</f>
        <v>#REF!</v>
      </c>
      <c r="L12" t="e">
        <f>#REF!*1000</f>
        <v>#REF!</v>
      </c>
      <c r="M12" t="e">
        <f>#REF!*1000</f>
        <v>#REF!</v>
      </c>
      <c r="N12" t="e">
        <f>#REF!*1000</f>
        <v>#REF!</v>
      </c>
      <c r="O12" t="e">
        <f>#REF!*1000</f>
        <v>#REF!</v>
      </c>
      <c r="P12" t="e">
        <f>#REF!*1000</f>
        <v>#REF!</v>
      </c>
      <c r="Q12" t="e">
        <f>#REF!*1000</f>
        <v>#REF!</v>
      </c>
    </row>
    <row r="13" spans="1:17">
      <c r="A13" t="s">
        <v>12</v>
      </c>
      <c r="B13" t="e">
        <f>#REF!*1000</f>
        <v>#REF!</v>
      </c>
      <c r="C13" t="e">
        <f>#REF!*1000</f>
        <v>#REF!</v>
      </c>
      <c r="D13" t="e">
        <f>#REF!*1000</f>
        <v>#REF!</v>
      </c>
      <c r="E13" t="e">
        <f>#REF!*1000</f>
        <v>#REF!</v>
      </c>
      <c r="F13" t="e">
        <f>#REF!*1000</f>
        <v>#REF!</v>
      </c>
      <c r="G13" t="e">
        <f>#REF!*1000</f>
        <v>#REF!</v>
      </c>
      <c r="H13" t="e">
        <f>#REF!*1000</f>
        <v>#REF!</v>
      </c>
      <c r="I13" t="e">
        <f>#REF!*1000</f>
        <v>#REF!</v>
      </c>
      <c r="J13" t="e">
        <f>#REF!*1000</f>
        <v>#REF!</v>
      </c>
      <c r="K13" t="e">
        <f>#REF!*1000</f>
        <v>#REF!</v>
      </c>
      <c r="L13" t="e">
        <f>#REF!*1000</f>
        <v>#REF!</v>
      </c>
      <c r="M13" t="e">
        <f>#REF!*1000</f>
        <v>#REF!</v>
      </c>
      <c r="N13" t="e">
        <f>#REF!*1000</f>
        <v>#REF!</v>
      </c>
      <c r="O13" t="e">
        <f>#REF!*1000</f>
        <v>#REF!</v>
      </c>
      <c r="P13" t="e">
        <f>#REF!*1000</f>
        <v>#REF!</v>
      </c>
      <c r="Q13" t="e">
        <f>#REF!*1000</f>
        <v>#REF!</v>
      </c>
    </row>
    <row r="14" spans="1:17">
      <c r="A14" t="s">
        <v>13</v>
      </c>
      <c r="B14" t="e">
        <f>#REF!*1000</f>
        <v>#REF!</v>
      </c>
      <c r="C14" t="e">
        <f>#REF!*1000</f>
        <v>#REF!</v>
      </c>
      <c r="D14" t="e">
        <f>#REF!*1000</f>
        <v>#REF!</v>
      </c>
      <c r="E14" t="e">
        <f>#REF!*1000</f>
        <v>#REF!</v>
      </c>
      <c r="F14" t="e">
        <f>#REF!*1000</f>
        <v>#REF!</v>
      </c>
      <c r="G14" t="e">
        <f>#REF!*1000</f>
        <v>#REF!</v>
      </c>
      <c r="H14" t="e">
        <f>#REF!*1000</f>
        <v>#REF!</v>
      </c>
      <c r="I14" t="e">
        <f>#REF!*1000</f>
        <v>#REF!</v>
      </c>
      <c r="J14" t="e">
        <f>#REF!*1000</f>
        <v>#REF!</v>
      </c>
      <c r="K14" t="e">
        <f>#REF!*1000</f>
        <v>#REF!</v>
      </c>
      <c r="L14" t="e">
        <f>#REF!*1000</f>
        <v>#REF!</v>
      </c>
      <c r="M14" t="e">
        <f>#REF!*1000</f>
        <v>#REF!</v>
      </c>
      <c r="N14" t="e">
        <f>#REF!*1000</f>
        <v>#REF!</v>
      </c>
      <c r="O14" t="e">
        <f>#REF!*1000</f>
        <v>#REF!</v>
      </c>
      <c r="P14" t="e">
        <f>#REF!*1000</f>
        <v>#REF!</v>
      </c>
      <c r="Q14" t="e">
        <f>#REF!*1000</f>
        <v>#REF!</v>
      </c>
    </row>
    <row r="15" spans="1:17">
      <c r="A15" t="s">
        <v>14</v>
      </c>
      <c r="B15" t="e">
        <f>#REF!*1000</f>
        <v>#REF!</v>
      </c>
      <c r="C15" t="e">
        <f>#REF!*1000</f>
        <v>#REF!</v>
      </c>
      <c r="D15" t="e">
        <f>#REF!*1000</f>
        <v>#REF!</v>
      </c>
      <c r="E15" t="e">
        <f>#REF!*1000</f>
        <v>#REF!</v>
      </c>
      <c r="F15" t="e">
        <f>#REF!*1000</f>
        <v>#REF!</v>
      </c>
      <c r="G15" t="e">
        <f>#REF!*1000</f>
        <v>#REF!</v>
      </c>
      <c r="H15" t="e">
        <f>#REF!*1000</f>
        <v>#REF!</v>
      </c>
      <c r="I15" t="e">
        <f>#REF!*1000</f>
        <v>#REF!</v>
      </c>
      <c r="J15" t="e">
        <f>#REF!*1000</f>
        <v>#REF!</v>
      </c>
      <c r="K15" t="e">
        <f>#REF!*1000</f>
        <v>#REF!</v>
      </c>
      <c r="L15" t="e">
        <f>#REF!*1000</f>
        <v>#REF!</v>
      </c>
      <c r="M15" t="e">
        <f>#REF!*1000</f>
        <v>#REF!</v>
      </c>
      <c r="N15" t="e">
        <f>#REF!*1000</f>
        <v>#REF!</v>
      </c>
      <c r="O15" t="e">
        <f>#REF!*1000</f>
        <v>#REF!</v>
      </c>
      <c r="P15" t="e">
        <f>#REF!*1000</f>
        <v>#REF!</v>
      </c>
      <c r="Q15" t="e">
        <f>#REF!*1000</f>
        <v>#REF!</v>
      </c>
    </row>
    <row r="16" spans="1:17">
      <c r="A16" t="s">
        <v>15</v>
      </c>
      <c r="B16" t="e">
        <f>#REF!*1000</f>
        <v>#REF!</v>
      </c>
      <c r="C16" t="e">
        <f>#REF!*1000</f>
        <v>#REF!</v>
      </c>
      <c r="D16" t="e">
        <f>#REF!*1000</f>
        <v>#REF!</v>
      </c>
      <c r="E16" t="e">
        <f>#REF!*1000</f>
        <v>#REF!</v>
      </c>
      <c r="F16" t="e">
        <f>#REF!*1000</f>
        <v>#REF!</v>
      </c>
      <c r="G16" t="e">
        <f>#REF!*1000</f>
        <v>#REF!</v>
      </c>
      <c r="H16" t="e">
        <f>#REF!*1000</f>
        <v>#REF!</v>
      </c>
      <c r="I16" t="e">
        <f>#REF!*1000</f>
        <v>#REF!</v>
      </c>
      <c r="J16" t="e">
        <f>#REF!*1000</f>
        <v>#REF!</v>
      </c>
      <c r="K16" t="e">
        <f>#REF!*1000</f>
        <v>#REF!</v>
      </c>
      <c r="L16" t="e">
        <f>#REF!*1000</f>
        <v>#REF!</v>
      </c>
      <c r="M16" t="e">
        <f>#REF!*1000</f>
        <v>#REF!</v>
      </c>
      <c r="N16" t="e">
        <f>#REF!*1000</f>
        <v>#REF!</v>
      </c>
      <c r="O16" t="e">
        <f>#REF!*1000</f>
        <v>#REF!</v>
      </c>
      <c r="P16" t="e">
        <f>#REF!*1000</f>
        <v>#REF!</v>
      </c>
      <c r="Q16" t="e">
        <f>#REF!*1000</f>
        <v>#REF!</v>
      </c>
    </row>
    <row r="17" spans="1:17">
      <c r="A17" t="s">
        <v>16</v>
      </c>
      <c r="B17" t="e">
        <f>#REF!*1000</f>
        <v>#REF!</v>
      </c>
      <c r="C17" t="e">
        <f>#REF!*1000</f>
        <v>#REF!</v>
      </c>
      <c r="D17" t="e">
        <f>#REF!*1000</f>
        <v>#REF!</v>
      </c>
      <c r="E17" t="e">
        <f>#REF!*1000</f>
        <v>#REF!</v>
      </c>
      <c r="F17" t="e">
        <f>#REF!*1000</f>
        <v>#REF!</v>
      </c>
      <c r="G17" t="e">
        <f>#REF!*1000</f>
        <v>#REF!</v>
      </c>
      <c r="H17" t="e">
        <f>#REF!*1000</f>
        <v>#REF!</v>
      </c>
      <c r="I17" t="e">
        <f>#REF!*1000</f>
        <v>#REF!</v>
      </c>
      <c r="J17" t="e">
        <f>#REF!*1000</f>
        <v>#REF!</v>
      </c>
      <c r="K17" t="e">
        <f>#REF!*1000</f>
        <v>#REF!</v>
      </c>
      <c r="L17" t="e">
        <f>#REF!*1000</f>
        <v>#REF!</v>
      </c>
      <c r="M17" t="e">
        <f>#REF!*1000</f>
        <v>#REF!</v>
      </c>
      <c r="N17" t="e">
        <f>#REF!*1000</f>
        <v>#REF!</v>
      </c>
      <c r="O17" t="e">
        <f>#REF!*1000</f>
        <v>#REF!</v>
      </c>
      <c r="P17" t="e">
        <f>#REF!*1000</f>
        <v>#REF!</v>
      </c>
      <c r="Q17" t="e">
        <f>#REF!*1000</f>
        <v>#REF!</v>
      </c>
    </row>
    <row r="18" spans="1:17">
      <c r="A18" t="s">
        <v>17</v>
      </c>
      <c r="B18" t="e">
        <f>#REF!*1000</f>
        <v>#REF!</v>
      </c>
      <c r="C18" t="e">
        <f>#REF!*1000</f>
        <v>#REF!</v>
      </c>
      <c r="D18" t="e">
        <f>#REF!*1000</f>
        <v>#REF!</v>
      </c>
      <c r="E18" t="e">
        <f>#REF!*1000</f>
        <v>#REF!</v>
      </c>
      <c r="F18" t="e">
        <f>#REF!*1000</f>
        <v>#REF!</v>
      </c>
      <c r="G18" t="e">
        <f>#REF!*1000</f>
        <v>#REF!</v>
      </c>
      <c r="H18" t="e">
        <f>#REF!*1000</f>
        <v>#REF!</v>
      </c>
      <c r="I18" t="e">
        <f>#REF!*1000</f>
        <v>#REF!</v>
      </c>
      <c r="J18" t="e">
        <f>#REF!*1000</f>
        <v>#REF!</v>
      </c>
      <c r="K18" t="e">
        <f>#REF!*1000</f>
        <v>#REF!</v>
      </c>
      <c r="L18" t="e">
        <f>#REF!*1000</f>
        <v>#REF!</v>
      </c>
      <c r="M18" t="e">
        <f>#REF!*1000</f>
        <v>#REF!</v>
      </c>
      <c r="N18" t="e">
        <f>#REF!*1000</f>
        <v>#REF!</v>
      </c>
      <c r="O18" t="e">
        <f>#REF!*1000</f>
        <v>#REF!</v>
      </c>
      <c r="P18" t="e">
        <f>#REF!*1000</f>
        <v>#REF!</v>
      </c>
      <c r="Q18" t="e">
        <f>#REF!*1000</f>
        <v>#REF!</v>
      </c>
    </row>
    <row r="19" spans="1:17">
      <c r="A19" t="s">
        <v>18</v>
      </c>
      <c r="B19" t="e">
        <f>#REF!*1000</f>
        <v>#REF!</v>
      </c>
      <c r="C19" t="e">
        <f>#REF!*1000</f>
        <v>#REF!</v>
      </c>
      <c r="D19" t="e">
        <f>#REF!*1000</f>
        <v>#REF!</v>
      </c>
      <c r="E19" t="e">
        <f>#REF!*1000</f>
        <v>#REF!</v>
      </c>
      <c r="F19" t="e">
        <f>#REF!*1000</f>
        <v>#REF!</v>
      </c>
      <c r="G19" t="e">
        <f>#REF!*1000</f>
        <v>#REF!</v>
      </c>
      <c r="H19" t="e">
        <f>#REF!*1000</f>
        <v>#REF!</v>
      </c>
      <c r="I19" t="e">
        <f>#REF!*1000</f>
        <v>#REF!</v>
      </c>
      <c r="J19" t="e">
        <f>#REF!*1000</f>
        <v>#REF!</v>
      </c>
      <c r="K19" t="e">
        <f>#REF!*1000</f>
        <v>#REF!</v>
      </c>
      <c r="L19" t="e">
        <f>#REF!*1000</f>
        <v>#REF!</v>
      </c>
      <c r="M19" t="e">
        <f>#REF!*1000</f>
        <v>#REF!</v>
      </c>
      <c r="N19" t="e">
        <f>#REF!*1000</f>
        <v>#REF!</v>
      </c>
      <c r="O19" t="e">
        <f>#REF!*1000</f>
        <v>#REF!</v>
      </c>
      <c r="P19" t="e">
        <f>#REF!*1000</f>
        <v>#REF!</v>
      </c>
      <c r="Q19" t="e">
        <f>#REF!*1000</f>
        <v>#REF!</v>
      </c>
    </row>
    <row r="20" spans="1:17">
      <c r="A20" t="s">
        <v>19</v>
      </c>
      <c r="B20" t="e">
        <f>#REF!*1000</f>
        <v>#REF!</v>
      </c>
      <c r="C20" t="e">
        <f>#REF!*1000</f>
        <v>#REF!</v>
      </c>
      <c r="D20" t="e">
        <f>#REF!*1000</f>
        <v>#REF!</v>
      </c>
      <c r="E20" t="e">
        <f>#REF!*1000</f>
        <v>#REF!</v>
      </c>
      <c r="F20" t="e">
        <f>#REF!*1000</f>
        <v>#REF!</v>
      </c>
      <c r="G20" t="e">
        <f>#REF!*1000</f>
        <v>#REF!</v>
      </c>
      <c r="H20" t="e">
        <f>#REF!*1000</f>
        <v>#REF!</v>
      </c>
      <c r="I20" t="e">
        <f>#REF!*1000</f>
        <v>#REF!</v>
      </c>
      <c r="J20" t="e">
        <f>#REF!*1000</f>
        <v>#REF!</v>
      </c>
      <c r="K20" t="e">
        <f>#REF!*1000</f>
        <v>#REF!</v>
      </c>
      <c r="L20" t="e">
        <f>#REF!*1000</f>
        <v>#REF!</v>
      </c>
      <c r="M20" t="e">
        <f>#REF!*1000</f>
        <v>#REF!</v>
      </c>
      <c r="N20" t="e">
        <f>#REF!*1000</f>
        <v>#REF!</v>
      </c>
      <c r="O20" t="e">
        <f>#REF!*1000</f>
        <v>#REF!</v>
      </c>
      <c r="P20" t="e">
        <f>#REF!*1000</f>
        <v>#REF!</v>
      </c>
      <c r="Q20" t="e">
        <f>#REF!*1000</f>
        <v>#REF!</v>
      </c>
    </row>
    <row r="21" spans="1:17">
      <c r="A21" t="s">
        <v>20</v>
      </c>
      <c r="B21" t="e">
        <f>#REF!*1000</f>
        <v>#REF!</v>
      </c>
      <c r="C21" t="e">
        <f>#REF!*1000</f>
        <v>#REF!</v>
      </c>
      <c r="D21" t="e">
        <f>#REF!*1000</f>
        <v>#REF!</v>
      </c>
      <c r="E21" t="e">
        <f>#REF!*1000</f>
        <v>#REF!</v>
      </c>
      <c r="F21" t="e">
        <f>#REF!*1000</f>
        <v>#REF!</v>
      </c>
      <c r="G21" t="e">
        <f>#REF!*1000</f>
        <v>#REF!</v>
      </c>
      <c r="H21" t="e">
        <f>#REF!*1000</f>
        <v>#REF!</v>
      </c>
      <c r="I21" t="e">
        <f>#REF!*1000</f>
        <v>#REF!</v>
      </c>
      <c r="J21" t="e">
        <f>#REF!*1000</f>
        <v>#REF!</v>
      </c>
      <c r="K21" t="e">
        <f>#REF!*1000</f>
        <v>#REF!</v>
      </c>
      <c r="L21" t="e">
        <f>#REF!*1000</f>
        <v>#REF!</v>
      </c>
      <c r="M21" t="e">
        <f>#REF!*1000</f>
        <v>#REF!</v>
      </c>
      <c r="N21" t="e">
        <f>#REF!*1000</f>
        <v>#REF!</v>
      </c>
      <c r="O21" t="e">
        <f>#REF!*1000</f>
        <v>#REF!</v>
      </c>
      <c r="P21" t="e">
        <f>#REF!*1000</f>
        <v>#REF!</v>
      </c>
      <c r="Q21" t="e">
        <f>#REF!*1000</f>
        <v>#REF!</v>
      </c>
    </row>
    <row r="22" spans="1:17">
      <c r="A22" t="s">
        <v>21</v>
      </c>
      <c r="B22" t="e">
        <f>#REF!*1000</f>
        <v>#REF!</v>
      </c>
      <c r="C22" t="e">
        <f>#REF!*1000</f>
        <v>#REF!</v>
      </c>
      <c r="D22" t="e">
        <f>#REF!*1000</f>
        <v>#REF!</v>
      </c>
      <c r="E22" t="e">
        <f>#REF!*1000</f>
        <v>#REF!</v>
      </c>
      <c r="F22" t="e">
        <f>#REF!*1000</f>
        <v>#REF!</v>
      </c>
      <c r="G22" t="e">
        <f>#REF!*1000</f>
        <v>#REF!</v>
      </c>
      <c r="H22" t="e">
        <f>#REF!*1000</f>
        <v>#REF!</v>
      </c>
      <c r="I22" t="e">
        <f>#REF!*1000</f>
        <v>#REF!</v>
      </c>
      <c r="J22" t="e">
        <f>#REF!*1000</f>
        <v>#REF!</v>
      </c>
      <c r="K22" t="e">
        <f>#REF!*1000</f>
        <v>#REF!</v>
      </c>
      <c r="L22" t="e">
        <f>#REF!*1000</f>
        <v>#REF!</v>
      </c>
      <c r="M22" t="e">
        <f>#REF!*1000</f>
        <v>#REF!</v>
      </c>
      <c r="N22" t="e">
        <f>#REF!*1000</f>
        <v>#REF!</v>
      </c>
      <c r="O22" t="e">
        <f>#REF!*1000</f>
        <v>#REF!</v>
      </c>
      <c r="P22" t="e">
        <f>#REF!*1000</f>
        <v>#REF!</v>
      </c>
      <c r="Q22" t="e">
        <f>#REF!*1000</f>
        <v>#REF!</v>
      </c>
    </row>
    <row r="23" spans="1:17">
      <c r="A23" t="s">
        <v>22</v>
      </c>
      <c r="B23" t="e">
        <f>#REF!*1000</f>
        <v>#REF!</v>
      </c>
      <c r="C23" t="e">
        <f>#REF!*1000</f>
        <v>#REF!</v>
      </c>
      <c r="D23" t="e">
        <f>#REF!*1000</f>
        <v>#REF!</v>
      </c>
      <c r="E23" t="e">
        <f>#REF!*1000</f>
        <v>#REF!</v>
      </c>
      <c r="F23" t="e">
        <f>#REF!*1000</f>
        <v>#REF!</v>
      </c>
      <c r="G23" t="e">
        <f>#REF!*1000</f>
        <v>#REF!</v>
      </c>
      <c r="H23" t="e">
        <f>#REF!*1000</f>
        <v>#REF!</v>
      </c>
      <c r="I23" t="e">
        <f>#REF!*1000</f>
        <v>#REF!</v>
      </c>
      <c r="J23" t="e">
        <f>#REF!*1000</f>
        <v>#REF!</v>
      </c>
      <c r="K23" t="e">
        <f>#REF!*1000</f>
        <v>#REF!</v>
      </c>
      <c r="L23" t="e">
        <f>#REF!*1000</f>
        <v>#REF!</v>
      </c>
      <c r="M23" t="e">
        <f>#REF!*1000</f>
        <v>#REF!</v>
      </c>
      <c r="N23" t="e">
        <f>#REF!*1000</f>
        <v>#REF!</v>
      </c>
      <c r="O23" t="e">
        <f>#REF!*1000</f>
        <v>#REF!</v>
      </c>
      <c r="P23" t="e">
        <f>#REF!*1000</f>
        <v>#REF!</v>
      </c>
      <c r="Q23" t="e">
        <f>#REF!*1000</f>
        <v>#REF!</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9719D-8986-47D1-94C2-F41E7210D50A}">
  <sheetPr>
    <pageSetUpPr autoPageBreaks="0"/>
  </sheetPr>
  <dimension ref="A1:C5"/>
  <sheetViews>
    <sheetView workbookViewId="0">
      <selection activeCell="A24" sqref="A24:XFD24"/>
    </sheetView>
  </sheetViews>
  <sheetFormatPr defaultRowHeight="13.2"/>
  <cols>
    <col min="1" max="1" width="24.6640625" customWidth="1"/>
    <col min="2" max="2" width="9" bestFit="1" customWidth="1"/>
    <col min="3" max="3" width="9.33203125" bestFit="1" customWidth="1"/>
  </cols>
  <sheetData>
    <row r="1" spans="1:3">
      <c r="A1" t="e">
        <f>SUBSTITUTE(TRIM(#REF!)," ","")</f>
        <v>#REF!</v>
      </c>
      <c r="B1" s="24" t="e">
        <f>#REF!</f>
        <v>#REF!</v>
      </c>
      <c r="C1" s="24" t="e">
        <f>#REF!</f>
        <v>#REF!</v>
      </c>
    </row>
    <row r="2" spans="1:3">
      <c r="A2" t="e">
        <f>SUBSTITUTE(TRIM(#REF!)," ","")</f>
        <v>#REF!</v>
      </c>
      <c r="B2" s="24" t="e">
        <f>#REF!</f>
        <v>#REF!</v>
      </c>
      <c r="C2" s="24" t="e">
        <f>#REF!</f>
        <v>#REF!</v>
      </c>
    </row>
    <row r="3" spans="1:3">
      <c r="A3" t="e">
        <f>SUBSTITUTE(TRIM(#REF!)," ","")</f>
        <v>#REF!</v>
      </c>
      <c r="B3" s="24" t="e">
        <f>#REF!</f>
        <v>#REF!</v>
      </c>
      <c r="C3" s="24" t="e">
        <f>#REF!</f>
        <v>#REF!</v>
      </c>
    </row>
    <row r="4" spans="1:3">
      <c r="A4" t="e">
        <f>SUBSTITUTE(TRIM(#REF!)," ","")</f>
        <v>#REF!</v>
      </c>
      <c r="B4" s="24" t="e">
        <f>#REF!</f>
        <v>#REF!</v>
      </c>
      <c r="C4" s="24" t="e">
        <f>#REF!</f>
        <v>#REF!</v>
      </c>
    </row>
    <row r="5" spans="1:3">
      <c r="C5" s="24"/>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C1D50-0D27-4377-92AC-A851BF50F8A4}">
  <sheetPr>
    <pageSetUpPr autoPageBreaks="0"/>
  </sheetPr>
  <dimension ref="A1:C4"/>
  <sheetViews>
    <sheetView workbookViewId="0">
      <selection activeCell="A24" sqref="A24:XFD24"/>
    </sheetView>
  </sheetViews>
  <sheetFormatPr defaultRowHeight="13.2"/>
  <cols>
    <col min="1" max="1" width="7.6640625" customWidth="1"/>
    <col min="2" max="2" width="15.33203125" customWidth="1"/>
    <col min="3" max="3" width="16.109375" customWidth="1"/>
  </cols>
  <sheetData>
    <row r="1" spans="1:3">
      <c r="A1" s="19" t="e">
        <f>#REF!</f>
        <v>#REF!</v>
      </c>
      <c r="B1" t="e">
        <f>#REF!*1000</f>
        <v>#REF!</v>
      </c>
      <c r="C1" t="e">
        <f>#REF!*1000</f>
        <v>#REF!</v>
      </c>
    </row>
    <row r="2" spans="1:3">
      <c r="A2" s="19" t="e">
        <f>#REF!</f>
        <v>#REF!</v>
      </c>
      <c r="B2" t="e">
        <f>#REF!*1000</f>
        <v>#REF!</v>
      </c>
      <c r="C2" t="e">
        <f>#REF!*1000</f>
        <v>#REF!</v>
      </c>
    </row>
    <row r="3" spans="1:3">
      <c r="A3" s="19" t="e">
        <f>#REF!</f>
        <v>#REF!</v>
      </c>
      <c r="B3" t="e">
        <f>#REF!*1000</f>
        <v>#REF!</v>
      </c>
      <c r="C3" t="e">
        <f>#REF!*1000</f>
        <v>#REF!</v>
      </c>
    </row>
    <row r="4" spans="1:3">
      <c r="A4" s="19" t="e">
        <f>#REF!</f>
        <v>#REF!</v>
      </c>
      <c r="B4" t="e">
        <f>#REF!*1000</f>
        <v>#REF!</v>
      </c>
      <c r="C4" t="e">
        <f>#REF!*1000</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027CF-B092-490C-806C-77DE3B0A2AF3}">
  <sheetPr>
    <pageSetUpPr autoPageBreaks="0"/>
  </sheetPr>
  <dimension ref="A1:Q13"/>
  <sheetViews>
    <sheetView workbookViewId="0">
      <selection activeCell="A24" sqref="A24:XFD24"/>
    </sheetView>
  </sheetViews>
  <sheetFormatPr defaultRowHeight="13.2"/>
  <cols>
    <col min="1" max="1" width="25.6640625" customWidth="1"/>
    <col min="2" max="2" width="11.6640625" bestFit="1" customWidth="1"/>
  </cols>
  <sheetData>
    <row r="1" spans="1:17">
      <c r="A1" t="e">
        <f>#REF!</f>
        <v>#REF!</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e">
        <f>SUBSTITUTE(#REF!," ","")</f>
        <v>#REF!</v>
      </c>
      <c r="B2" t="e">
        <f>#REF!*1000</f>
        <v>#REF!</v>
      </c>
      <c r="C2" t="e">
        <f>#REF!*1000</f>
        <v>#REF!</v>
      </c>
      <c r="D2" t="e">
        <f>#REF!*1000</f>
        <v>#REF!</v>
      </c>
      <c r="E2" t="e">
        <f>#REF!*1000</f>
        <v>#REF!</v>
      </c>
      <c r="F2" t="e">
        <f>#REF!*1000</f>
        <v>#REF!</v>
      </c>
      <c r="G2" t="e">
        <f>#REF!*1000</f>
        <v>#REF!</v>
      </c>
      <c r="H2" t="e">
        <f>#REF!*1000</f>
        <v>#REF!</v>
      </c>
      <c r="I2" t="e">
        <f>#REF!*1000</f>
        <v>#REF!</v>
      </c>
      <c r="J2" t="e">
        <f>#REF!*1000</f>
        <v>#REF!</v>
      </c>
      <c r="K2" t="e">
        <f>#REF!*1000</f>
        <v>#REF!</v>
      </c>
      <c r="L2" t="e">
        <f>#REF!*1000</f>
        <v>#REF!</v>
      </c>
      <c r="M2" t="e">
        <f>#REF!*1000</f>
        <v>#REF!</v>
      </c>
      <c r="N2" t="e">
        <f>#REF!*1000</f>
        <v>#REF!</v>
      </c>
      <c r="O2" t="e">
        <f>#REF!*1000</f>
        <v>#REF!</v>
      </c>
      <c r="P2" t="e">
        <f>#REF!*1000</f>
        <v>#REF!</v>
      </c>
      <c r="Q2" t="e">
        <f>#REF!*1000</f>
        <v>#REF!</v>
      </c>
    </row>
    <row r="3" spans="1:17">
      <c r="A3" t="e">
        <f>SUBSTITUTE(#REF!," ","")</f>
        <v>#REF!</v>
      </c>
      <c r="B3" t="e">
        <f>#REF!*1000</f>
        <v>#REF!</v>
      </c>
      <c r="C3" t="e">
        <f>#REF!*1000</f>
        <v>#REF!</v>
      </c>
      <c r="D3" t="e">
        <f>#REF!*1000</f>
        <v>#REF!</v>
      </c>
      <c r="E3" t="e">
        <f>#REF!*1000</f>
        <v>#REF!</v>
      </c>
      <c r="F3" t="e">
        <f>#REF!*1000</f>
        <v>#REF!</v>
      </c>
      <c r="G3" t="e">
        <f>#REF!*1000</f>
        <v>#REF!</v>
      </c>
      <c r="H3" t="e">
        <f>#REF!*1000</f>
        <v>#REF!</v>
      </c>
      <c r="I3" t="e">
        <f>#REF!*1000</f>
        <v>#REF!</v>
      </c>
      <c r="J3" t="e">
        <f>#REF!*1000</f>
        <v>#REF!</v>
      </c>
      <c r="K3" t="e">
        <f>#REF!*1000</f>
        <v>#REF!</v>
      </c>
      <c r="L3" t="e">
        <f>#REF!*1000</f>
        <v>#REF!</v>
      </c>
      <c r="M3" t="e">
        <f>#REF!*1000</f>
        <v>#REF!</v>
      </c>
      <c r="N3" t="e">
        <f>#REF!*1000</f>
        <v>#REF!</v>
      </c>
      <c r="O3" t="e">
        <f>#REF!*1000</f>
        <v>#REF!</v>
      </c>
      <c r="P3" t="e">
        <f>#REF!*1000</f>
        <v>#REF!</v>
      </c>
      <c r="Q3" t="e">
        <f>#REF!*1000</f>
        <v>#REF!</v>
      </c>
    </row>
    <row r="4" spans="1:17">
      <c r="A4" t="e">
        <f>SUBSTITUTE(#REF!," ","")</f>
        <v>#REF!</v>
      </c>
      <c r="B4" t="e">
        <f>#REF!*1000</f>
        <v>#REF!</v>
      </c>
      <c r="C4" t="e">
        <f>#REF!*1000</f>
        <v>#REF!</v>
      </c>
      <c r="D4" t="e">
        <f>#REF!*1000</f>
        <v>#REF!</v>
      </c>
      <c r="E4" t="e">
        <f>#REF!*1000</f>
        <v>#REF!</v>
      </c>
      <c r="F4" t="e">
        <f>#REF!*1000</f>
        <v>#REF!</v>
      </c>
      <c r="G4" t="e">
        <f>#REF!*1000</f>
        <v>#REF!</v>
      </c>
      <c r="H4" t="e">
        <f>#REF!*1000</f>
        <v>#REF!</v>
      </c>
      <c r="I4" t="e">
        <f>#REF!*1000</f>
        <v>#REF!</v>
      </c>
      <c r="J4" t="e">
        <f>#REF!*1000</f>
        <v>#REF!</v>
      </c>
      <c r="K4" t="e">
        <f>#REF!*1000</f>
        <v>#REF!</v>
      </c>
      <c r="L4" t="e">
        <f>#REF!*1000</f>
        <v>#REF!</v>
      </c>
      <c r="M4" t="e">
        <f>#REF!*1000</f>
        <v>#REF!</v>
      </c>
      <c r="N4" t="e">
        <f>#REF!*1000</f>
        <v>#REF!</v>
      </c>
      <c r="O4" t="e">
        <f>#REF!*1000</f>
        <v>#REF!</v>
      </c>
      <c r="P4" t="e">
        <f>#REF!*1000</f>
        <v>#REF!</v>
      </c>
      <c r="Q4" t="e">
        <f>#REF!*1000</f>
        <v>#REF!</v>
      </c>
    </row>
    <row r="5" spans="1:17">
      <c r="A5" t="e">
        <f>SUBSTITUTE(#REF!," ","")</f>
        <v>#REF!</v>
      </c>
      <c r="B5" t="e">
        <f>#REF!*1000</f>
        <v>#REF!</v>
      </c>
      <c r="C5" t="e">
        <f>#REF!*1000</f>
        <v>#REF!</v>
      </c>
      <c r="D5" t="e">
        <f>#REF!*1000</f>
        <v>#REF!</v>
      </c>
      <c r="E5" t="e">
        <f>#REF!*1000</f>
        <v>#REF!</v>
      </c>
      <c r="F5" t="e">
        <f>#REF!*1000</f>
        <v>#REF!</v>
      </c>
      <c r="G5" t="e">
        <f>#REF!*1000</f>
        <v>#REF!</v>
      </c>
      <c r="H5" t="e">
        <f>#REF!*1000</f>
        <v>#REF!</v>
      </c>
      <c r="I5" t="e">
        <f>#REF!*1000</f>
        <v>#REF!</v>
      </c>
      <c r="J5" t="e">
        <f>#REF!*1000</f>
        <v>#REF!</v>
      </c>
      <c r="K5" t="e">
        <f>#REF!*1000</f>
        <v>#REF!</v>
      </c>
      <c r="L5" t="e">
        <f>#REF!*1000</f>
        <v>#REF!</v>
      </c>
      <c r="M5" t="e">
        <f>#REF!*1000</f>
        <v>#REF!</v>
      </c>
      <c r="N5" t="e">
        <f>#REF!*1000</f>
        <v>#REF!</v>
      </c>
      <c r="O5" t="e">
        <f>#REF!*1000</f>
        <v>#REF!</v>
      </c>
      <c r="P5" t="e">
        <f>#REF!*1000</f>
        <v>#REF!</v>
      </c>
      <c r="Q5" t="e">
        <f>#REF!*1000</f>
        <v>#REF!</v>
      </c>
    </row>
    <row r="6" spans="1:17">
      <c r="A6" t="e">
        <f>SUBSTITUTE(#REF!," ","")</f>
        <v>#REF!</v>
      </c>
      <c r="B6" t="e">
        <f>#REF!*1000</f>
        <v>#REF!</v>
      </c>
      <c r="C6" t="e">
        <f>#REF!*1000</f>
        <v>#REF!</v>
      </c>
      <c r="D6" t="e">
        <f>#REF!*1000</f>
        <v>#REF!</v>
      </c>
      <c r="E6" t="e">
        <f>#REF!*1000</f>
        <v>#REF!</v>
      </c>
      <c r="F6" t="e">
        <f>#REF!*1000</f>
        <v>#REF!</v>
      </c>
      <c r="G6" t="e">
        <f>#REF!*1000</f>
        <v>#REF!</v>
      </c>
      <c r="H6" t="e">
        <f>#REF!*1000</f>
        <v>#REF!</v>
      </c>
      <c r="I6" t="e">
        <f>#REF!*1000</f>
        <v>#REF!</v>
      </c>
      <c r="J6" t="e">
        <f>#REF!*1000</f>
        <v>#REF!</v>
      </c>
      <c r="K6" t="e">
        <f>#REF!*1000</f>
        <v>#REF!</v>
      </c>
      <c r="L6" t="e">
        <f>#REF!*1000</f>
        <v>#REF!</v>
      </c>
      <c r="M6" t="e">
        <f>#REF!*1000</f>
        <v>#REF!</v>
      </c>
      <c r="N6" t="e">
        <f>#REF!*1000</f>
        <v>#REF!</v>
      </c>
      <c r="O6" t="e">
        <f>#REF!*1000</f>
        <v>#REF!</v>
      </c>
      <c r="P6" t="e">
        <f>#REF!*1000</f>
        <v>#REF!</v>
      </c>
      <c r="Q6" t="e">
        <f>#REF!*1000</f>
        <v>#REF!</v>
      </c>
    </row>
    <row r="7" spans="1:17">
      <c r="A7" t="e">
        <f>SUBSTITUTE(#REF!," ","")</f>
        <v>#REF!</v>
      </c>
      <c r="B7" t="e">
        <f>#REF!*1000</f>
        <v>#REF!</v>
      </c>
      <c r="C7" t="e">
        <f>#REF!*1000</f>
        <v>#REF!</v>
      </c>
      <c r="D7" t="e">
        <f>#REF!*1000</f>
        <v>#REF!</v>
      </c>
      <c r="E7" t="e">
        <f>#REF!*1000</f>
        <v>#REF!</v>
      </c>
      <c r="F7" t="e">
        <f>#REF!*1000</f>
        <v>#REF!</v>
      </c>
      <c r="G7" t="e">
        <f>#REF!*1000</f>
        <v>#REF!</v>
      </c>
      <c r="H7" t="e">
        <f>#REF!*1000</f>
        <v>#REF!</v>
      </c>
      <c r="I7" t="e">
        <f>#REF!*1000</f>
        <v>#REF!</v>
      </c>
      <c r="J7" t="e">
        <f>#REF!*1000</f>
        <v>#REF!</v>
      </c>
      <c r="K7" t="e">
        <f>#REF!*1000</f>
        <v>#REF!</v>
      </c>
      <c r="L7" t="e">
        <f>#REF!*1000</f>
        <v>#REF!</v>
      </c>
      <c r="M7" t="e">
        <f>#REF!*1000</f>
        <v>#REF!</v>
      </c>
      <c r="N7" t="e">
        <f>#REF!*1000</f>
        <v>#REF!</v>
      </c>
      <c r="O7" t="e">
        <f>#REF!*1000</f>
        <v>#REF!</v>
      </c>
      <c r="P7" t="e">
        <f>#REF!*1000</f>
        <v>#REF!</v>
      </c>
      <c r="Q7" t="e">
        <f>#REF!*1000</f>
        <v>#REF!</v>
      </c>
    </row>
    <row r="8" spans="1:17">
      <c r="A8" t="e">
        <f>SUBSTITUTE(#REF!," ","")</f>
        <v>#REF!</v>
      </c>
      <c r="B8" t="e">
        <f>#REF!*1000</f>
        <v>#REF!</v>
      </c>
      <c r="C8" t="e">
        <f>#REF!*1000</f>
        <v>#REF!</v>
      </c>
      <c r="D8" t="e">
        <f>#REF!*1000</f>
        <v>#REF!</v>
      </c>
      <c r="E8" t="e">
        <f>#REF!*1000</f>
        <v>#REF!</v>
      </c>
      <c r="F8" t="e">
        <f>#REF!*1000</f>
        <v>#REF!</v>
      </c>
      <c r="G8" t="e">
        <f>#REF!*1000</f>
        <v>#REF!</v>
      </c>
      <c r="H8" t="e">
        <f>#REF!*1000</f>
        <v>#REF!</v>
      </c>
      <c r="I8" t="e">
        <f>#REF!*1000</f>
        <v>#REF!</v>
      </c>
      <c r="J8" t="e">
        <f>#REF!*1000</f>
        <v>#REF!</v>
      </c>
      <c r="K8" t="e">
        <f>#REF!*1000</f>
        <v>#REF!</v>
      </c>
      <c r="L8" t="e">
        <f>#REF!*1000</f>
        <v>#REF!</v>
      </c>
      <c r="M8" t="e">
        <f>#REF!*1000</f>
        <v>#REF!</v>
      </c>
      <c r="N8" t="e">
        <f>#REF!*1000</f>
        <v>#REF!</v>
      </c>
      <c r="O8" t="e">
        <f>#REF!*1000</f>
        <v>#REF!</v>
      </c>
      <c r="P8" t="e">
        <f>#REF!*1000</f>
        <v>#REF!</v>
      </c>
      <c r="Q8" t="e">
        <f>#REF!*1000</f>
        <v>#REF!</v>
      </c>
    </row>
    <row r="9" spans="1:17">
      <c r="A9" t="e">
        <f>SUBSTITUTE(#REF!," ","")</f>
        <v>#REF!</v>
      </c>
      <c r="B9" t="e">
        <f>#REF!*1000</f>
        <v>#REF!</v>
      </c>
      <c r="C9" t="e">
        <f>#REF!*1000</f>
        <v>#REF!</v>
      </c>
      <c r="D9" t="e">
        <f>#REF!*1000</f>
        <v>#REF!</v>
      </c>
      <c r="E9" t="e">
        <f>#REF!*1000</f>
        <v>#REF!</v>
      </c>
      <c r="F9" t="e">
        <f>#REF!*1000</f>
        <v>#REF!</v>
      </c>
      <c r="G9" t="e">
        <f>#REF!*1000</f>
        <v>#REF!</v>
      </c>
      <c r="H9" t="e">
        <f>#REF!*1000</f>
        <v>#REF!</v>
      </c>
      <c r="I9" t="e">
        <f>#REF!*1000</f>
        <v>#REF!</v>
      </c>
      <c r="J9" t="e">
        <f>#REF!*1000</f>
        <v>#REF!</v>
      </c>
      <c r="K9" t="e">
        <f>#REF!*1000</f>
        <v>#REF!</v>
      </c>
      <c r="L9" t="e">
        <f>#REF!*1000</f>
        <v>#REF!</v>
      </c>
      <c r="M9" t="e">
        <f>#REF!*1000</f>
        <v>#REF!</v>
      </c>
      <c r="N9" t="e">
        <f>#REF!*1000</f>
        <v>#REF!</v>
      </c>
      <c r="O9" t="e">
        <f>#REF!*1000</f>
        <v>#REF!</v>
      </c>
      <c r="P9" t="e">
        <f>#REF!*1000</f>
        <v>#REF!</v>
      </c>
      <c r="Q9" t="e">
        <f>#REF!*1000</f>
        <v>#REF!</v>
      </c>
    </row>
    <row r="10" spans="1:17">
      <c r="A10" t="e">
        <f>SUBSTITUTE(#REF!," ","")</f>
        <v>#REF!</v>
      </c>
      <c r="B10" t="e">
        <f>#REF!*1000</f>
        <v>#REF!</v>
      </c>
      <c r="C10" t="e">
        <f>#REF!*1000</f>
        <v>#REF!</v>
      </c>
      <c r="D10" t="e">
        <f>#REF!*1000</f>
        <v>#REF!</v>
      </c>
      <c r="E10" t="e">
        <f>#REF!*1000</f>
        <v>#REF!</v>
      </c>
      <c r="F10" t="e">
        <f>#REF!*1000</f>
        <v>#REF!</v>
      </c>
      <c r="G10" t="e">
        <f>#REF!*1000</f>
        <v>#REF!</v>
      </c>
      <c r="H10" t="e">
        <f>#REF!*1000</f>
        <v>#REF!</v>
      </c>
      <c r="I10" t="e">
        <f>#REF!*1000</f>
        <v>#REF!</v>
      </c>
      <c r="J10" t="e">
        <f>#REF!*1000</f>
        <v>#REF!</v>
      </c>
      <c r="K10" t="e">
        <f>#REF!*1000</f>
        <v>#REF!</v>
      </c>
      <c r="L10" t="e">
        <f>#REF!*1000</f>
        <v>#REF!</v>
      </c>
      <c r="M10" t="e">
        <f>#REF!*1000</f>
        <v>#REF!</v>
      </c>
      <c r="N10" t="e">
        <f>#REF!*1000</f>
        <v>#REF!</v>
      </c>
      <c r="O10" t="e">
        <f>#REF!*1000</f>
        <v>#REF!</v>
      </c>
      <c r="P10" t="e">
        <f>#REF!*1000</f>
        <v>#REF!</v>
      </c>
      <c r="Q10" t="e">
        <f>#REF!*1000</f>
        <v>#REF!</v>
      </c>
    </row>
    <row r="11" spans="1:17">
      <c r="A11" t="e">
        <f>SUBSTITUTE(#REF!," ","")</f>
        <v>#REF!</v>
      </c>
      <c r="B11" t="e">
        <f>#REF!*1000</f>
        <v>#REF!</v>
      </c>
      <c r="C11" t="e">
        <f>#REF!*1000</f>
        <v>#REF!</v>
      </c>
      <c r="D11" t="e">
        <f>#REF!*1000</f>
        <v>#REF!</v>
      </c>
      <c r="E11" t="e">
        <f>#REF!*1000</f>
        <v>#REF!</v>
      </c>
      <c r="F11" t="e">
        <f>#REF!*1000</f>
        <v>#REF!</v>
      </c>
      <c r="G11" t="e">
        <f>#REF!*1000</f>
        <v>#REF!</v>
      </c>
      <c r="H11" t="e">
        <f>#REF!*1000</f>
        <v>#REF!</v>
      </c>
      <c r="I11" t="e">
        <f>#REF!*1000</f>
        <v>#REF!</v>
      </c>
      <c r="J11" t="e">
        <f>#REF!*1000</f>
        <v>#REF!</v>
      </c>
      <c r="K11" t="e">
        <f>#REF!*1000</f>
        <v>#REF!</v>
      </c>
      <c r="L11" t="e">
        <f>#REF!*1000</f>
        <v>#REF!</v>
      </c>
      <c r="M11" t="e">
        <f>#REF!*1000</f>
        <v>#REF!</v>
      </c>
      <c r="N11" t="e">
        <f>#REF!*1000</f>
        <v>#REF!</v>
      </c>
      <c r="O11" t="e">
        <f>#REF!*1000</f>
        <v>#REF!</v>
      </c>
      <c r="P11" t="e">
        <f>#REF!*1000</f>
        <v>#REF!</v>
      </c>
      <c r="Q11" t="e">
        <f>#REF!*1000</f>
        <v>#REF!</v>
      </c>
    </row>
    <row r="12" spans="1:17">
      <c r="A12" t="e">
        <f>SUBSTITUTE(#REF!," ","")</f>
        <v>#REF!</v>
      </c>
      <c r="B12" t="e">
        <f>#REF!*1000</f>
        <v>#REF!</v>
      </c>
      <c r="C12" t="e">
        <f>#REF!*1000</f>
        <v>#REF!</v>
      </c>
      <c r="D12" t="e">
        <f>#REF!*1000</f>
        <v>#REF!</v>
      </c>
      <c r="E12" t="e">
        <f>#REF!*1000</f>
        <v>#REF!</v>
      </c>
      <c r="F12" t="e">
        <f>#REF!*1000</f>
        <v>#REF!</v>
      </c>
      <c r="G12" t="e">
        <f>#REF!*1000</f>
        <v>#REF!</v>
      </c>
      <c r="H12" t="e">
        <f>#REF!*1000</f>
        <v>#REF!</v>
      </c>
      <c r="I12" t="e">
        <f>#REF!*1000</f>
        <v>#REF!</v>
      </c>
      <c r="J12" t="e">
        <f>#REF!*1000</f>
        <v>#REF!</v>
      </c>
      <c r="K12" t="e">
        <f>#REF!*1000</f>
        <v>#REF!</v>
      </c>
      <c r="L12" t="e">
        <f>#REF!*1000</f>
        <v>#REF!</v>
      </c>
      <c r="M12" t="e">
        <f>#REF!*1000</f>
        <v>#REF!</v>
      </c>
      <c r="N12" t="e">
        <f>#REF!*1000</f>
        <v>#REF!</v>
      </c>
      <c r="O12" t="e">
        <f>#REF!*1000</f>
        <v>#REF!</v>
      </c>
      <c r="P12" t="e">
        <f>#REF!*1000</f>
        <v>#REF!</v>
      </c>
      <c r="Q12" t="e">
        <f>#REF!*1000</f>
        <v>#REF!</v>
      </c>
    </row>
    <row r="13" spans="1:17">
      <c r="A13" t="e">
        <f>SUBSTITUTE(#REF!," ","")</f>
        <v>#REF!</v>
      </c>
      <c r="B13" t="e">
        <f>#REF!*1000</f>
        <v>#REF!</v>
      </c>
      <c r="C13" t="e">
        <f>#REF!*1000</f>
        <v>#REF!</v>
      </c>
      <c r="D13" t="e">
        <f>#REF!*1000</f>
        <v>#REF!</v>
      </c>
      <c r="E13" t="e">
        <f>#REF!*1000</f>
        <v>#REF!</v>
      </c>
      <c r="F13" t="e">
        <f>#REF!*1000</f>
        <v>#REF!</v>
      </c>
      <c r="G13" t="e">
        <f>#REF!*1000</f>
        <v>#REF!</v>
      </c>
      <c r="H13" t="e">
        <f>#REF!*1000</f>
        <v>#REF!</v>
      </c>
      <c r="I13" t="e">
        <f>#REF!*1000</f>
        <v>#REF!</v>
      </c>
      <c r="J13" t="e">
        <f>#REF!*1000</f>
        <v>#REF!</v>
      </c>
      <c r="K13" t="e">
        <f>#REF!*1000</f>
        <v>#REF!</v>
      </c>
      <c r="L13" t="e">
        <f>#REF!*1000</f>
        <v>#REF!</v>
      </c>
      <c r="M13" t="e">
        <f>#REF!*1000</f>
        <v>#REF!</v>
      </c>
      <c r="N13" t="e">
        <f>#REF!*1000</f>
        <v>#REF!</v>
      </c>
      <c r="O13" t="e">
        <f>#REF!*1000</f>
        <v>#REF!</v>
      </c>
      <c r="P13" t="e">
        <f>#REF!*1000</f>
        <v>#REF!</v>
      </c>
      <c r="Q13" t="e">
        <f>#REF!*1000</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D91C-4AD5-4131-BB0C-40628805B2F6}">
  <sheetPr>
    <pageSetUpPr autoPageBreaks="0"/>
  </sheetPr>
  <dimension ref="A1:C2"/>
  <sheetViews>
    <sheetView workbookViewId="0">
      <selection activeCell="A24" sqref="A24:XFD24"/>
    </sheetView>
  </sheetViews>
  <sheetFormatPr defaultRowHeight="13.2"/>
  <sheetData>
    <row r="1" spans="1:3">
      <c r="A1" t="e">
        <f>#REF!</f>
        <v>#REF!</v>
      </c>
      <c r="B1" t="e">
        <f>#REF!</f>
        <v>#REF!</v>
      </c>
      <c r="C1" t="e">
        <f>#REF!</f>
        <v>#REF!</v>
      </c>
    </row>
    <row r="2" spans="1:3">
      <c r="A2" t="e">
        <f>#REF!</f>
        <v>#REF!</v>
      </c>
      <c r="B2" t="e">
        <f>#REF!</f>
        <v>#REF!</v>
      </c>
      <c r="C2" t="e">
        <f>#REF!</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07AE-C0E7-4920-8BC0-AA1970CE8986}">
  <sheetPr>
    <pageSetUpPr autoPageBreaks="0"/>
  </sheetPr>
  <dimension ref="A1:C2"/>
  <sheetViews>
    <sheetView workbookViewId="0">
      <selection activeCell="A24" sqref="A24:XFD24"/>
    </sheetView>
  </sheetViews>
  <sheetFormatPr defaultRowHeight="13.2"/>
  <sheetData>
    <row r="1" spans="1:3">
      <c r="A1" t="e">
        <f>#REF!</f>
        <v>#REF!</v>
      </c>
      <c r="B1" t="e">
        <f>#REF!</f>
        <v>#REF!</v>
      </c>
      <c r="C1" t="e">
        <f>#REF!</f>
        <v>#REF!</v>
      </c>
    </row>
    <row r="2" spans="1:3">
      <c r="A2" t="e">
        <f>#REF!</f>
        <v>#REF!</v>
      </c>
      <c r="B2" t="e">
        <f>#REF!</f>
        <v>#REF!</v>
      </c>
      <c r="C2" t="e">
        <f>#REF!</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3BB6-2920-4A7C-A4E9-A9A94DE7DE5D}">
  <sheetPr>
    <pageSetUpPr autoPageBreaks="0"/>
  </sheetPr>
  <dimension ref="A1:Q26"/>
  <sheetViews>
    <sheetView workbookViewId="0">
      <selection activeCell="A24" sqref="A24:XFD24"/>
    </sheetView>
  </sheetViews>
  <sheetFormatPr defaultRowHeight="13.2"/>
  <cols>
    <col min="1" max="1" width="24.6640625" customWidth="1"/>
  </cols>
  <sheetData>
    <row r="1" spans="1:17">
      <c r="A1" t="e">
        <f>#REF!</f>
        <v>#REF!</v>
      </c>
      <c r="B1" t="e">
        <f>#REF!</f>
        <v>#REF!</v>
      </c>
      <c r="C1" t="e">
        <f>#REF!</f>
        <v>#REF!</v>
      </c>
      <c r="D1" t="e">
        <f>#REF!</f>
        <v>#REF!</v>
      </c>
      <c r="E1" t="e">
        <f>#REF!</f>
        <v>#REF!</v>
      </c>
      <c r="F1" t="e">
        <f>#REF!</f>
        <v>#REF!</v>
      </c>
      <c r="G1" t="e">
        <f>#REF!</f>
        <v>#REF!</v>
      </c>
      <c r="H1" t="e">
        <f>#REF!</f>
        <v>#REF!</v>
      </c>
      <c r="I1" t="e">
        <f>#REF!</f>
        <v>#REF!</v>
      </c>
      <c r="J1" t="e">
        <f>#REF!</f>
        <v>#REF!</v>
      </c>
      <c r="K1" t="e">
        <f>#REF!</f>
        <v>#REF!</v>
      </c>
      <c r="L1" t="e">
        <f>#REF!</f>
        <v>#REF!</v>
      </c>
      <c r="M1" t="e">
        <f>#REF!</f>
        <v>#REF!</v>
      </c>
      <c r="N1" t="e">
        <f>#REF!</f>
        <v>#REF!</v>
      </c>
      <c r="O1" t="e">
        <f>#REF!</f>
        <v>#REF!</v>
      </c>
      <c r="P1" t="e">
        <f>#REF!</f>
        <v>#REF!</v>
      </c>
      <c r="Q1" t="e">
        <f>#REF!</f>
        <v>#REF!</v>
      </c>
    </row>
    <row r="2" spans="1:17">
      <c r="A2" t="e">
        <f>SUBSTITUTE(#REF!," ","")</f>
        <v>#REF!</v>
      </c>
      <c r="B2" t="e">
        <f>#REF!</f>
        <v>#REF!</v>
      </c>
      <c r="C2" t="e">
        <f>#REF!</f>
        <v>#REF!</v>
      </c>
      <c r="D2" t="e">
        <f>#REF!</f>
        <v>#REF!</v>
      </c>
      <c r="E2" t="e">
        <f>#REF!</f>
        <v>#REF!</v>
      </c>
      <c r="F2" t="e">
        <f>#REF!</f>
        <v>#REF!</v>
      </c>
      <c r="G2" t="e">
        <f>#REF!</f>
        <v>#REF!</v>
      </c>
      <c r="H2" t="e">
        <f>#REF!</f>
        <v>#REF!</v>
      </c>
      <c r="I2" t="e">
        <f>#REF!</f>
        <v>#REF!</v>
      </c>
      <c r="J2" t="e">
        <f>#REF!</f>
        <v>#REF!</v>
      </c>
      <c r="K2" t="e">
        <f>#REF!</f>
        <v>#REF!</v>
      </c>
      <c r="L2" t="e">
        <f>#REF!</f>
        <v>#REF!</v>
      </c>
      <c r="M2" t="e">
        <f>#REF!</f>
        <v>#REF!</v>
      </c>
      <c r="N2" t="e">
        <f>#REF!</f>
        <v>#REF!</v>
      </c>
      <c r="O2" t="e">
        <f>#REF!</f>
        <v>#REF!</v>
      </c>
      <c r="P2" t="e">
        <f>#REF!</f>
        <v>#REF!</v>
      </c>
      <c r="Q2" t="e">
        <f>#REF!</f>
        <v>#REF!</v>
      </c>
    </row>
    <row r="3" spans="1:17">
      <c r="A3" t="e">
        <f>SUBSTITUTE(#REF!," ","")</f>
        <v>#REF!</v>
      </c>
      <c r="B3" t="e">
        <f>#REF!</f>
        <v>#REF!</v>
      </c>
      <c r="C3" t="e">
        <f>#REF!</f>
        <v>#REF!</v>
      </c>
      <c r="D3" t="e">
        <f>#REF!</f>
        <v>#REF!</v>
      </c>
      <c r="E3" t="e">
        <f>#REF!</f>
        <v>#REF!</v>
      </c>
      <c r="F3" t="e">
        <f>#REF!</f>
        <v>#REF!</v>
      </c>
      <c r="G3" t="e">
        <f>#REF!</f>
        <v>#REF!</v>
      </c>
      <c r="H3" t="e">
        <f>#REF!</f>
        <v>#REF!</v>
      </c>
      <c r="I3" t="e">
        <f>#REF!</f>
        <v>#REF!</v>
      </c>
      <c r="J3" t="e">
        <f>#REF!</f>
        <v>#REF!</v>
      </c>
      <c r="K3" t="e">
        <f>#REF!</f>
        <v>#REF!</v>
      </c>
      <c r="L3" t="e">
        <f>#REF!</f>
        <v>#REF!</v>
      </c>
      <c r="M3" t="e">
        <f>#REF!</f>
        <v>#REF!</v>
      </c>
      <c r="N3" t="e">
        <f>#REF!</f>
        <v>#REF!</v>
      </c>
      <c r="O3" t="e">
        <f>#REF!</f>
        <v>#REF!</v>
      </c>
      <c r="P3" t="e">
        <f>#REF!</f>
        <v>#REF!</v>
      </c>
      <c r="Q3" t="e">
        <f>#REF!</f>
        <v>#REF!</v>
      </c>
    </row>
    <row r="4" spans="1:17">
      <c r="A4" t="e">
        <f>SUBSTITUTE(#REF!," ","")</f>
        <v>#REF!</v>
      </c>
      <c r="B4" t="e">
        <f>#REF!</f>
        <v>#REF!</v>
      </c>
      <c r="C4" t="e">
        <f>#REF!</f>
        <v>#REF!</v>
      </c>
      <c r="D4" t="e">
        <f>#REF!</f>
        <v>#REF!</v>
      </c>
      <c r="E4" t="e">
        <f>#REF!</f>
        <v>#REF!</v>
      </c>
      <c r="F4" t="e">
        <f>#REF!</f>
        <v>#REF!</v>
      </c>
      <c r="G4" t="e">
        <f>#REF!</f>
        <v>#REF!</v>
      </c>
      <c r="H4" t="e">
        <f>#REF!</f>
        <v>#REF!</v>
      </c>
      <c r="I4" t="e">
        <f>#REF!</f>
        <v>#REF!</v>
      </c>
      <c r="J4" t="e">
        <f>#REF!</f>
        <v>#REF!</v>
      </c>
      <c r="K4" t="e">
        <f>#REF!</f>
        <v>#REF!</v>
      </c>
      <c r="L4" t="e">
        <f>#REF!</f>
        <v>#REF!</v>
      </c>
      <c r="M4" t="e">
        <f>#REF!</f>
        <v>#REF!</v>
      </c>
      <c r="N4" t="e">
        <f>#REF!</f>
        <v>#REF!</v>
      </c>
      <c r="O4" t="e">
        <f>#REF!</f>
        <v>#REF!</v>
      </c>
      <c r="P4" t="e">
        <f>#REF!</f>
        <v>#REF!</v>
      </c>
      <c r="Q4" t="e">
        <f>#REF!</f>
        <v>#REF!</v>
      </c>
    </row>
    <row r="5" spans="1:17">
      <c r="A5" t="e">
        <f>SUBSTITUTE(#REF!," ","")</f>
        <v>#REF!</v>
      </c>
      <c r="B5" t="e">
        <f>#REF!</f>
        <v>#REF!</v>
      </c>
      <c r="C5" t="e">
        <f>#REF!</f>
        <v>#REF!</v>
      </c>
      <c r="D5" t="e">
        <f>#REF!</f>
        <v>#REF!</v>
      </c>
      <c r="E5" t="e">
        <f>#REF!</f>
        <v>#REF!</v>
      </c>
      <c r="F5" t="e">
        <f>#REF!</f>
        <v>#REF!</v>
      </c>
      <c r="G5" t="e">
        <f>#REF!</f>
        <v>#REF!</v>
      </c>
      <c r="H5" t="e">
        <f>#REF!</f>
        <v>#REF!</v>
      </c>
      <c r="I5" t="e">
        <f>#REF!</f>
        <v>#REF!</v>
      </c>
      <c r="J5" t="e">
        <f>#REF!</f>
        <v>#REF!</v>
      </c>
      <c r="K5" t="e">
        <f>#REF!</f>
        <v>#REF!</v>
      </c>
      <c r="L5" t="e">
        <f>#REF!</f>
        <v>#REF!</v>
      </c>
      <c r="M5" t="e">
        <f>#REF!</f>
        <v>#REF!</v>
      </c>
      <c r="N5" t="e">
        <f>#REF!</f>
        <v>#REF!</v>
      </c>
      <c r="O5" t="e">
        <f>#REF!</f>
        <v>#REF!</v>
      </c>
      <c r="P5" t="e">
        <f>#REF!</f>
        <v>#REF!</v>
      </c>
      <c r="Q5" t="e">
        <f>#REF!</f>
        <v>#REF!</v>
      </c>
    </row>
    <row r="6" spans="1:17">
      <c r="A6" t="e">
        <f>SUBSTITUTE(#REF!," ","")</f>
        <v>#REF!</v>
      </c>
      <c r="B6" t="e">
        <f>#REF!</f>
        <v>#REF!</v>
      </c>
      <c r="C6" t="e">
        <f>#REF!</f>
        <v>#REF!</v>
      </c>
      <c r="D6" t="e">
        <f>#REF!</f>
        <v>#REF!</v>
      </c>
      <c r="E6" t="e">
        <f>#REF!</f>
        <v>#REF!</v>
      </c>
      <c r="F6" t="e">
        <f>#REF!</f>
        <v>#REF!</v>
      </c>
      <c r="G6" t="e">
        <f>#REF!</f>
        <v>#REF!</v>
      </c>
      <c r="H6" t="e">
        <f>#REF!</f>
        <v>#REF!</v>
      </c>
      <c r="I6" t="e">
        <f>#REF!</f>
        <v>#REF!</v>
      </c>
      <c r="J6" t="e">
        <f>#REF!</f>
        <v>#REF!</v>
      </c>
      <c r="K6" t="e">
        <f>#REF!</f>
        <v>#REF!</v>
      </c>
      <c r="L6" t="e">
        <f>#REF!</f>
        <v>#REF!</v>
      </c>
      <c r="M6" t="e">
        <f>#REF!</f>
        <v>#REF!</v>
      </c>
      <c r="N6" t="e">
        <f>#REF!</f>
        <v>#REF!</v>
      </c>
      <c r="O6" t="e">
        <f>#REF!</f>
        <v>#REF!</v>
      </c>
      <c r="P6" t="e">
        <f>#REF!</f>
        <v>#REF!</v>
      </c>
      <c r="Q6" t="e">
        <f>#REF!</f>
        <v>#REF!</v>
      </c>
    </row>
    <row r="7" spans="1:17">
      <c r="A7" t="e">
        <f>SUBSTITUTE(#REF!," ","")</f>
        <v>#REF!</v>
      </c>
      <c r="B7" t="e">
        <f>#REF!</f>
        <v>#REF!</v>
      </c>
      <c r="C7" t="e">
        <f>#REF!</f>
        <v>#REF!</v>
      </c>
      <c r="D7" t="e">
        <f>#REF!</f>
        <v>#REF!</v>
      </c>
      <c r="E7" t="e">
        <f>#REF!</f>
        <v>#REF!</v>
      </c>
      <c r="F7" t="e">
        <f>#REF!</f>
        <v>#REF!</v>
      </c>
      <c r="G7" t="e">
        <f>#REF!</f>
        <v>#REF!</v>
      </c>
      <c r="H7" t="e">
        <f>#REF!</f>
        <v>#REF!</v>
      </c>
      <c r="I7" t="e">
        <f>#REF!</f>
        <v>#REF!</v>
      </c>
      <c r="J7" t="e">
        <f>#REF!</f>
        <v>#REF!</v>
      </c>
      <c r="K7" t="e">
        <f>#REF!</f>
        <v>#REF!</v>
      </c>
      <c r="L7" t="e">
        <f>#REF!</f>
        <v>#REF!</v>
      </c>
      <c r="M7" t="e">
        <f>#REF!</f>
        <v>#REF!</v>
      </c>
      <c r="N7" t="e">
        <f>#REF!</f>
        <v>#REF!</v>
      </c>
      <c r="O7" t="e">
        <f>#REF!</f>
        <v>#REF!</v>
      </c>
      <c r="P7" t="e">
        <f>#REF!</f>
        <v>#REF!</v>
      </c>
      <c r="Q7" t="e">
        <f>#REF!</f>
        <v>#REF!</v>
      </c>
    </row>
    <row r="8" spans="1:17">
      <c r="A8" t="e">
        <f>SUBSTITUTE(#REF!," ","")</f>
        <v>#REF!</v>
      </c>
      <c r="B8" t="e">
        <f>#REF!</f>
        <v>#REF!</v>
      </c>
      <c r="C8" t="e">
        <f>#REF!</f>
        <v>#REF!</v>
      </c>
      <c r="D8" t="e">
        <f>#REF!</f>
        <v>#REF!</v>
      </c>
      <c r="E8" t="e">
        <f>#REF!</f>
        <v>#REF!</v>
      </c>
      <c r="F8" t="e">
        <f>#REF!</f>
        <v>#REF!</v>
      </c>
      <c r="G8" t="e">
        <f>#REF!</f>
        <v>#REF!</v>
      </c>
      <c r="H8" t="e">
        <f>#REF!</f>
        <v>#REF!</v>
      </c>
      <c r="I8" t="e">
        <f>#REF!</f>
        <v>#REF!</v>
      </c>
      <c r="J8" t="e">
        <f>#REF!</f>
        <v>#REF!</v>
      </c>
      <c r="K8" t="e">
        <f>#REF!</f>
        <v>#REF!</v>
      </c>
      <c r="L8" t="e">
        <f>#REF!</f>
        <v>#REF!</v>
      </c>
      <c r="M8" t="e">
        <f>#REF!</f>
        <v>#REF!</v>
      </c>
      <c r="N8" t="e">
        <f>#REF!</f>
        <v>#REF!</v>
      </c>
      <c r="O8" t="e">
        <f>#REF!</f>
        <v>#REF!</v>
      </c>
      <c r="P8" t="e">
        <f>#REF!</f>
        <v>#REF!</v>
      </c>
      <c r="Q8" t="e">
        <f>#REF!</f>
        <v>#REF!</v>
      </c>
    </row>
    <row r="9" spans="1:17">
      <c r="A9" t="e">
        <f>SUBSTITUTE(#REF!," ","")</f>
        <v>#REF!</v>
      </c>
      <c r="B9" t="e">
        <f>#REF!</f>
        <v>#REF!</v>
      </c>
      <c r="C9" t="e">
        <f>#REF!</f>
        <v>#REF!</v>
      </c>
      <c r="D9" t="e">
        <f>#REF!</f>
        <v>#REF!</v>
      </c>
      <c r="E9" t="e">
        <f>#REF!</f>
        <v>#REF!</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row>
    <row r="10" spans="1:17">
      <c r="A10" t="e">
        <f>SUBSTITUTE(#REF!," ","")</f>
        <v>#REF!</v>
      </c>
      <c r="B10" t="e">
        <f>#REF!</f>
        <v>#REF!</v>
      </c>
      <c r="C10" t="e">
        <f>#REF!</f>
        <v>#REF!</v>
      </c>
      <c r="D10" t="e">
        <f>#REF!</f>
        <v>#REF!</v>
      </c>
      <c r="E10" t="e">
        <f>#REF!</f>
        <v>#REF!</v>
      </c>
      <c r="F10" t="e">
        <f>#REF!</f>
        <v>#REF!</v>
      </c>
      <c r="G10" t="e">
        <f>#REF!</f>
        <v>#REF!</v>
      </c>
      <c r="H10" t="e">
        <f>#REF!</f>
        <v>#REF!</v>
      </c>
      <c r="I10" t="e">
        <f>#REF!</f>
        <v>#REF!</v>
      </c>
      <c r="J10" t="e">
        <f>#REF!</f>
        <v>#REF!</v>
      </c>
      <c r="K10" t="e">
        <f>#REF!</f>
        <v>#REF!</v>
      </c>
      <c r="L10" t="e">
        <f>#REF!</f>
        <v>#REF!</v>
      </c>
      <c r="M10" t="e">
        <f>#REF!</f>
        <v>#REF!</v>
      </c>
      <c r="N10" t="e">
        <f>#REF!</f>
        <v>#REF!</v>
      </c>
      <c r="O10" t="e">
        <f>#REF!</f>
        <v>#REF!</v>
      </c>
      <c r="P10" t="e">
        <f>#REF!</f>
        <v>#REF!</v>
      </c>
      <c r="Q10" t="e">
        <f>#REF!</f>
        <v>#REF!</v>
      </c>
    </row>
    <row r="11" spans="1:17">
      <c r="A11" t="e">
        <f>SUBSTITUTE(#REF!," ","")</f>
        <v>#REF!</v>
      </c>
      <c r="B11" t="e">
        <f>#REF!</f>
        <v>#REF!</v>
      </c>
      <c r="C11" t="e">
        <f>#REF!</f>
        <v>#REF!</v>
      </c>
      <c r="D11" t="e">
        <f>#REF!</f>
        <v>#REF!</v>
      </c>
      <c r="E11" t="e">
        <f>#REF!</f>
        <v>#REF!</v>
      </c>
      <c r="F11" t="e">
        <f>#REF!</f>
        <v>#REF!</v>
      </c>
      <c r="G11" t="e">
        <f>#REF!</f>
        <v>#REF!</v>
      </c>
      <c r="H11" t="e">
        <f>#REF!</f>
        <v>#REF!</v>
      </c>
      <c r="I11" t="e">
        <f>#REF!</f>
        <v>#REF!</v>
      </c>
      <c r="J11" t="e">
        <f>#REF!</f>
        <v>#REF!</v>
      </c>
      <c r="K11" t="e">
        <f>#REF!</f>
        <v>#REF!</v>
      </c>
      <c r="L11" t="e">
        <f>#REF!</f>
        <v>#REF!</v>
      </c>
      <c r="M11" t="e">
        <f>#REF!</f>
        <v>#REF!</v>
      </c>
      <c r="N11" t="e">
        <f>#REF!</f>
        <v>#REF!</v>
      </c>
      <c r="O11" t="e">
        <f>#REF!</f>
        <v>#REF!</v>
      </c>
      <c r="P11" t="e">
        <f>#REF!</f>
        <v>#REF!</v>
      </c>
      <c r="Q11" t="e">
        <f>#REF!</f>
        <v>#REF!</v>
      </c>
    </row>
    <row r="12" spans="1:17">
      <c r="A12" t="e">
        <f>SUBSTITUTE(#REF!," ","")</f>
        <v>#REF!</v>
      </c>
      <c r="B12" t="e">
        <f>#REF!</f>
        <v>#REF!</v>
      </c>
      <c r="C12" t="e">
        <f>#REF!</f>
        <v>#REF!</v>
      </c>
      <c r="D12" t="e">
        <f>#REF!</f>
        <v>#REF!</v>
      </c>
      <c r="E12" t="e">
        <f>#REF!</f>
        <v>#REF!</v>
      </c>
      <c r="F12" t="e">
        <f>#REF!</f>
        <v>#REF!</v>
      </c>
      <c r="G12" t="e">
        <f>#REF!</f>
        <v>#REF!</v>
      </c>
      <c r="H12" t="e">
        <f>#REF!</f>
        <v>#REF!</v>
      </c>
      <c r="I12" t="e">
        <f>#REF!</f>
        <v>#REF!</v>
      </c>
      <c r="J12" t="e">
        <f>#REF!</f>
        <v>#REF!</v>
      </c>
      <c r="K12" t="e">
        <f>#REF!</f>
        <v>#REF!</v>
      </c>
      <c r="L12" t="e">
        <f>#REF!</f>
        <v>#REF!</v>
      </c>
      <c r="M12" t="e">
        <f>#REF!</f>
        <v>#REF!</v>
      </c>
      <c r="N12" t="e">
        <f>#REF!</f>
        <v>#REF!</v>
      </c>
      <c r="O12" t="e">
        <f>#REF!</f>
        <v>#REF!</v>
      </c>
      <c r="P12" t="e">
        <f>#REF!</f>
        <v>#REF!</v>
      </c>
      <c r="Q12" t="e">
        <f>#REF!</f>
        <v>#REF!</v>
      </c>
    </row>
    <row r="13" spans="1:17">
      <c r="A13" t="e">
        <f>SUBSTITUTE(#REF!," ","")</f>
        <v>#REF!</v>
      </c>
      <c r="B13" t="e">
        <f>#REF!</f>
        <v>#REF!</v>
      </c>
      <c r="C13" t="e">
        <f>#REF!</f>
        <v>#REF!</v>
      </c>
      <c r="D13" t="e">
        <f>#REF!</f>
        <v>#REF!</v>
      </c>
      <c r="E13" t="e">
        <f>#REF!</f>
        <v>#REF!</v>
      </c>
      <c r="F13" t="e">
        <f>#REF!</f>
        <v>#REF!</v>
      </c>
      <c r="G13" t="e">
        <f>#REF!</f>
        <v>#REF!</v>
      </c>
      <c r="H13" t="e">
        <f>#REF!</f>
        <v>#REF!</v>
      </c>
      <c r="I13" t="e">
        <f>#REF!</f>
        <v>#REF!</v>
      </c>
      <c r="J13" t="e">
        <f>#REF!</f>
        <v>#REF!</v>
      </c>
      <c r="K13" t="e">
        <f>#REF!</f>
        <v>#REF!</v>
      </c>
      <c r="L13" t="e">
        <f>#REF!</f>
        <v>#REF!</v>
      </c>
      <c r="M13" t="e">
        <f>#REF!</f>
        <v>#REF!</v>
      </c>
      <c r="N13" t="e">
        <f>#REF!</f>
        <v>#REF!</v>
      </c>
      <c r="O13" t="e">
        <f>#REF!</f>
        <v>#REF!</v>
      </c>
      <c r="P13" t="e">
        <f>#REF!</f>
        <v>#REF!</v>
      </c>
      <c r="Q13" t="e">
        <f>#REF!</f>
        <v>#REF!</v>
      </c>
    </row>
    <row r="14" spans="1:17">
      <c r="A14" t="e">
        <f>SUBSTITUTE(#REF!," ","")</f>
        <v>#REF!</v>
      </c>
      <c r="B14" t="e">
        <f>#REF!</f>
        <v>#REF!</v>
      </c>
      <c r="C14" t="e">
        <f>#REF!</f>
        <v>#REF!</v>
      </c>
      <c r="D14" t="e">
        <f>#REF!</f>
        <v>#REF!</v>
      </c>
      <c r="E14" t="e">
        <f>#REF!</f>
        <v>#REF!</v>
      </c>
      <c r="F14" t="e">
        <f>#REF!</f>
        <v>#REF!</v>
      </c>
      <c r="G14" t="e">
        <f>#REF!</f>
        <v>#REF!</v>
      </c>
      <c r="H14" t="e">
        <f>#REF!</f>
        <v>#REF!</v>
      </c>
      <c r="I14" t="e">
        <f>#REF!</f>
        <v>#REF!</v>
      </c>
      <c r="J14" t="e">
        <f>#REF!</f>
        <v>#REF!</v>
      </c>
      <c r="K14" t="e">
        <f>#REF!</f>
        <v>#REF!</v>
      </c>
      <c r="L14" t="e">
        <f>#REF!</f>
        <v>#REF!</v>
      </c>
      <c r="M14" t="e">
        <f>#REF!</f>
        <v>#REF!</v>
      </c>
      <c r="N14" t="e">
        <f>#REF!</f>
        <v>#REF!</v>
      </c>
      <c r="O14" t="e">
        <f>#REF!</f>
        <v>#REF!</v>
      </c>
      <c r="P14" t="e">
        <f>#REF!</f>
        <v>#REF!</v>
      </c>
      <c r="Q14" t="e">
        <f>#REF!</f>
        <v>#REF!</v>
      </c>
    </row>
    <row r="15" spans="1:17">
      <c r="A15" t="e">
        <f>SUBSTITUTE(#REF!," ","")</f>
        <v>#REF!</v>
      </c>
      <c r="B15" t="e">
        <f>#REF!</f>
        <v>#REF!</v>
      </c>
      <c r="C15" t="e">
        <f>#REF!</f>
        <v>#REF!</v>
      </c>
      <c r="D15" t="e">
        <f>#REF!</f>
        <v>#REF!</v>
      </c>
      <c r="E15" t="e">
        <f>#REF!</f>
        <v>#REF!</v>
      </c>
      <c r="F15" t="e">
        <f>#REF!</f>
        <v>#REF!</v>
      </c>
      <c r="G15" t="e">
        <f>#REF!</f>
        <v>#REF!</v>
      </c>
      <c r="H15" t="e">
        <f>#REF!</f>
        <v>#REF!</v>
      </c>
      <c r="I15" t="e">
        <f>#REF!</f>
        <v>#REF!</v>
      </c>
      <c r="J15" t="e">
        <f>#REF!</f>
        <v>#REF!</v>
      </c>
      <c r="K15" t="e">
        <f>#REF!</f>
        <v>#REF!</v>
      </c>
      <c r="L15" t="e">
        <f>#REF!</f>
        <v>#REF!</v>
      </c>
      <c r="M15" t="e">
        <f>#REF!</f>
        <v>#REF!</v>
      </c>
      <c r="N15" t="e">
        <f>#REF!</f>
        <v>#REF!</v>
      </c>
      <c r="O15" t="e">
        <f>#REF!</f>
        <v>#REF!</v>
      </c>
      <c r="P15" t="e">
        <f>#REF!</f>
        <v>#REF!</v>
      </c>
      <c r="Q15" t="e">
        <f>#REF!</f>
        <v>#REF!</v>
      </c>
    </row>
    <row r="16" spans="1:17">
      <c r="A16" t="e">
        <f>SUBSTITUTE(#REF!," ","")</f>
        <v>#REF!</v>
      </c>
      <c r="B16" t="e">
        <f>#REF!</f>
        <v>#REF!</v>
      </c>
      <c r="C16" t="e">
        <f>#REF!</f>
        <v>#REF!</v>
      </c>
      <c r="D16" t="e">
        <f>#REF!</f>
        <v>#REF!</v>
      </c>
      <c r="E16" t="e">
        <f>#REF!</f>
        <v>#REF!</v>
      </c>
      <c r="F16" t="e">
        <f>#REF!</f>
        <v>#REF!</v>
      </c>
      <c r="G16" t="e">
        <f>#REF!</f>
        <v>#REF!</v>
      </c>
      <c r="H16" t="e">
        <f>#REF!</f>
        <v>#REF!</v>
      </c>
      <c r="I16" t="e">
        <f>#REF!</f>
        <v>#REF!</v>
      </c>
      <c r="J16" t="e">
        <f>#REF!</f>
        <v>#REF!</v>
      </c>
      <c r="K16" t="e">
        <f>#REF!</f>
        <v>#REF!</v>
      </c>
      <c r="L16" t="e">
        <f>#REF!</f>
        <v>#REF!</v>
      </c>
      <c r="M16" t="e">
        <f>#REF!</f>
        <v>#REF!</v>
      </c>
      <c r="N16" t="e">
        <f>#REF!</f>
        <v>#REF!</v>
      </c>
      <c r="O16" t="e">
        <f>#REF!</f>
        <v>#REF!</v>
      </c>
      <c r="P16" t="e">
        <f>#REF!</f>
        <v>#REF!</v>
      </c>
      <c r="Q16" t="e">
        <f>#REF!</f>
        <v>#REF!</v>
      </c>
    </row>
    <row r="17" spans="1:17">
      <c r="A17" t="e">
        <f>SUBSTITUTE(#REF!," ","")</f>
        <v>#REF!</v>
      </c>
      <c r="B17" t="e">
        <f>#REF!</f>
        <v>#REF!</v>
      </c>
      <c r="C17" t="e">
        <f>#REF!</f>
        <v>#REF!</v>
      </c>
      <c r="D17" t="e">
        <f>#REF!</f>
        <v>#REF!</v>
      </c>
      <c r="E17" t="e">
        <f>#REF!</f>
        <v>#REF!</v>
      </c>
      <c r="F17" t="e">
        <f>#REF!</f>
        <v>#REF!</v>
      </c>
      <c r="G17" t="e">
        <f>#REF!</f>
        <v>#REF!</v>
      </c>
      <c r="H17" t="e">
        <f>#REF!</f>
        <v>#REF!</v>
      </c>
      <c r="I17" t="e">
        <f>#REF!</f>
        <v>#REF!</v>
      </c>
      <c r="J17" t="e">
        <f>#REF!</f>
        <v>#REF!</v>
      </c>
      <c r="K17" t="e">
        <f>#REF!</f>
        <v>#REF!</v>
      </c>
      <c r="L17" t="e">
        <f>#REF!</f>
        <v>#REF!</v>
      </c>
      <c r="M17" t="e">
        <f>#REF!</f>
        <v>#REF!</v>
      </c>
      <c r="N17" t="e">
        <f>#REF!</f>
        <v>#REF!</v>
      </c>
      <c r="O17" t="e">
        <f>#REF!</f>
        <v>#REF!</v>
      </c>
      <c r="P17" t="e">
        <f>#REF!</f>
        <v>#REF!</v>
      </c>
      <c r="Q17" t="e">
        <f>#REF!</f>
        <v>#REF!</v>
      </c>
    </row>
    <row r="18" spans="1:17">
      <c r="A18" t="e">
        <f>SUBSTITUTE(#REF!," ","")</f>
        <v>#REF!</v>
      </c>
      <c r="B18" t="e">
        <f>#REF!</f>
        <v>#REF!</v>
      </c>
      <c r="C18" t="e">
        <f>#REF!</f>
        <v>#REF!</v>
      </c>
      <c r="D18" t="e">
        <f>#REF!</f>
        <v>#REF!</v>
      </c>
      <c r="E18" t="e">
        <f>#REF!</f>
        <v>#REF!</v>
      </c>
      <c r="F18" t="e">
        <f>#REF!</f>
        <v>#REF!</v>
      </c>
      <c r="G18" t="e">
        <f>#REF!</f>
        <v>#REF!</v>
      </c>
      <c r="H18" t="e">
        <f>#REF!</f>
        <v>#REF!</v>
      </c>
      <c r="I18" t="e">
        <f>#REF!</f>
        <v>#REF!</v>
      </c>
      <c r="J18" t="e">
        <f>#REF!</f>
        <v>#REF!</v>
      </c>
      <c r="K18" t="e">
        <f>#REF!</f>
        <v>#REF!</v>
      </c>
      <c r="L18" t="e">
        <f>#REF!</f>
        <v>#REF!</v>
      </c>
      <c r="M18" t="e">
        <f>#REF!</f>
        <v>#REF!</v>
      </c>
      <c r="N18" t="e">
        <f>#REF!</f>
        <v>#REF!</v>
      </c>
      <c r="O18" t="e">
        <f>#REF!</f>
        <v>#REF!</v>
      </c>
      <c r="P18" t="e">
        <f>#REF!</f>
        <v>#REF!</v>
      </c>
      <c r="Q18" t="e">
        <f>#REF!</f>
        <v>#REF!</v>
      </c>
    </row>
    <row r="19" spans="1:17">
      <c r="A19" t="e">
        <f>SUBSTITUTE(#REF!," ","")</f>
        <v>#REF!</v>
      </c>
      <c r="B19" t="e">
        <f>#REF!</f>
        <v>#REF!</v>
      </c>
      <c r="C19" t="e">
        <f>#REF!</f>
        <v>#REF!</v>
      </c>
      <c r="D19" t="e">
        <f>#REF!</f>
        <v>#REF!</v>
      </c>
      <c r="E19" t="e">
        <f>#REF!</f>
        <v>#REF!</v>
      </c>
      <c r="F19" t="e">
        <f>#REF!</f>
        <v>#REF!</v>
      </c>
      <c r="G19" t="e">
        <f>#REF!</f>
        <v>#REF!</v>
      </c>
      <c r="H19" t="e">
        <f>#REF!</f>
        <v>#REF!</v>
      </c>
      <c r="I19" t="e">
        <f>#REF!</f>
        <v>#REF!</v>
      </c>
      <c r="J19" t="e">
        <f>#REF!</f>
        <v>#REF!</v>
      </c>
      <c r="K19" t="e">
        <f>#REF!</f>
        <v>#REF!</v>
      </c>
      <c r="L19" t="e">
        <f>#REF!</f>
        <v>#REF!</v>
      </c>
      <c r="M19" t="e">
        <f>#REF!</f>
        <v>#REF!</v>
      </c>
      <c r="N19" t="e">
        <f>#REF!</f>
        <v>#REF!</v>
      </c>
      <c r="O19" t="e">
        <f>#REF!</f>
        <v>#REF!</v>
      </c>
      <c r="P19" t="e">
        <f>#REF!</f>
        <v>#REF!</v>
      </c>
      <c r="Q19" t="e">
        <f>#REF!</f>
        <v>#REF!</v>
      </c>
    </row>
    <row r="20" spans="1:17">
      <c r="A20" t="e">
        <f>SUBSTITUTE(#REF!," ","")</f>
        <v>#REF!</v>
      </c>
      <c r="B20" t="e">
        <f>#REF!</f>
        <v>#REF!</v>
      </c>
      <c r="C20" t="e">
        <f>#REF!</f>
        <v>#REF!</v>
      </c>
      <c r="D20" t="e">
        <f>#REF!</f>
        <v>#REF!</v>
      </c>
      <c r="E20" t="e">
        <f>#REF!</f>
        <v>#REF!</v>
      </c>
      <c r="F20" t="e">
        <f>#REF!</f>
        <v>#REF!</v>
      </c>
      <c r="G20" t="e">
        <f>#REF!</f>
        <v>#REF!</v>
      </c>
      <c r="H20" t="e">
        <f>#REF!</f>
        <v>#REF!</v>
      </c>
      <c r="I20" t="e">
        <f>#REF!</f>
        <v>#REF!</v>
      </c>
      <c r="J20" t="e">
        <f>#REF!</f>
        <v>#REF!</v>
      </c>
      <c r="K20" t="e">
        <f>#REF!</f>
        <v>#REF!</v>
      </c>
      <c r="L20" t="e">
        <f>#REF!</f>
        <v>#REF!</v>
      </c>
      <c r="M20" t="e">
        <f>#REF!</f>
        <v>#REF!</v>
      </c>
      <c r="N20" t="e">
        <f>#REF!</f>
        <v>#REF!</v>
      </c>
      <c r="O20" t="e">
        <f>#REF!</f>
        <v>#REF!</v>
      </c>
      <c r="P20" t="e">
        <f>#REF!</f>
        <v>#REF!</v>
      </c>
      <c r="Q20" t="e">
        <f>#REF!</f>
        <v>#REF!</v>
      </c>
    </row>
    <row r="21" spans="1:17">
      <c r="A21" t="e">
        <f>SUBSTITUTE(#REF!," ","")</f>
        <v>#REF!</v>
      </c>
      <c r="B21" t="e">
        <f>#REF!</f>
        <v>#REF!</v>
      </c>
      <c r="C21" t="e">
        <f>#REF!</f>
        <v>#REF!</v>
      </c>
      <c r="D21" t="e">
        <f>#REF!</f>
        <v>#REF!</v>
      </c>
      <c r="E21" t="e">
        <f>#REF!</f>
        <v>#REF!</v>
      </c>
      <c r="F21" t="e">
        <f>#REF!</f>
        <v>#REF!</v>
      </c>
      <c r="G21" t="e">
        <f>#REF!</f>
        <v>#REF!</v>
      </c>
      <c r="H21" t="e">
        <f>#REF!</f>
        <v>#REF!</v>
      </c>
      <c r="I21" t="e">
        <f>#REF!</f>
        <v>#REF!</v>
      </c>
      <c r="J21" t="e">
        <f>#REF!</f>
        <v>#REF!</v>
      </c>
      <c r="K21" t="e">
        <f>#REF!</f>
        <v>#REF!</v>
      </c>
      <c r="L21" t="e">
        <f>#REF!</f>
        <v>#REF!</v>
      </c>
      <c r="M21" t="e">
        <f>#REF!</f>
        <v>#REF!</v>
      </c>
      <c r="N21" t="e">
        <f>#REF!</f>
        <v>#REF!</v>
      </c>
      <c r="O21" t="e">
        <f>#REF!</f>
        <v>#REF!</v>
      </c>
      <c r="P21" t="e">
        <f>#REF!</f>
        <v>#REF!</v>
      </c>
      <c r="Q21" t="e">
        <f>#REF!</f>
        <v>#REF!</v>
      </c>
    </row>
    <row r="22" spans="1:17">
      <c r="A22" t="e">
        <f>SUBSTITUTE(#REF!," ","")</f>
        <v>#REF!</v>
      </c>
      <c r="B22" t="e">
        <f>#REF!</f>
        <v>#REF!</v>
      </c>
      <c r="C22" t="e">
        <f>#REF!</f>
        <v>#REF!</v>
      </c>
      <c r="D22" t="e">
        <f>#REF!</f>
        <v>#REF!</v>
      </c>
      <c r="E22" t="e">
        <f>#REF!</f>
        <v>#REF!</v>
      </c>
      <c r="F22" t="e">
        <f>#REF!</f>
        <v>#REF!</v>
      </c>
      <c r="G22" t="e">
        <f>#REF!</f>
        <v>#REF!</v>
      </c>
      <c r="H22" t="e">
        <f>#REF!</f>
        <v>#REF!</v>
      </c>
      <c r="I22" t="e">
        <f>#REF!</f>
        <v>#REF!</v>
      </c>
      <c r="J22" t="e">
        <f>#REF!</f>
        <v>#REF!</v>
      </c>
      <c r="K22" t="e">
        <f>#REF!</f>
        <v>#REF!</v>
      </c>
      <c r="L22" t="e">
        <f>#REF!</f>
        <v>#REF!</v>
      </c>
      <c r="M22" t="e">
        <f>#REF!</f>
        <v>#REF!</v>
      </c>
      <c r="N22" t="e">
        <f>#REF!</f>
        <v>#REF!</v>
      </c>
      <c r="O22" t="e">
        <f>#REF!</f>
        <v>#REF!</v>
      </c>
      <c r="P22" t="e">
        <f>#REF!</f>
        <v>#REF!</v>
      </c>
      <c r="Q22" t="e">
        <f>#REF!</f>
        <v>#REF!</v>
      </c>
    </row>
    <row r="23" spans="1:17">
      <c r="A23" t="e">
        <f>SUBSTITUTE(#REF!," ","")</f>
        <v>#REF!</v>
      </c>
      <c r="B23" t="e">
        <f>#REF!</f>
        <v>#REF!</v>
      </c>
      <c r="C23" t="e">
        <f>#REF!</f>
        <v>#REF!</v>
      </c>
      <c r="D23" t="e">
        <f>#REF!</f>
        <v>#REF!</v>
      </c>
      <c r="E23" t="e">
        <f>#REF!</f>
        <v>#REF!</v>
      </c>
      <c r="F23" t="e">
        <f>#REF!</f>
        <v>#REF!</v>
      </c>
      <c r="G23" t="e">
        <f>#REF!</f>
        <v>#REF!</v>
      </c>
      <c r="H23" t="e">
        <f>#REF!</f>
        <v>#REF!</v>
      </c>
      <c r="I23" t="e">
        <f>#REF!</f>
        <v>#REF!</v>
      </c>
      <c r="J23" t="e">
        <f>#REF!</f>
        <v>#REF!</v>
      </c>
      <c r="K23" t="e">
        <f>#REF!</f>
        <v>#REF!</v>
      </c>
      <c r="L23" t="e">
        <f>#REF!</f>
        <v>#REF!</v>
      </c>
      <c r="M23" t="e">
        <f>#REF!</f>
        <v>#REF!</v>
      </c>
      <c r="N23" t="e">
        <f>#REF!</f>
        <v>#REF!</v>
      </c>
      <c r="O23" t="e">
        <f>#REF!</f>
        <v>#REF!</v>
      </c>
      <c r="P23" t="e">
        <f>#REF!</f>
        <v>#REF!</v>
      </c>
      <c r="Q23" t="e">
        <f>#REF!</f>
        <v>#REF!</v>
      </c>
    </row>
    <row r="24" spans="1:17">
      <c r="A24" t="e">
        <f>SUBSTITUTE(#REF!," ","")</f>
        <v>#REF!</v>
      </c>
      <c r="B24" t="e">
        <f>#REF!</f>
        <v>#REF!</v>
      </c>
      <c r="C24" t="e">
        <f>#REF!</f>
        <v>#REF!</v>
      </c>
      <c r="D24" t="e">
        <f>#REF!</f>
        <v>#REF!</v>
      </c>
      <c r="E24" t="e">
        <f>#REF!</f>
        <v>#REF!</v>
      </c>
      <c r="F24" t="e">
        <f>#REF!</f>
        <v>#REF!</v>
      </c>
      <c r="G24" t="e">
        <f>#REF!</f>
        <v>#REF!</v>
      </c>
      <c r="H24" t="e">
        <f>#REF!</f>
        <v>#REF!</v>
      </c>
      <c r="I24" t="e">
        <f>#REF!</f>
        <v>#REF!</v>
      </c>
      <c r="J24" t="e">
        <f>#REF!</f>
        <v>#REF!</v>
      </c>
      <c r="K24" t="e">
        <f>#REF!</f>
        <v>#REF!</v>
      </c>
      <c r="L24" t="e">
        <f>#REF!</f>
        <v>#REF!</v>
      </c>
      <c r="M24" t="e">
        <f>#REF!</f>
        <v>#REF!</v>
      </c>
      <c r="N24" t="e">
        <f>#REF!</f>
        <v>#REF!</v>
      </c>
      <c r="O24" t="e">
        <f>#REF!</f>
        <v>#REF!</v>
      </c>
      <c r="P24" t="e">
        <f>#REF!</f>
        <v>#REF!</v>
      </c>
      <c r="Q24" t="e">
        <f>#REF!</f>
        <v>#REF!</v>
      </c>
    </row>
    <row r="25" spans="1:17">
      <c r="A25" t="e">
        <f>SUBSTITUTE(#REF!," ","")</f>
        <v>#REF!</v>
      </c>
      <c r="B25" t="e">
        <f>#REF!</f>
        <v>#REF!</v>
      </c>
      <c r="C25" t="e">
        <f>#REF!</f>
        <v>#REF!</v>
      </c>
      <c r="D25" t="e">
        <f>#REF!</f>
        <v>#REF!</v>
      </c>
      <c r="E25" t="e">
        <f>#REF!</f>
        <v>#REF!</v>
      </c>
      <c r="F25" t="e">
        <f>#REF!</f>
        <v>#REF!</v>
      </c>
      <c r="G25" t="e">
        <f>#REF!</f>
        <v>#REF!</v>
      </c>
      <c r="H25" t="e">
        <f>#REF!</f>
        <v>#REF!</v>
      </c>
      <c r="I25" t="e">
        <f>#REF!</f>
        <v>#REF!</v>
      </c>
      <c r="J25" t="e">
        <f>#REF!</f>
        <v>#REF!</v>
      </c>
      <c r="K25" t="e">
        <f>#REF!</f>
        <v>#REF!</v>
      </c>
      <c r="L25" t="e">
        <f>#REF!</f>
        <v>#REF!</v>
      </c>
      <c r="M25" t="e">
        <f>#REF!</f>
        <v>#REF!</v>
      </c>
      <c r="N25" t="e">
        <f>#REF!</f>
        <v>#REF!</v>
      </c>
      <c r="O25" t="e">
        <f>#REF!</f>
        <v>#REF!</v>
      </c>
      <c r="P25" t="e">
        <f>#REF!</f>
        <v>#REF!</v>
      </c>
      <c r="Q25" t="e">
        <f>#REF!</f>
        <v>#REF!</v>
      </c>
    </row>
    <row r="26" spans="1:17">
      <c r="A26" t="e">
        <f>SUBSTITUTE(#REF!," ","")</f>
        <v>#REF!</v>
      </c>
      <c r="B26" t="e">
        <f>#REF!</f>
        <v>#REF!</v>
      </c>
      <c r="C26" t="e">
        <f>#REF!</f>
        <v>#REF!</v>
      </c>
      <c r="D26" t="e">
        <f>#REF!</f>
        <v>#REF!</v>
      </c>
      <c r="E26" t="e">
        <f>#REF!</f>
        <v>#REF!</v>
      </c>
      <c r="F26" t="e">
        <f>#REF!</f>
        <v>#REF!</v>
      </c>
      <c r="G26" t="e">
        <f>#REF!</f>
        <v>#REF!</v>
      </c>
      <c r="H26" t="e">
        <f>#REF!</f>
        <v>#REF!</v>
      </c>
      <c r="I26" t="e">
        <f>#REF!</f>
        <v>#REF!</v>
      </c>
      <c r="J26" t="e">
        <f>#REF!</f>
        <v>#REF!</v>
      </c>
      <c r="K26" t="e">
        <f>#REF!</f>
        <v>#REF!</v>
      </c>
      <c r="L26" t="e">
        <f>#REF!</f>
        <v>#REF!</v>
      </c>
      <c r="M26" t="e">
        <f>#REF!</f>
        <v>#REF!</v>
      </c>
      <c r="N26" t="e">
        <f>#REF!</f>
        <v>#REF!</v>
      </c>
      <c r="O26" t="e">
        <f>#REF!</f>
        <v>#REF!</v>
      </c>
      <c r="P26" t="e">
        <f>#REF!</f>
        <v>#REF!</v>
      </c>
      <c r="Q26" t="e">
        <f>#REF!</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autoPageBreaks="0"/>
  </sheetPr>
  <dimension ref="B5:I7"/>
  <sheetViews>
    <sheetView zoomScaleNormal="100" workbookViewId="0">
      <selection activeCell="L26" sqref="L26"/>
    </sheetView>
  </sheetViews>
  <sheetFormatPr defaultRowHeight="13.2"/>
  <cols>
    <col min="1" max="1" width="9.6640625" customWidth="1"/>
    <col min="2" max="2" width="8.5546875" customWidth="1"/>
    <col min="3" max="3" width="18.6640625" customWidth="1"/>
    <col min="8" max="8" width="6.6640625" customWidth="1"/>
    <col min="9" max="9" width="5.6640625" customWidth="1"/>
  </cols>
  <sheetData>
    <row r="5" spans="2:9" ht="15">
      <c r="D5" s="763" t="s">
        <v>487</v>
      </c>
      <c r="E5" s="764"/>
      <c r="F5" s="765"/>
    </row>
    <row r="7" spans="2:9" ht="20.399999999999999">
      <c r="B7" s="760" t="s">
        <v>488</v>
      </c>
      <c r="C7" s="761"/>
      <c r="D7" s="761"/>
      <c r="E7" s="761"/>
      <c r="F7" s="761"/>
      <c r="G7" s="761"/>
      <c r="H7" s="761"/>
      <c r="I7" s="762"/>
    </row>
  </sheetData>
  <mergeCells count="2">
    <mergeCell ref="B7:I7"/>
    <mergeCell ref="D5:F5"/>
  </mergeCells>
  <phoneticPr fontId="0" type="noConversion"/>
  <pageMargins left="0.75" right="0.75" top="1" bottom="1" header="0.5" footer="0.5"/>
  <pageSetup orientation="portrait" r:id="rId1"/>
  <headerFooter alignWithMargins="0">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autoPageBreaks="0"/>
  </sheetPr>
  <dimension ref="B5:J7"/>
  <sheetViews>
    <sheetView zoomScaleNormal="100" workbookViewId="0">
      <selection activeCell="L26" sqref="L26"/>
    </sheetView>
  </sheetViews>
  <sheetFormatPr defaultRowHeight="13.2"/>
  <cols>
    <col min="3" max="3" width="18.6640625" customWidth="1"/>
  </cols>
  <sheetData>
    <row r="5" spans="2:10" ht="15">
      <c r="D5" s="763" t="s">
        <v>489</v>
      </c>
      <c r="E5" s="766"/>
      <c r="F5" s="767"/>
    </row>
    <row r="7" spans="2:10" ht="20.399999999999999">
      <c r="B7" s="760" t="s">
        <v>490</v>
      </c>
      <c r="C7" s="761"/>
      <c r="D7" s="761"/>
      <c r="E7" s="761"/>
      <c r="F7" s="761"/>
      <c r="G7" s="761"/>
      <c r="H7" s="761"/>
      <c r="I7" s="762"/>
      <c r="J7" s="1"/>
    </row>
  </sheetData>
  <mergeCells count="2">
    <mergeCell ref="B7:I7"/>
    <mergeCell ref="D5:F5"/>
  </mergeCells>
  <phoneticPr fontId="0" type="noConversion"/>
  <pageMargins left="0.75" right="0.75" top="1" bottom="1" header="0.5" footer="0.5"/>
  <pageSetup scale="88" orientation="portrait" r:id="rId1"/>
  <headerFooter alignWithMargins="0">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autoPageBreaks="0"/>
  </sheetPr>
  <dimension ref="B5:I7"/>
  <sheetViews>
    <sheetView zoomScaleNormal="100" workbookViewId="0">
      <selection activeCell="L26" sqref="L26"/>
    </sheetView>
  </sheetViews>
  <sheetFormatPr defaultRowHeight="13.2"/>
  <cols>
    <col min="3" max="3" width="18.6640625" customWidth="1"/>
  </cols>
  <sheetData>
    <row r="5" spans="2:9" ht="15">
      <c r="D5" s="763" t="s">
        <v>491</v>
      </c>
      <c r="E5" s="768"/>
      <c r="F5" s="769"/>
    </row>
    <row r="6" spans="2:9">
      <c r="G6" s="2"/>
    </row>
    <row r="7" spans="2:9" ht="20.399999999999999">
      <c r="B7" s="760" t="s">
        <v>492</v>
      </c>
      <c r="C7" s="766"/>
      <c r="D7" s="766"/>
      <c r="E7" s="766"/>
      <c r="F7" s="766"/>
      <c r="G7" s="766"/>
      <c r="H7" s="766"/>
      <c r="I7" s="767"/>
    </row>
  </sheetData>
  <mergeCells count="2">
    <mergeCell ref="B7:I7"/>
    <mergeCell ref="D5:F5"/>
  </mergeCells>
  <phoneticPr fontId="0" type="noConversion"/>
  <pageMargins left="0.75" right="0.75" top="1" bottom="1" header="0.5" footer="0.5"/>
  <pageSetup scale="88" orientation="portrait" r:id="rId1"/>
  <headerFooter alignWithMargins="0">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00E80-1412-4C92-922F-4CD1F4C2539A}">
  <sheetPr>
    <pageSetUpPr autoPageBreaks="0"/>
  </sheetPr>
  <dimension ref="A1:F8"/>
  <sheetViews>
    <sheetView workbookViewId="0">
      <selection activeCell="A24" sqref="A24:XFD24"/>
    </sheetView>
  </sheetViews>
  <sheetFormatPr defaultRowHeight="13.2"/>
  <cols>
    <col min="1" max="1" width="22.109375" customWidth="1"/>
    <col min="2" max="2" width="9.6640625" customWidth="1"/>
    <col min="5" max="5" width="9" customWidth="1"/>
    <col min="6" max="6" width="6.6640625" customWidth="1"/>
  </cols>
  <sheetData>
    <row r="1" spans="1:6">
      <c r="A1" t="e">
        <f>#REF!</f>
        <v>#REF!</v>
      </c>
      <c r="B1" t="e">
        <f>#REF!*1000</f>
        <v>#REF!</v>
      </c>
      <c r="C1" t="e">
        <f>#REF!*1000</f>
        <v>#REF!</v>
      </c>
      <c r="F1" s="19" t="e">
        <f>(C2*12)/B1</f>
        <v>#REF!</v>
      </c>
    </row>
    <row r="2" spans="1:6">
      <c r="A2" t="e">
        <f>TRIM(#REF!)</f>
        <v>#REF!</v>
      </c>
      <c r="B2" t="e">
        <f>#REF!*1000</f>
        <v>#REF!</v>
      </c>
      <c r="C2" t="e">
        <f>#REF!*1000</f>
        <v>#REF!</v>
      </c>
      <c r="F2" s="19" t="e">
        <f>(C3*4)/B1</f>
        <v>#REF!</v>
      </c>
    </row>
    <row r="3" spans="1:6">
      <c r="A3" t="e">
        <f>TRIM(#REF!)</f>
        <v>#REF!</v>
      </c>
      <c r="B3" t="e">
        <f>#REF!*1000</f>
        <v>#REF!</v>
      </c>
      <c r="C3" t="e">
        <f>#REF!*1000</f>
        <v>#REF!</v>
      </c>
    </row>
    <row r="4" spans="1:6">
      <c r="A4" t="e">
        <f>#REF!</f>
        <v>#REF!</v>
      </c>
      <c r="B4" t="e">
        <f>#REF!*1000</f>
        <v>#REF!</v>
      </c>
      <c r="C4" t="e">
        <f>#REF!*1000</f>
        <v>#REF!</v>
      </c>
    </row>
    <row r="5" spans="1:6">
      <c r="A5" t="e">
        <f>#REF!</f>
        <v>#REF!</v>
      </c>
      <c r="B5" t="e">
        <f>#REF!*1000</f>
        <v>#REF!</v>
      </c>
      <c r="C5" t="e">
        <f>#REF!*1000</f>
        <v>#REF!</v>
      </c>
    </row>
    <row r="6" spans="1:6">
      <c r="A6" t="e">
        <f>#REF!</f>
        <v>#REF!</v>
      </c>
      <c r="B6" t="e">
        <f>#REF!*1000</f>
        <v>#REF!</v>
      </c>
      <c r="C6" t="e">
        <f>#REF!*1000</f>
        <v>#REF!</v>
      </c>
    </row>
    <row r="7" spans="1:6">
      <c r="A7" t="e">
        <f>#REF!</f>
        <v>#REF!</v>
      </c>
      <c r="B7" t="e">
        <f>#REF!*1000</f>
        <v>#REF!</v>
      </c>
      <c r="C7" t="e">
        <f>#REF!*1000</f>
        <v>#REF!</v>
      </c>
    </row>
    <row r="8" spans="1:6">
      <c r="A8" t="e">
        <f>#REF!</f>
        <v>#REF!</v>
      </c>
      <c r="B8" t="e">
        <f>#REF!*1000</f>
        <v>#REF!</v>
      </c>
      <c r="C8" t="e">
        <f>#REF!*1000</f>
        <v>#REF!</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EC3F7-FE45-4EDA-9FED-86DEE27BFB1F}">
  <sheetPr>
    <pageSetUpPr autoPageBreaks="0"/>
  </sheetPr>
  <dimension ref="A1:E11"/>
  <sheetViews>
    <sheetView workbookViewId="0">
      <selection activeCell="A24" sqref="A24:XFD24"/>
    </sheetView>
  </sheetViews>
  <sheetFormatPr defaultRowHeight="13.2"/>
  <cols>
    <col min="1" max="1" width="27.33203125" customWidth="1"/>
    <col min="2" max="4" width="16.33203125" customWidth="1"/>
    <col min="5" max="5" width="19.33203125" customWidth="1"/>
  </cols>
  <sheetData>
    <row r="1" spans="1:5">
      <c r="A1" t="e">
        <f>#REF!</f>
        <v>#REF!</v>
      </c>
      <c r="B1" t="e">
        <f>#REF!*1000</f>
        <v>#REF!</v>
      </c>
      <c r="C1" t="e">
        <f>#REF!*1000</f>
        <v>#REF!</v>
      </c>
      <c r="D1" t="e">
        <f>#REF!*1000</f>
        <v>#REF!</v>
      </c>
      <c r="E1" t="s">
        <v>493</v>
      </c>
    </row>
    <row r="2" spans="1:5">
      <c r="A2" t="e">
        <f>#REF!</f>
        <v>#REF!</v>
      </c>
      <c r="B2" t="e">
        <f>#REF!*1000</f>
        <v>#REF!</v>
      </c>
      <c r="C2" t="e">
        <f>#REF!*1000</f>
        <v>#REF!</v>
      </c>
      <c r="D2" t="e">
        <f>#REF!*1000</f>
        <v>#REF!</v>
      </c>
      <c r="E2" t="s">
        <v>494</v>
      </c>
    </row>
    <row r="3" spans="1:5">
      <c r="A3" t="e">
        <f>#REF!</f>
        <v>#REF!</v>
      </c>
      <c r="B3" t="e">
        <f>#REF!*1000</f>
        <v>#REF!</v>
      </c>
      <c r="C3" t="e">
        <f>#REF!*1000</f>
        <v>#REF!</v>
      </c>
      <c r="D3" t="e">
        <f>#REF!*1000</f>
        <v>#REF!</v>
      </c>
      <c r="E3" t="s">
        <v>495</v>
      </c>
    </row>
    <row r="4" spans="1:5">
      <c r="A4" t="e">
        <f>#REF!</f>
        <v>#REF!</v>
      </c>
      <c r="B4" t="e">
        <f>#REF!*1000</f>
        <v>#REF!</v>
      </c>
      <c r="C4" t="e">
        <f>#REF!*1000</f>
        <v>#REF!</v>
      </c>
      <c r="D4" t="e">
        <f>#REF!*1000</f>
        <v>#REF!</v>
      </c>
      <c r="E4" t="s">
        <v>496</v>
      </c>
    </row>
    <row r="5" spans="1:5">
      <c r="A5" t="e">
        <f>#REF!</f>
        <v>#REF!</v>
      </c>
      <c r="B5" t="e">
        <f>#REF!*1000</f>
        <v>#REF!</v>
      </c>
      <c r="C5" t="e">
        <f>#REF!*1000</f>
        <v>#REF!</v>
      </c>
      <c r="D5" t="e">
        <f>#REF!*1000</f>
        <v>#REF!</v>
      </c>
      <c r="E5" t="s">
        <v>497</v>
      </c>
    </row>
    <row r="6" spans="1:5">
      <c r="A6" t="e">
        <f>#REF!</f>
        <v>#REF!</v>
      </c>
      <c r="B6" t="e">
        <f>#REF!*1000</f>
        <v>#REF!</v>
      </c>
      <c r="C6" t="e">
        <f>#REF!*1000</f>
        <v>#REF!</v>
      </c>
      <c r="D6" t="e">
        <f>#REF!*1000</f>
        <v>#REF!</v>
      </c>
      <c r="E6" t="s">
        <v>498</v>
      </c>
    </row>
    <row r="7" spans="1:5">
      <c r="A7" t="e">
        <f>#REF!</f>
        <v>#REF!</v>
      </c>
      <c r="B7" t="e">
        <f>#REF!*1000</f>
        <v>#REF!</v>
      </c>
      <c r="C7" t="e">
        <f>#REF!*1000</f>
        <v>#REF!</v>
      </c>
      <c r="D7" t="e">
        <f>#REF!*1000</f>
        <v>#REF!</v>
      </c>
      <c r="E7" t="s">
        <v>499</v>
      </c>
    </row>
    <row r="8" spans="1:5">
      <c r="A8" t="e">
        <f>#REF!</f>
        <v>#REF!</v>
      </c>
      <c r="B8" t="e">
        <f>#REF!*1000</f>
        <v>#REF!</v>
      </c>
      <c r="C8" t="e">
        <f>#REF!*1000</f>
        <v>#REF!</v>
      </c>
      <c r="D8" t="e">
        <f>#REF!*1000</f>
        <v>#REF!</v>
      </c>
      <c r="E8" t="s">
        <v>500</v>
      </c>
    </row>
    <row r="9" spans="1:5">
      <c r="A9" t="e">
        <f>#REF!</f>
        <v>#REF!</v>
      </c>
      <c r="B9" t="e">
        <f>#REF!*1000</f>
        <v>#REF!</v>
      </c>
      <c r="C9" t="e">
        <f>#REF!*1000</f>
        <v>#REF!</v>
      </c>
      <c r="D9" t="e">
        <f>#REF!*1000</f>
        <v>#REF!</v>
      </c>
      <c r="E9" t="s">
        <v>501</v>
      </c>
    </row>
    <row r="10" spans="1:5">
      <c r="A10" t="e">
        <f>#REF!</f>
        <v>#REF!</v>
      </c>
      <c r="B10" t="e">
        <f>#REF!*1000</f>
        <v>#REF!</v>
      </c>
      <c r="C10" t="e">
        <f>#REF!*1000</f>
        <v>#REF!</v>
      </c>
      <c r="D10" t="e">
        <f>#REF!*1000</f>
        <v>#REF!</v>
      </c>
      <c r="E10" t="s">
        <v>502</v>
      </c>
    </row>
    <row r="11" spans="1:5">
      <c r="A11" t="e">
        <f>#REF!</f>
        <v>#REF!</v>
      </c>
      <c r="B11" t="e">
        <f>#REF!*1000</f>
        <v>#REF!</v>
      </c>
      <c r="C11" t="e">
        <f>#REF!*1000</f>
        <v>#REF!</v>
      </c>
      <c r="D11" t="e">
        <f>#REF!*1000</f>
        <v>#REF!</v>
      </c>
      <c r="E11" t="s">
        <v>503</v>
      </c>
    </row>
  </sheetData>
  <pageMargins left="0.7" right="0.7" top="0.75" bottom="0.75" header="0.3" footer="0.3"/>
  <pageSetup orientation="portrait" horizontalDpi="300" verticalDpi="300"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74FCE-8C8A-4FC7-A041-DF3D5C49B7F6}">
  <sheetPr>
    <pageSetUpPr autoPageBreaks="0"/>
  </sheetPr>
  <dimension ref="A1:D4"/>
  <sheetViews>
    <sheetView workbookViewId="0">
      <selection activeCell="A24" sqref="A24:XFD24"/>
    </sheetView>
  </sheetViews>
  <sheetFormatPr defaultRowHeight="13.2"/>
  <cols>
    <col min="1" max="1" width="27.6640625" customWidth="1"/>
    <col min="2" max="2" width="11" customWidth="1"/>
    <col min="3" max="3" width="11.33203125" style="23" customWidth="1"/>
  </cols>
  <sheetData>
    <row r="1" spans="1:4">
      <c r="A1" t="e">
        <f>#REF!</f>
        <v>#REF!</v>
      </c>
      <c r="B1" t="e">
        <f>#REF!*1000</f>
        <v>#REF!</v>
      </c>
      <c r="C1" s="23" t="e">
        <f>#REF!</f>
        <v>#REF!</v>
      </c>
      <c r="D1" t="s">
        <v>182</v>
      </c>
    </row>
    <row r="2" spans="1:4">
      <c r="A2" t="e">
        <f>#REF!</f>
        <v>#REF!</v>
      </c>
      <c r="B2" t="e">
        <f>#REF!*1000</f>
        <v>#REF!</v>
      </c>
      <c r="C2" s="23" t="e">
        <f>#REF!</f>
        <v>#REF!</v>
      </c>
      <c r="D2" t="s">
        <v>504</v>
      </c>
    </row>
    <row r="3" spans="1:4">
      <c r="A3" t="e">
        <f>#REF!</f>
        <v>#REF!</v>
      </c>
      <c r="B3" t="e">
        <f>#REF!*1000</f>
        <v>#REF!</v>
      </c>
      <c r="C3" s="23" t="e">
        <f>#REF!</f>
        <v>#REF!</v>
      </c>
      <c r="D3" t="s">
        <v>505</v>
      </c>
    </row>
    <row r="4" spans="1:4">
      <c r="A4" t="e">
        <f>#REF!</f>
        <v>#REF!</v>
      </c>
      <c r="B4" t="e">
        <f>#REF!*1000</f>
        <v>#REF!</v>
      </c>
      <c r="C4" s="23" t="e">
        <f>#REF!</f>
        <v>#REF!</v>
      </c>
      <c r="D4" t="s">
        <v>506</v>
      </c>
    </row>
  </sheetData>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39997558519241921"/>
    <pageSetUpPr autoPageBreaks="0"/>
  </sheetPr>
  <dimension ref="B1:D19"/>
  <sheetViews>
    <sheetView workbookViewId="0">
      <selection activeCell="C17" sqref="C17:D17"/>
    </sheetView>
  </sheetViews>
  <sheetFormatPr defaultRowHeight="13.2"/>
  <cols>
    <col min="2" max="2" width="42" customWidth="1"/>
    <col min="3" max="3" width="47.5546875" customWidth="1"/>
  </cols>
  <sheetData>
    <row r="1" spans="2:4" ht="13.8" thickBot="1"/>
    <row r="2" spans="2:4" ht="12.75" customHeight="1">
      <c r="B2" s="770" t="s">
        <v>507</v>
      </c>
      <c r="C2" s="771"/>
      <c r="D2" s="772"/>
    </row>
    <row r="3" spans="2:4" ht="13.5" customHeight="1" thickBot="1">
      <c r="B3" s="773"/>
      <c r="C3" s="774"/>
      <c r="D3" s="775"/>
    </row>
    <row r="5" spans="2:4" ht="13.8" thickBot="1"/>
    <row r="6" spans="2:4" ht="21.6" thickBot="1">
      <c r="B6" s="14" t="s">
        <v>508</v>
      </c>
      <c r="C6" s="779"/>
      <c r="D6" s="779"/>
    </row>
    <row r="7" spans="2:4" ht="53.25" customHeight="1" thickBot="1">
      <c r="B7" s="15" t="s">
        <v>509</v>
      </c>
      <c r="C7" s="780"/>
      <c r="D7" s="780"/>
    </row>
    <row r="8" spans="2:4" ht="21.6" thickBot="1">
      <c r="B8" s="14" t="s">
        <v>510</v>
      </c>
      <c r="C8" s="779"/>
      <c r="D8" s="779"/>
    </row>
    <row r="9" spans="2:4" ht="21.6" thickBot="1">
      <c r="B9" s="776" t="s">
        <v>511</v>
      </c>
      <c r="C9" s="781"/>
      <c r="D9" s="781"/>
    </row>
    <row r="10" spans="2:4" ht="21.6" thickBot="1">
      <c r="B10" s="777"/>
      <c r="C10" s="782"/>
      <c r="D10" s="782"/>
    </row>
    <row r="11" spans="2:4" ht="21.6" thickBot="1">
      <c r="B11" s="777"/>
      <c r="C11" s="782"/>
      <c r="D11" s="782"/>
    </row>
    <row r="12" spans="2:4" ht="21.6" thickBot="1">
      <c r="B12" s="778"/>
      <c r="C12" s="782"/>
      <c r="D12" s="782"/>
    </row>
    <row r="13" spans="2:4" ht="21.6" thickBot="1">
      <c r="B13" s="16" t="s">
        <v>512</v>
      </c>
      <c r="C13" s="783" t="e">
        <f>#REF!</f>
        <v>#REF!</v>
      </c>
      <c r="D13" s="783"/>
    </row>
    <row r="14" spans="2:4" ht="21.6" thickBot="1">
      <c r="B14" s="16" t="s">
        <v>513</v>
      </c>
      <c r="C14" s="783" t="e">
        <f>#REF!</f>
        <v>#REF!</v>
      </c>
      <c r="D14" s="783"/>
    </row>
    <row r="15" spans="2:4" ht="21.6" thickBot="1">
      <c r="B15" s="16" t="s">
        <v>514</v>
      </c>
      <c r="C15" s="783" t="e">
        <f>#REF!</f>
        <v>#REF!</v>
      </c>
      <c r="D15" s="783"/>
    </row>
    <row r="16" spans="2:4" ht="42.6" thickBot="1">
      <c r="B16" s="16" t="s">
        <v>515</v>
      </c>
      <c r="C16" s="784" t="e">
        <f>#REF!</f>
        <v>#REF!</v>
      </c>
      <c r="D16" s="784"/>
    </row>
    <row r="17" spans="2:4" ht="42.6" thickBot="1">
      <c r="B17" s="16" t="s">
        <v>516</v>
      </c>
      <c r="C17" s="783" t="e">
        <f>#REF!</f>
        <v>#REF!</v>
      </c>
      <c r="D17" s="783"/>
    </row>
    <row r="18" spans="2:4" ht="42.6" thickBot="1">
      <c r="B18" s="16" t="s">
        <v>517</v>
      </c>
      <c r="C18" s="783" t="e">
        <f>#REF!</f>
        <v>#REF!</v>
      </c>
      <c r="D18" s="783"/>
    </row>
    <row r="19" spans="2:4" ht="21.6" thickBot="1">
      <c r="B19" s="15" t="s">
        <v>518</v>
      </c>
      <c r="C19" s="779" t="e">
        <f>#REF!</f>
        <v>#REF!</v>
      </c>
      <c r="D19" s="779"/>
    </row>
  </sheetData>
  <mergeCells count="16">
    <mergeCell ref="C19:D19"/>
    <mergeCell ref="C13:D13"/>
    <mergeCell ref="C14:D14"/>
    <mergeCell ref="C15:D15"/>
    <mergeCell ref="C16:D16"/>
    <mergeCell ref="C17:D17"/>
    <mergeCell ref="C18:D18"/>
    <mergeCell ref="B2:D3"/>
    <mergeCell ref="B9:B12"/>
    <mergeCell ref="C6:D6"/>
    <mergeCell ref="C7:D7"/>
    <mergeCell ref="C8:D8"/>
    <mergeCell ref="C9:D9"/>
    <mergeCell ref="C10:D10"/>
    <mergeCell ref="C11:D11"/>
    <mergeCell ref="C12:D12"/>
  </mergeCells>
  <pageMargins left="0.7" right="0.7" top="0.75" bottom="0.75" header="0.3" footer="0.3"/>
  <pageSetup orientation="landscape"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FFFF00"/>
    <pageSetUpPr autoPageBreaks="0"/>
  </sheetPr>
  <dimension ref="A1:S44"/>
  <sheetViews>
    <sheetView zoomScaleNormal="100" workbookViewId="0">
      <selection activeCell="I25" sqref="I25"/>
    </sheetView>
  </sheetViews>
  <sheetFormatPr defaultColWidth="9.109375" defaultRowHeight="13.8"/>
  <cols>
    <col min="1" max="1" width="26.88671875" style="12" customWidth="1"/>
    <col min="2" max="2" width="9.109375" style="12" customWidth="1"/>
    <col min="3" max="6" width="9.109375" style="12"/>
    <col min="7" max="13" width="11" style="12" customWidth="1"/>
    <col min="14" max="16" width="11" style="11" customWidth="1"/>
    <col min="17" max="19" width="9.109375" style="11"/>
    <col min="20" max="16384" width="9.109375" style="12"/>
  </cols>
  <sheetData>
    <row r="1" spans="1:17">
      <c r="A1" s="792"/>
      <c r="B1" s="785" t="s">
        <v>364</v>
      </c>
      <c r="C1" s="785"/>
      <c r="D1" s="785"/>
      <c r="E1" s="785"/>
      <c r="F1" s="785"/>
      <c r="G1" s="786" t="s">
        <v>519</v>
      </c>
      <c r="H1" s="787"/>
      <c r="I1" s="787"/>
      <c r="J1" s="787"/>
      <c r="K1" s="787"/>
      <c r="L1" s="787"/>
      <c r="M1" s="787"/>
      <c r="N1" s="787"/>
      <c r="O1" s="787"/>
      <c r="P1" s="788"/>
    </row>
    <row r="2" spans="1:17">
      <c r="A2" s="793"/>
      <c r="B2" s="621" t="e">
        <f>#REF!</f>
        <v>#REF!</v>
      </c>
      <c r="C2" s="621" t="e">
        <f>#REF!</f>
        <v>#REF!</v>
      </c>
      <c r="D2" s="621" t="e">
        <f>#REF!</f>
        <v>#REF!</v>
      </c>
      <c r="E2" s="621" t="e">
        <f>#REF!</f>
        <v>#REF!</v>
      </c>
      <c r="F2" s="621" t="e">
        <f>#REF!</f>
        <v>#REF!</v>
      </c>
      <c r="G2" s="622" t="e">
        <f>#REF!</f>
        <v>#REF!</v>
      </c>
      <c r="H2" s="622" t="e">
        <f>#REF!</f>
        <v>#REF!</v>
      </c>
      <c r="I2" s="622" t="e">
        <f>#REF!</f>
        <v>#REF!</v>
      </c>
      <c r="J2" s="622" t="e">
        <f>#REF!</f>
        <v>#REF!</v>
      </c>
      <c r="K2" s="622" t="e">
        <f>#REF!</f>
        <v>#REF!</v>
      </c>
      <c r="L2" s="622" t="e">
        <f>#REF!</f>
        <v>#REF!</v>
      </c>
      <c r="M2" s="622" t="e">
        <f>#REF!</f>
        <v>#REF!</v>
      </c>
      <c r="N2" s="622" t="e">
        <f>#REF!</f>
        <v>#REF!</v>
      </c>
      <c r="O2" s="622" t="e">
        <f>#REF!</f>
        <v>#REF!</v>
      </c>
      <c r="P2" s="622" t="e">
        <f>#REF!</f>
        <v>#REF!</v>
      </c>
      <c r="Q2" s="13"/>
    </row>
    <row r="3" spans="1:17">
      <c r="A3" s="623" t="s">
        <v>229</v>
      </c>
      <c r="B3" s="624" t="e">
        <f>#REF!</f>
        <v>#REF!</v>
      </c>
      <c r="C3" s="624" t="e">
        <f>#REF!</f>
        <v>#REF!</v>
      </c>
      <c r="D3" s="624" t="e">
        <f>#REF!</f>
        <v>#REF!</v>
      </c>
      <c r="E3" s="624" t="e">
        <f>#REF!</f>
        <v>#REF!</v>
      </c>
      <c r="F3" s="624" t="e">
        <f>#REF!</f>
        <v>#REF!</v>
      </c>
      <c r="G3" s="624" t="e">
        <f>#REF!</f>
        <v>#REF!</v>
      </c>
      <c r="H3" s="624" t="e">
        <f>#REF!</f>
        <v>#REF!</v>
      </c>
      <c r="I3" s="624" t="e">
        <f>#REF!</f>
        <v>#REF!</v>
      </c>
      <c r="J3" s="624" t="e">
        <f>#REF!</f>
        <v>#REF!</v>
      </c>
      <c r="K3" s="624" t="e">
        <f>#REF!</f>
        <v>#REF!</v>
      </c>
      <c r="L3" s="624" t="e">
        <f>#REF!</f>
        <v>#REF!</v>
      </c>
      <c r="M3" s="624" t="e">
        <f>#REF!</f>
        <v>#REF!</v>
      </c>
      <c r="N3" s="624" t="e">
        <f>#REF!</f>
        <v>#REF!</v>
      </c>
      <c r="O3" s="624" t="e">
        <f>#REF!</f>
        <v>#REF!</v>
      </c>
      <c r="P3" s="624" t="e">
        <f>#REF!</f>
        <v>#REF!</v>
      </c>
    </row>
    <row r="4" spans="1:17">
      <c r="A4" s="623" t="s">
        <v>239</v>
      </c>
      <c r="B4" s="624" t="e">
        <f>#REF!</f>
        <v>#REF!</v>
      </c>
      <c r="C4" s="624" t="e">
        <f>#REF!</f>
        <v>#REF!</v>
      </c>
      <c r="D4" s="624" t="e">
        <f>#REF!</f>
        <v>#REF!</v>
      </c>
      <c r="E4" s="624" t="e">
        <f>#REF!</f>
        <v>#REF!</v>
      </c>
      <c r="F4" s="624" t="e">
        <f>#REF!</f>
        <v>#REF!</v>
      </c>
      <c r="G4" s="624" t="e">
        <f>#REF!</f>
        <v>#REF!</v>
      </c>
      <c r="H4" s="624" t="e">
        <f>#REF!</f>
        <v>#REF!</v>
      </c>
      <c r="I4" s="624" t="e">
        <f>#REF!</f>
        <v>#REF!</v>
      </c>
      <c r="J4" s="624" t="e">
        <f>#REF!</f>
        <v>#REF!</v>
      </c>
      <c r="K4" s="624" t="e">
        <f>#REF!</f>
        <v>#REF!</v>
      </c>
      <c r="L4" s="624" t="e">
        <f>#REF!</f>
        <v>#REF!</v>
      </c>
      <c r="M4" s="624" t="e">
        <f>#REF!</f>
        <v>#REF!</v>
      </c>
      <c r="N4" s="624" t="e">
        <f>#REF!</f>
        <v>#REF!</v>
      </c>
      <c r="O4" s="624" t="e">
        <f>#REF!</f>
        <v>#REF!</v>
      </c>
      <c r="P4" s="624" t="e">
        <f>#REF!</f>
        <v>#REF!</v>
      </c>
    </row>
    <row r="5" spans="1:17">
      <c r="A5" s="623" t="s">
        <v>302</v>
      </c>
      <c r="B5" s="624" t="e">
        <f>B3-B4</f>
        <v>#REF!</v>
      </c>
      <c r="C5" s="624" t="e">
        <f t="shared" ref="C5:P5" si="0">C3-C4</f>
        <v>#REF!</v>
      </c>
      <c r="D5" s="624" t="e">
        <f t="shared" si="0"/>
        <v>#REF!</v>
      </c>
      <c r="E5" s="624" t="e">
        <f t="shared" si="0"/>
        <v>#REF!</v>
      </c>
      <c r="F5" s="624" t="e">
        <f t="shared" si="0"/>
        <v>#REF!</v>
      </c>
      <c r="G5" s="624" t="e">
        <f t="shared" si="0"/>
        <v>#REF!</v>
      </c>
      <c r="H5" s="624" t="e">
        <f t="shared" si="0"/>
        <v>#REF!</v>
      </c>
      <c r="I5" s="624" t="e">
        <f t="shared" si="0"/>
        <v>#REF!</v>
      </c>
      <c r="J5" s="624" t="e">
        <f t="shared" si="0"/>
        <v>#REF!</v>
      </c>
      <c r="K5" s="624" t="e">
        <f t="shared" si="0"/>
        <v>#REF!</v>
      </c>
      <c r="L5" s="624" t="e">
        <f t="shared" si="0"/>
        <v>#REF!</v>
      </c>
      <c r="M5" s="624" t="e">
        <f t="shared" si="0"/>
        <v>#REF!</v>
      </c>
      <c r="N5" s="624" t="e">
        <f t="shared" si="0"/>
        <v>#REF!</v>
      </c>
      <c r="O5" s="624" t="e">
        <f t="shared" si="0"/>
        <v>#REF!</v>
      </c>
      <c r="P5" s="624" t="e">
        <f t="shared" si="0"/>
        <v>#REF!</v>
      </c>
    </row>
    <row r="6" spans="1:17">
      <c r="A6" s="623" t="s">
        <v>230</v>
      </c>
      <c r="B6" s="624" t="e">
        <f>#REF!</f>
        <v>#REF!</v>
      </c>
      <c r="C6" s="624" t="e">
        <f>#REF!</f>
        <v>#REF!</v>
      </c>
      <c r="D6" s="624" t="e">
        <f>#REF!</f>
        <v>#REF!</v>
      </c>
      <c r="E6" s="624" t="e">
        <f>#REF!</f>
        <v>#REF!</v>
      </c>
      <c r="F6" s="624" t="e">
        <f>#REF!</f>
        <v>#REF!</v>
      </c>
      <c r="G6" s="624" t="e">
        <f>#REF!</f>
        <v>#REF!</v>
      </c>
      <c r="H6" s="624" t="e">
        <f>#REF!</f>
        <v>#REF!</v>
      </c>
      <c r="I6" s="624" t="e">
        <f>#REF!</f>
        <v>#REF!</v>
      </c>
      <c r="J6" s="624" t="e">
        <f>#REF!</f>
        <v>#REF!</v>
      </c>
      <c r="K6" s="624" t="e">
        <f>#REF!</f>
        <v>#REF!</v>
      </c>
      <c r="L6" s="624" t="e">
        <f>#REF!</f>
        <v>#REF!</v>
      </c>
      <c r="M6" s="624" t="e">
        <f>#REF!</f>
        <v>#REF!</v>
      </c>
      <c r="N6" s="624" t="e">
        <f>#REF!</f>
        <v>#REF!</v>
      </c>
      <c r="O6" s="624" t="e">
        <f>#REF!</f>
        <v>#REF!</v>
      </c>
      <c r="P6" s="624" t="e">
        <f>#REF!</f>
        <v>#REF!</v>
      </c>
    </row>
    <row r="7" spans="1:17">
      <c r="A7" s="623" t="s">
        <v>240</v>
      </c>
      <c r="B7" s="624" t="e">
        <f>#REF!</f>
        <v>#REF!</v>
      </c>
      <c r="C7" s="624" t="e">
        <f>#REF!</f>
        <v>#REF!</v>
      </c>
      <c r="D7" s="624" t="e">
        <f>#REF!</f>
        <v>#REF!</v>
      </c>
      <c r="E7" s="624" t="e">
        <f>#REF!</f>
        <v>#REF!</v>
      </c>
      <c r="F7" s="624" t="e">
        <f>#REF!</f>
        <v>#REF!</v>
      </c>
      <c r="G7" s="624" t="e">
        <f>#REF!</f>
        <v>#REF!</v>
      </c>
      <c r="H7" s="624" t="e">
        <f>#REF!</f>
        <v>#REF!</v>
      </c>
      <c r="I7" s="624" t="e">
        <f>#REF!</f>
        <v>#REF!</v>
      </c>
      <c r="J7" s="624" t="e">
        <f>#REF!</f>
        <v>#REF!</v>
      </c>
      <c r="K7" s="624" t="e">
        <f>#REF!</f>
        <v>#REF!</v>
      </c>
      <c r="L7" s="624" t="e">
        <f>#REF!</f>
        <v>#REF!</v>
      </c>
      <c r="M7" s="624" t="e">
        <f>#REF!</f>
        <v>#REF!</v>
      </c>
      <c r="N7" s="624" t="e">
        <f>#REF!</f>
        <v>#REF!</v>
      </c>
      <c r="O7" s="624" t="e">
        <f>#REF!</f>
        <v>#REF!</v>
      </c>
      <c r="P7" s="624" t="e">
        <f>#REF!</f>
        <v>#REF!</v>
      </c>
    </row>
    <row r="8" spans="1:17">
      <c r="A8" s="623" t="s">
        <v>303</v>
      </c>
      <c r="B8" s="624" t="e">
        <f>#REF!</f>
        <v>#REF!</v>
      </c>
      <c r="C8" s="624" t="e">
        <f>#REF!</f>
        <v>#REF!</v>
      </c>
      <c r="D8" s="624" t="e">
        <f>#REF!</f>
        <v>#REF!</v>
      </c>
      <c r="E8" s="624" t="e">
        <f>#REF!</f>
        <v>#REF!</v>
      </c>
      <c r="F8" s="624" t="e">
        <f>#REF!</f>
        <v>#REF!</v>
      </c>
      <c r="G8" s="624" t="e">
        <f>#REF!</f>
        <v>#REF!</v>
      </c>
      <c r="H8" s="624" t="e">
        <f>#REF!</f>
        <v>#REF!</v>
      </c>
      <c r="I8" s="624" t="e">
        <f>#REF!</f>
        <v>#REF!</v>
      </c>
      <c r="J8" s="624" t="e">
        <f>#REF!</f>
        <v>#REF!</v>
      </c>
      <c r="K8" s="624" t="e">
        <f>#REF!</f>
        <v>#REF!</v>
      </c>
      <c r="L8" s="624" t="e">
        <f>#REF!</f>
        <v>#REF!</v>
      </c>
      <c r="M8" s="624" t="e">
        <f>#REF!</f>
        <v>#REF!</v>
      </c>
      <c r="N8" s="624" t="e">
        <f>#REF!</f>
        <v>#REF!</v>
      </c>
      <c r="O8" s="624" t="e">
        <f>#REF!</f>
        <v>#REF!</v>
      </c>
      <c r="P8" s="624" t="e">
        <f>#REF!</f>
        <v>#REF!</v>
      </c>
    </row>
    <row r="9" spans="1:17">
      <c r="A9" s="623" t="s">
        <v>47</v>
      </c>
      <c r="B9" s="624" t="e">
        <f>#REF!</f>
        <v>#REF!</v>
      </c>
      <c r="C9" s="624" t="e">
        <f>#REF!</f>
        <v>#REF!</v>
      </c>
      <c r="D9" s="624" t="e">
        <f>#REF!</f>
        <v>#REF!</v>
      </c>
      <c r="E9" s="624" t="e">
        <f>#REF!</f>
        <v>#REF!</v>
      </c>
      <c r="F9" s="624" t="e">
        <f>#REF!</f>
        <v>#REF!</v>
      </c>
      <c r="G9" s="624" t="e">
        <f>#REF!</f>
        <v>#REF!</v>
      </c>
      <c r="H9" s="624" t="e">
        <f>#REF!</f>
        <v>#REF!</v>
      </c>
      <c r="I9" s="624" t="e">
        <f>#REF!</f>
        <v>#REF!</v>
      </c>
      <c r="J9" s="624" t="e">
        <f>#REF!</f>
        <v>#REF!</v>
      </c>
      <c r="K9" s="624" t="e">
        <f>#REF!</f>
        <v>#REF!</v>
      </c>
      <c r="L9" s="624" t="e">
        <f>#REF!</f>
        <v>#REF!</v>
      </c>
      <c r="M9" s="624" t="e">
        <f>#REF!</f>
        <v>#REF!</v>
      </c>
      <c r="N9" s="624" t="e">
        <f>#REF!</f>
        <v>#REF!</v>
      </c>
      <c r="O9" s="624" t="e">
        <f>#REF!</f>
        <v>#REF!</v>
      </c>
      <c r="P9" s="624" t="e">
        <f>#REF!</f>
        <v>#REF!</v>
      </c>
    </row>
    <row r="10" spans="1:17">
      <c r="A10" s="623" t="s">
        <v>261</v>
      </c>
      <c r="B10" s="624" t="e">
        <f>#REF!</f>
        <v>#REF!</v>
      </c>
      <c r="C10" s="624" t="e">
        <f>#REF!</f>
        <v>#REF!</v>
      </c>
      <c r="D10" s="624" t="e">
        <f>#REF!</f>
        <v>#REF!</v>
      </c>
      <c r="E10" s="624" t="e">
        <f>#REF!</f>
        <v>#REF!</v>
      </c>
      <c r="F10" s="624" t="e">
        <f>#REF!</f>
        <v>#REF!</v>
      </c>
      <c r="G10" s="624" t="e">
        <f>#REF!</f>
        <v>#REF!</v>
      </c>
      <c r="H10" s="624" t="e">
        <f>#REF!</f>
        <v>#REF!</v>
      </c>
      <c r="I10" s="624" t="e">
        <f>#REF!</f>
        <v>#REF!</v>
      </c>
      <c r="J10" s="624" t="e">
        <f>#REF!</f>
        <v>#REF!</v>
      </c>
      <c r="K10" s="624" t="e">
        <f>#REF!</f>
        <v>#REF!</v>
      </c>
      <c r="L10" s="624" t="e">
        <f>#REF!</f>
        <v>#REF!</v>
      </c>
      <c r="M10" s="624" t="e">
        <f>#REF!</f>
        <v>#REF!</v>
      </c>
      <c r="N10" s="624" t="e">
        <f>#REF!</f>
        <v>#REF!</v>
      </c>
      <c r="O10" s="624" t="e">
        <f>#REF!</f>
        <v>#REF!</v>
      </c>
      <c r="P10" s="624" t="e">
        <f>#REF!</f>
        <v>#REF!</v>
      </c>
    </row>
    <row r="11" spans="1:17" s="11" customFormat="1">
      <c r="A11" s="623" t="s">
        <v>270</v>
      </c>
      <c r="B11" s="624" t="e">
        <f>#REF!</f>
        <v>#REF!</v>
      </c>
      <c r="C11" s="624" t="e">
        <f>#REF!</f>
        <v>#REF!</v>
      </c>
      <c r="D11" s="624" t="e">
        <f>#REF!</f>
        <v>#REF!</v>
      </c>
      <c r="E11" s="624" t="e">
        <f>#REF!</f>
        <v>#REF!</v>
      </c>
      <c r="F11" s="624" t="e">
        <f>#REF!</f>
        <v>#REF!</v>
      </c>
      <c r="G11" s="624" t="e">
        <f>#REF!</f>
        <v>#REF!</v>
      </c>
      <c r="H11" s="624" t="e">
        <f>#REF!</f>
        <v>#REF!</v>
      </c>
      <c r="I11" s="624" t="e">
        <f>#REF!</f>
        <v>#REF!</v>
      </c>
      <c r="J11" s="624" t="e">
        <f>#REF!</f>
        <v>#REF!</v>
      </c>
      <c r="K11" s="624" t="e">
        <f>#REF!</f>
        <v>#REF!</v>
      </c>
      <c r="L11" s="624" t="e">
        <f>#REF!</f>
        <v>#REF!</v>
      </c>
      <c r="M11" s="624" t="e">
        <f>#REF!</f>
        <v>#REF!</v>
      </c>
      <c r="N11" s="624" t="e">
        <f>#REF!</f>
        <v>#REF!</v>
      </c>
      <c r="O11" s="624" t="e">
        <f>#REF!</f>
        <v>#REF!</v>
      </c>
      <c r="P11" s="624" t="e">
        <f>#REF!</f>
        <v>#REF!</v>
      </c>
    </row>
    <row r="12" spans="1:17" s="11" customFormat="1">
      <c r="A12" s="623" t="s">
        <v>305</v>
      </c>
      <c r="B12" s="624" t="e">
        <f>#REF!</f>
        <v>#REF!</v>
      </c>
      <c r="C12" s="624" t="e">
        <f>#REF!</f>
        <v>#REF!</v>
      </c>
      <c r="D12" s="624" t="e">
        <f>#REF!</f>
        <v>#REF!</v>
      </c>
      <c r="E12" s="624" t="e">
        <f>#REF!</f>
        <v>#REF!</v>
      </c>
      <c r="F12" s="624" t="e">
        <f>#REF!</f>
        <v>#REF!</v>
      </c>
      <c r="G12" s="624" t="e">
        <f>#REF!</f>
        <v>#REF!</v>
      </c>
      <c r="H12" s="624" t="e">
        <f>#REF!</f>
        <v>#REF!</v>
      </c>
      <c r="I12" s="624" t="e">
        <f>#REF!</f>
        <v>#REF!</v>
      </c>
      <c r="J12" s="624" t="e">
        <f>#REF!</f>
        <v>#REF!</v>
      </c>
      <c r="K12" s="624" t="e">
        <f>#REF!</f>
        <v>#REF!</v>
      </c>
      <c r="L12" s="624" t="e">
        <f>#REF!</f>
        <v>#REF!</v>
      </c>
      <c r="M12" s="624" t="e">
        <f>#REF!</f>
        <v>#REF!</v>
      </c>
      <c r="N12" s="624" t="e">
        <f>#REF!</f>
        <v>#REF!</v>
      </c>
      <c r="O12" s="624" t="e">
        <f>#REF!</f>
        <v>#REF!</v>
      </c>
      <c r="P12" s="624" t="e">
        <f>#REF!</f>
        <v>#REF!</v>
      </c>
    </row>
    <row r="13" spans="1:17" s="11" customFormat="1">
      <c r="A13" s="623" t="s">
        <v>306</v>
      </c>
      <c r="B13" s="624" t="e">
        <f>#REF!</f>
        <v>#REF!</v>
      </c>
      <c r="C13" s="624" t="e">
        <f>#REF!</f>
        <v>#REF!</v>
      </c>
      <c r="D13" s="624" t="e">
        <f>#REF!</f>
        <v>#REF!</v>
      </c>
      <c r="E13" s="624" t="e">
        <f>#REF!</f>
        <v>#REF!</v>
      </c>
      <c r="F13" s="624" t="e">
        <f>#REF!</f>
        <v>#REF!</v>
      </c>
      <c r="G13" s="624" t="e">
        <f>#REF!</f>
        <v>#REF!</v>
      </c>
      <c r="H13" s="624" t="e">
        <f>#REF!</f>
        <v>#REF!</v>
      </c>
      <c r="I13" s="624" t="e">
        <f>#REF!</f>
        <v>#REF!</v>
      </c>
      <c r="J13" s="624" t="e">
        <f>#REF!</f>
        <v>#REF!</v>
      </c>
      <c r="K13" s="624" t="e">
        <f>#REF!</f>
        <v>#REF!</v>
      </c>
      <c r="L13" s="624" t="e">
        <f>#REF!</f>
        <v>#REF!</v>
      </c>
      <c r="M13" s="624" t="e">
        <f>#REF!</f>
        <v>#REF!</v>
      </c>
      <c r="N13" s="624" t="e">
        <f>#REF!</f>
        <v>#REF!</v>
      </c>
      <c r="O13" s="624" t="e">
        <f>#REF!</f>
        <v>#REF!</v>
      </c>
      <c r="P13" s="624" t="e">
        <f>#REF!</f>
        <v>#REF!</v>
      </c>
    </row>
    <row r="14" spans="1:17" s="11" customFormat="1">
      <c r="A14" s="794" t="s">
        <v>520</v>
      </c>
      <c r="B14" s="795"/>
      <c r="C14" s="795"/>
      <c r="D14" s="795"/>
      <c r="E14" s="795"/>
      <c r="F14" s="795"/>
      <c r="G14" s="795"/>
      <c r="H14" s="795"/>
      <c r="I14" s="795"/>
      <c r="J14" s="795"/>
      <c r="K14" s="795"/>
      <c r="L14" s="795"/>
      <c r="M14" s="795"/>
      <c r="N14" s="795"/>
      <c r="O14" s="795"/>
      <c r="P14" s="796"/>
    </row>
    <row r="15" spans="1:17" s="11" customFormat="1">
      <c r="A15" s="623" t="s">
        <v>308</v>
      </c>
      <c r="B15" s="625" t="e">
        <f>#REF!</f>
        <v>#REF!</v>
      </c>
      <c r="C15" s="625" t="e">
        <f>#REF!</f>
        <v>#REF!</v>
      </c>
      <c r="D15" s="625" t="e">
        <f>#REF!</f>
        <v>#REF!</v>
      </c>
      <c r="E15" s="625" t="e">
        <f>#REF!</f>
        <v>#REF!</v>
      </c>
      <c r="F15" s="625" t="e">
        <f>#REF!</f>
        <v>#REF!</v>
      </c>
      <c r="G15" s="625" t="e">
        <f>#REF!</f>
        <v>#REF!</v>
      </c>
      <c r="H15" s="625" t="e">
        <f>#REF!</f>
        <v>#REF!</v>
      </c>
      <c r="I15" s="625" t="e">
        <f>#REF!</f>
        <v>#REF!</v>
      </c>
      <c r="J15" s="625" t="e">
        <f>#REF!</f>
        <v>#REF!</v>
      </c>
      <c r="K15" s="625" t="e">
        <f>#REF!</f>
        <v>#REF!</v>
      </c>
      <c r="L15" s="625" t="e">
        <f>#REF!</f>
        <v>#REF!</v>
      </c>
      <c r="M15" s="625" t="e">
        <f>#REF!</f>
        <v>#REF!</v>
      </c>
      <c r="N15" s="625" t="e">
        <f>#REF!</f>
        <v>#REF!</v>
      </c>
      <c r="O15" s="625" t="e">
        <f>#REF!</f>
        <v>#REF!</v>
      </c>
      <c r="P15" s="625" t="e">
        <f>#REF!</f>
        <v>#REF!</v>
      </c>
    </row>
    <row r="16" spans="1:17" s="11" customFormat="1">
      <c r="A16" s="623" t="s">
        <v>309</v>
      </c>
      <c r="B16" s="625" t="e">
        <f>#REF!</f>
        <v>#REF!</v>
      </c>
      <c r="C16" s="625" t="e">
        <f>#REF!</f>
        <v>#REF!</v>
      </c>
      <c r="D16" s="625" t="e">
        <f>#REF!</f>
        <v>#REF!</v>
      </c>
      <c r="E16" s="625" t="e">
        <f>#REF!</f>
        <v>#REF!</v>
      </c>
      <c r="F16" s="625" t="e">
        <f>#REF!</f>
        <v>#REF!</v>
      </c>
      <c r="G16" s="625" t="e">
        <f>#REF!</f>
        <v>#REF!</v>
      </c>
      <c r="H16" s="625" t="e">
        <f>#REF!</f>
        <v>#REF!</v>
      </c>
      <c r="I16" s="625" t="e">
        <f>#REF!</f>
        <v>#REF!</v>
      </c>
      <c r="J16" s="625" t="e">
        <f>#REF!</f>
        <v>#REF!</v>
      </c>
      <c r="K16" s="625" t="e">
        <f>#REF!</f>
        <v>#REF!</v>
      </c>
      <c r="L16" s="625" t="e">
        <f>#REF!</f>
        <v>#REF!</v>
      </c>
      <c r="M16" s="625" t="e">
        <f>#REF!</f>
        <v>#REF!</v>
      </c>
      <c r="N16" s="625" t="e">
        <f>#REF!</f>
        <v>#REF!</v>
      </c>
      <c r="O16" s="625" t="e">
        <f>#REF!</f>
        <v>#REF!</v>
      </c>
      <c r="P16" s="625" t="e">
        <f>#REF!</f>
        <v>#REF!</v>
      </c>
    </row>
    <row r="17" spans="1:16" s="11" customFormat="1">
      <c r="A17" s="623" t="s">
        <v>521</v>
      </c>
      <c r="B17" s="625" t="e">
        <f>#REF!</f>
        <v>#REF!</v>
      </c>
      <c r="C17" s="625" t="e">
        <f>#REF!</f>
        <v>#REF!</v>
      </c>
      <c r="D17" s="625" t="e">
        <f>#REF!</f>
        <v>#REF!</v>
      </c>
      <c r="E17" s="625" t="e">
        <f>#REF!</f>
        <v>#REF!</v>
      </c>
      <c r="F17" s="625" t="e">
        <f>#REF!</f>
        <v>#REF!</v>
      </c>
      <c r="G17" s="625" t="e">
        <f>#REF!</f>
        <v>#REF!</v>
      </c>
      <c r="H17" s="625" t="e">
        <f>#REF!</f>
        <v>#REF!</v>
      </c>
      <c r="I17" s="625" t="e">
        <f>#REF!</f>
        <v>#REF!</v>
      </c>
      <c r="J17" s="625" t="e">
        <f>#REF!</f>
        <v>#REF!</v>
      </c>
      <c r="K17" s="625" t="e">
        <f>#REF!</f>
        <v>#REF!</v>
      </c>
      <c r="L17" s="625" t="e">
        <f>#REF!</f>
        <v>#REF!</v>
      </c>
      <c r="M17" s="625" t="e">
        <f>#REF!</f>
        <v>#REF!</v>
      </c>
      <c r="N17" s="625" t="e">
        <f>#REF!</f>
        <v>#REF!</v>
      </c>
      <c r="O17" s="625" t="e">
        <f>#REF!</f>
        <v>#REF!</v>
      </c>
      <c r="P17" s="625" t="e">
        <f>#REF!</f>
        <v>#REF!</v>
      </c>
    </row>
    <row r="18" spans="1:16" s="11" customFormat="1">
      <c r="A18" s="623" t="s">
        <v>311</v>
      </c>
      <c r="B18" s="626" t="e">
        <f>#REF!</f>
        <v>#REF!</v>
      </c>
      <c r="C18" s="626" t="e">
        <f>#REF!</f>
        <v>#REF!</v>
      </c>
      <c r="D18" s="626" t="e">
        <f>#REF!</f>
        <v>#REF!</v>
      </c>
      <c r="E18" s="626" t="e">
        <f>#REF!</f>
        <v>#REF!</v>
      </c>
      <c r="F18" s="626" t="e">
        <f>#REF!</f>
        <v>#REF!</v>
      </c>
      <c r="G18" s="626" t="e">
        <f>#REF!</f>
        <v>#REF!</v>
      </c>
      <c r="H18" s="627" t="e">
        <f>#REF!</f>
        <v>#REF!</v>
      </c>
      <c r="I18" s="627" t="e">
        <f>#REF!</f>
        <v>#REF!</v>
      </c>
      <c r="J18" s="627" t="e">
        <f>#REF!</f>
        <v>#REF!</v>
      </c>
      <c r="K18" s="627" t="e">
        <f>#REF!</f>
        <v>#REF!</v>
      </c>
      <c r="L18" s="627" t="e">
        <f>#REF!</f>
        <v>#REF!</v>
      </c>
      <c r="M18" s="627" t="e">
        <f>#REF!</f>
        <v>#REF!</v>
      </c>
      <c r="N18" s="627" t="e">
        <f>#REF!</f>
        <v>#REF!</v>
      </c>
      <c r="O18" s="627" t="e">
        <f>#REF!</f>
        <v>#REF!</v>
      </c>
      <c r="P18" s="627" t="e">
        <f>#REF!</f>
        <v>#REF!</v>
      </c>
    </row>
    <row r="19" spans="1:16" s="11" customFormat="1">
      <c r="A19" s="623" t="s">
        <v>522</v>
      </c>
      <c r="B19" s="626" t="e">
        <f>#REF!</f>
        <v>#REF!</v>
      </c>
      <c r="C19" s="626" t="e">
        <f>#REF!</f>
        <v>#REF!</v>
      </c>
      <c r="D19" s="626" t="e">
        <f>#REF!</f>
        <v>#REF!</v>
      </c>
      <c r="E19" s="626" t="e">
        <f>#REF!</f>
        <v>#REF!</v>
      </c>
      <c r="F19" s="626" t="e">
        <f>#REF!</f>
        <v>#REF!</v>
      </c>
      <c r="G19" s="626" t="e">
        <f>#REF!</f>
        <v>#REF!</v>
      </c>
      <c r="H19" s="627" t="e">
        <f>#REF!</f>
        <v>#REF!</v>
      </c>
      <c r="I19" s="627" t="e">
        <f>#REF!</f>
        <v>#REF!</v>
      </c>
      <c r="J19" s="627" t="e">
        <f>#REF!</f>
        <v>#REF!</v>
      </c>
      <c r="K19" s="627" t="e">
        <f>#REF!</f>
        <v>#REF!</v>
      </c>
      <c r="L19" s="627" t="e">
        <f>#REF!</f>
        <v>#REF!</v>
      </c>
      <c r="M19" s="627" t="e">
        <f>#REF!</f>
        <v>#REF!</v>
      </c>
      <c r="N19" s="627" t="e">
        <f>#REF!</f>
        <v>#REF!</v>
      </c>
      <c r="O19" s="627" t="e">
        <f>#REF!</f>
        <v>#REF!</v>
      </c>
      <c r="P19" s="627" t="e">
        <f>#REF!</f>
        <v>#REF!</v>
      </c>
    </row>
    <row r="20" spans="1:16" s="11" customFormat="1">
      <c r="A20" s="623" t="s">
        <v>313</v>
      </c>
      <c r="B20" s="626" t="e">
        <f>#REF!</f>
        <v>#REF!</v>
      </c>
      <c r="C20" s="626" t="e">
        <f>#REF!</f>
        <v>#REF!</v>
      </c>
      <c r="D20" s="626" t="e">
        <f>#REF!</f>
        <v>#REF!</v>
      </c>
      <c r="E20" s="626" t="e">
        <f>#REF!</f>
        <v>#REF!</v>
      </c>
      <c r="F20" s="626" t="e">
        <f>#REF!</f>
        <v>#REF!</v>
      </c>
      <c r="G20" s="626" t="e">
        <f>#REF!</f>
        <v>#REF!</v>
      </c>
      <c r="H20" s="627" t="e">
        <f>#REF!</f>
        <v>#REF!</v>
      </c>
      <c r="I20" s="627" t="e">
        <f>#REF!</f>
        <v>#REF!</v>
      </c>
      <c r="J20" s="627" t="e">
        <f>#REF!</f>
        <v>#REF!</v>
      </c>
      <c r="K20" s="627" t="e">
        <f>#REF!</f>
        <v>#REF!</v>
      </c>
      <c r="L20" s="627" t="e">
        <f>#REF!</f>
        <v>#REF!</v>
      </c>
      <c r="M20" s="627" t="e">
        <f>#REF!</f>
        <v>#REF!</v>
      </c>
      <c r="N20" s="627" t="e">
        <f>#REF!</f>
        <v>#REF!</v>
      </c>
      <c r="O20" s="627" t="e">
        <f>#REF!</f>
        <v>#REF!</v>
      </c>
      <c r="P20" s="627" t="e">
        <f>#REF!</f>
        <v>#REF!</v>
      </c>
    </row>
    <row r="21" spans="1:16" s="11" customFormat="1" ht="18" customHeight="1" thickBot="1">
      <c r="A21" s="10"/>
      <c r="B21" s="10"/>
      <c r="C21" s="10"/>
      <c r="D21" s="10"/>
      <c r="E21" s="10"/>
      <c r="F21" s="10"/>
      <c r="G21" s="10"/>
      <c r="H21" s="10"/>
      <c r="I21" s="10"/>
      <c r="J21" s="10"/>
      <c r="K21" s="10"/>
      <c r="L21" s="10"/>
      <c r="M21" s="10"/>
      <c r="N21" s="10"/>
    </row>
    <row r="22" spans="1:16" s="11" customFormat="1" ht="14.4" thickBot="1">
      <c r="A22" s="10"/>
      <c r="B22" s="789" t="s">
        <v>523</v>
      </c>
      <c r="C22" s="790"/>
      <c r="D22" s="790"/>
      <c r="E22" s="791"/>
      <c r="F22" s="17" t="e">
        <f>AVERAGE(I17:M17)</f>
        <v>#REF!</v>
      </c>
      <c r="G22" s="10"/>
      <c r="H22" s="10"/>
      <c r="I22" s="10"/>
      <c r="J22" s="10"/>
      <c r="K22" s="10"/>
      <c r="L22" s="10"/>
      <c r="M22" s="10"/>
      <c r="N22" s="10"/>
    </row>
    <row r="23" spans="1:16" s="11" customFormat="1"/>
    <row r="24" spans="1:16" s="11" customFormat="1"/>
    <row r="25" spans="1:16" s="11" customFormat="1"/>
    <row r="26" spans="1:16" s="11" customFormat="1"/>
    <row r="27" spans="1:16" s="11" customFormat="1">
      <c r="K27" s="18"/>
    </row>
    <row r="28" spans="1:16" s="11" customFormat="1"/>
    <row r="29" spans="1:16" s="11" customFormat="1"/>
    <row r="30" spans="1:16" s="11" customFormat="1"/>
    <row r="31" spans="1:16" s="11" customFormat="1"/>
    <row r="32" spans="1:16" s="11" customFormat="1"/>
    <row r="33" s="11" customFormat="1"/>
    <row r="34" s="11" customFormat="1"/>
    <row r="35" s="11" customFormat="1"/>
    <row r="36" s="11" customFormat="1"/>
    <row r="37" s="11" customFormat="1"/>
    <row r="38" s="11" customFormat="1"/>
    <row r="39" s="11" customFormat="1"/>
    <row r="40" s="11" customFormat="1"/>
    <row r="41" s="11" customFormat="1"/>
    <row r="42" s="11" customFormat="1"/>
    <row r="43" s="11" customFormat="1"/>
    <row r="44" s="11" customFormat="1"/>
  </sheetData>
  <mergeCells count="5">
    <mergeCell ref="B1:F1"/>
    <mergeCell ref="G1:P1"/>
    <mergeCell ref="B22:E22"/>
    <mergeCell ref="A1:A2"/>
    <mergeCell ref="A14:P14"/>
  </mergeCells>
  <pageMargins left="0.7" right="0.7" top="0.75" bottom="0.75" header="0.3" footer="0.3"/>
  <pageSetup orientation="portrait" r:id="rId1"/>
  <headerFooter>
    <oddFooter>&amp;L&amp;"Arial,Regular"&amp;12&amp;B&amp;K000000Classification: &amp;B&amp;"Times New Roman,Regular"&amp;12&amp;U&amp;KFFCC00Confidential</oddFooter>
    <evenFooter>&amp;L&amp;"Arial,Regular"&amp;12&amp;B&amp;K000000Classification: &amp;B&amp;"Times New Roman,Regular"&amp;12&amp;U&amp;KFFCC00Confidential</evenFooter>
    <firstFooter>&amp;L&amp;"Arial,Regular"&amp;12&amp;B&amp;K000000Classification: &amp;B&amp;"Times New Roman,Regular"&amp;12&amp;U&amp;KFFCC00Confidential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9a89176b-3108-49bf-ba58-98a2778373cd" origin="userSelected">
  <element uid="id_classification_generalbusiness" value=""/>
</sisl>
</file>

<file path=customXml/itemProps1.xml><?xml version="1.0" encoding="utf-8"?>
<ds:datastoreItem xmlns:ds="http://schemas.openxmlformats.org/officeDocument/2006/customXml" ds:itemID="{5E3DF2B8-CF22-4F5D-BF3A-80D7FEBB695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105</vt:i4>
      </vt:variant>
    </vt:vector>
  </HeadingPairs>
  <TitlesOfParts>
    <vt:vector size="130" baseType="lpstr">
      <vt:lpstr>BSL_AC</vt:lpstr>
      <vt:lpstr>BSA_AC</vt:lpstr>
      <vt:lpstr>IS_AC</vt:lpstr>
      <vt:lpstr>FS</vt:lpstr>
      <vt:lpstr>GAV</vt:lpstr>
      <vt:lpstr>Assumptions</vt:lpstr>
      <vt:lpstr>Financial Stat.</vt:lpstr>
      <vt:lpstr>Attachment "A"</vt:lpstr>
      <vt:lpstr>IS</vt:lpstr>
      <vt:lpstr>BSA</vt:lpstr>
      <vt:lpstr>BSL</vt:lpstr>
      <vt:lpstr>SA</vt:lpstr>
      <vt:lpstr>NPV</vt:lpstr>
      <vt:lpstr>IRR</vt:lpstr>
      <vt:lpstr>LIRR</vt:lpstr>
      <vt:lpstr>ULIRR</vt:lpstr>
      <vt:lpstr>SAC</vt:lpstr>
      <vt:lpstr>ATT_D</vt:lpstr>
      <vt:lpstr>ATT_C</vt:lpstr>
      <vt:lpstr>ATT_B</vt:lpstr>
      <vt:lpstr>WC</vt:lpstr>
      <vt:lpstr>AA</vt:lpstr>
      <vt:lpstr>SF</vt:lpstr>
      <vt:lpstr>Attachment E</vt:lpstr>
      <vt:lpstr>Summ.</vt:lpstr>
      <vt:lpstr>Assumptions!\T</vt:lpstr>
      <vt:lpstr>'Financial Stat.'!\T</vt:lpstr>
      <vt:lpstr>Assumptions!_1_1</vt:lpstr>
      <vt:lpstr>'Financial Stat.'!_1_1</vt:lpstr>
      <vt:lpstr>Assumptions!_10_19</vt:lpstr>
      <vt:lpstr>'Financial Stat.'!_10_19</vt:lpstr>
      <vt:lpstr>Assumptions!_11_2</vt:lpstr>
      <vt:lpstr>'Financial Stat.'!_11_2</vt:lpstr>
      <vt:lpstr>Assumptions!_12_20</vt:lpstr>
      <vt:lpstr>'Financial Stat.'!_12_20</vt:lpstr>
      <vt:lpstr>Assumptions!_13_5</vt:lpstr>
      <vt:lpstr>'Financial Stat.'!_13_5</vt:lpstr>
      <vt:lpstr>Assumptions!_14_6</vt:lpstr>
      <vt:lpstr>'Financial Stat.'!_14_6</vt:lpstr>
      <vt:lpstr>Assumptions!_15_9</vt:lpstr>
      <vt:lpstr>'Financial Stat.'!_15_9</vt:lpstr>
      <vt:lpstr>Assumptions!_2_10</vt:lpstr>
      <vt:lpstr>'Financial Stat.'!_2_10</vt:lpstr>
      <vt:lpstr>'Financial Stat.'!_21SOURCE_APPL</vt:lpstr>
      <vt:lpstr>Assumptions!_22VA_CI</vt:lpstr>
      <vt:lpstr>'Financial Stat.'!_22VA_CI</vt:lpstr>
      <vt:lpstr>'Financial Stat.'!_23VA_CI_STAT</vt:lpstr>
      <vt:lpstr>Assumptions!_3_12</vt:lpstr>
      <vt:lpstr>'Financial Stat.'!_3_12</vt:lpstr>
      <vt:lpstr>Assumptions!_4_13</vt:lpstr>
      <vt:lpstr>'Financial Stat.'!_4_13</vt:lpstr>
      <vt:lpstr>Assumptions!_5_14</vt:lpstr>
      <vt:lpstr>'Financial Stat.'!_5_14</vt:lpstr>
      <vt:lpstr>Assumptions!_6_15</vt:lpstr>
      <vt:lpstr>'Financial Stat.'!_6_15</vt:lpstr>
      <vt:lpstr>Assumptions!_7_16</vt:lpstr>
      <vt:lpstr>'Financial Stat.'!_7_16</vt:lpstr>
      <vt:lpstr>Assumptions!_8_17</vt:lpstr>
      <vt:lpstr>'Financial Stat.'!_8_17</vt:lpstr>
      <vt:lpstr>Assumptions!_9_18</vt:lpstr>
      <vt:lpstr>'Financial Stat.'!_9_18</vt:lpstr>
      <vt:lpstr>Assumptions!_R</vt:lpstr>
      <vt:lpstr>'Financial Stat.'!_R</vt:lpstr>
      <vt:lpstr>Assumptions!BASEYEAR</vt:lpstr>
      <vt:lpstr>'Financial Stat.'!BASEYEAR</vt:lpstr>
      <vt:lpstr>Assumptions!BS</vt:lpstr>
      <vt:lpstr>'Financial Stat.'!BS</vt:lpstr>
      <vt:lpstr>'Financial Stat.'!BS_ASSETS</vt:lpstr>
      <vt:lpstr>'Financial Stat.'!BS_LIABILITIES</vt:lpstr>
      <vt:lpstr>'Financial Stat.'!DA</vt:lpstr>
      <vt:lpstr>Assumptions!DIR_LAB</vt:lpstr>
      <vt:lpstr>'Financial Stat.'!DIR_LAB</vt:lpstr>
      <vt:lpstr>Assumptions!FINANCE</vt:lpstr>
      <vt:lpstr>'Financial Stat.'!FINANCE</vt:lpstr>
      <vt:lpstr>Assumptions!FIX_INTANG</vt:lpstr>
      <vt:lpstr>'Financial Stat.'!FIX_INTANG</vt:lpstr>
      <vt:lpstr>'Financial Stat.'!FORECAST</vt:lpstr>
      <vt:lpstr>Assumptions!H_1</vt:lpstr>
      <vt:lpstr>'Financial Stat.'!H_1</vt:lpstr>
      <vt:lpstr>Assumptions!H_2</vt:lpstr>
      <vt:lpstr>'Financial Stat.'!H_2</vt:lpstr>
      <vt:lpstr>Assumptions!H_3</vt:lpstr>
      <vt:lpstr>'Financial Stat.'!H_3</vt:lpstr>
      <vt:lpstr>Assumptions!H_4</vt:lpstr>
      <vt:lpstr>'Financial Stat.'!H_4</vt:lpstr>
      <vt:lpstr>Assumptions!H_5</vt:lpstr>
      <vt:lpstr>'Financial Stat.'!H_5</vt:lpstr>
      <vt:lpstr>'Financial Stat.'!INCOME</vt:lpstr>
      <vt:lpstr>'Financial Stat.'!IR</vt:lpstr>
      <vt:lpstr>Assumptions!IRR</vt:lpstr>
      <vt:lpstr>'Financial Stat.'!IRR</vt:lpstr>
      <vt:lpstr>'Financial Stat.'!IRR_STAT</vt:lpstr>
      <vt:lpstr>'Financial Stat.'!IS</vt:lpstr>
      <vt:lpstr>Assumptions!MAXP</vt:lpstr>
      <vt:lpstr>'Financial Stat.'!MAXP</vt:lpstr>
      <vt:lpstr>Assumptions!MAXP1</vt:lpstr>
      <vt:lpstr>'Financial Stat.'!MAXP1</vt:lpstr>
      <vt:lpstr>Assumptions!MAXP2</vt:lpstr>
      <vt:lpstr>'Financial Stat.'!MAXP2</vt:lpstr>
      <vt:lpstr>Assumptions!OBS</vt:lpstr>
      <vt:lpstr>'Financial Stat.'!OBS</vt:lpstr>
      <vt:lpstr>Assumptions!Print_Area</vt:lpstr>
      <vt:lpstr>ATT_C!Print_Area</vt:lpstr>
      <vt:lpstr>'Attachment "A"'!Print_Area</vt:lpstr>
      <vt:lpstr>'Financial Stat.'!Print_Area</vt:lpstr>
      <vt:lpstr>'Financial Stat.'!Print_Titles</vt:lpstr>
      <vt:lpstr>Assumptions!PRODUCT</vt:lpstr>
      <vt:lpstr>'Financial Stat.'!PRODUCT</vt:lpstr>
      <vt:lpstr>Assumptions!RAWMAT</vt:lpstr>
      <vt:lpstr>'Financial Stat.'!RAWMAT</vt:lpstr>
      <vt:lpstr>Assumptions!SALES</vt:lpstr>
      <vt:lpstr>'Financial Stat.'!SALES</vt:lpstr>
      <vt:lpstr>Assumptions!SELLING</vt:lpstr>
      <vt:lpstr>'Financial Stat.'!SELLING</vt:lpstr>
      <vt:lpstr>Assumptions!SENS_ANAL</vt:lpstr>
      <vt:lpstr>'Financial Stat.'!SENS_ANAL</vt:lpstr>
      <vt:lpstr>'Financial Stat.'!SENS_ANAL_STAT</vt:lpstr>
      <vt:lpstr>'Financial Stat.'!SU</vt:lpstr>
      <vt:lpstr>'Financial Stat.'!SY</vt:lpstr>
      <vt:lpstr>Assumptions!T</vt:lpstr>
      <vt:lpstr>'Financial Stat.'!T</vt:lpstr>
      <vt:lpstr>Assumptions!TERM_LOAN</vt:lpstr>
      <vt:lpstr>'Financial Stat.'!TERM_LOAN</vt:lpstr>
      <vt:lpstr>Assumptions!TRY</vt:lpstr>
      <vt:lpstr>'Financial Stat.'!TRY</vt:lpstr>
      <vt:lpstr>'Attachment "A"'!Turki</vt:lpstr>
      <vt:lpstr>Assumptions!UTILITY</vt:lpstr>
      <vt:lpstr>'Financial Stat.'!UTILITY</vt:lpstr>
      <vt:lpstr>'Financial Stat.'!VA</vt:lpstr>
      <vt:lpstr>'Attachment "A"'!Yes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Turki Al Thuukair</dc:creator>
  <cp:keywords/>
  <dc:description/>
  <cp:lastModifiedBy>Modhy Alrasheed</cp:lastModifiedBy>
  <cp:revision/>
  <dcterms:created xsi:type="dcterms:W3CDTF">1999-03-01T11:42:56Z</dcterms:created>
  <dcterms:modified xsi:type="dcterms:W3CDTF">2026-01-26T12:48:28Z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486ec180-5264-40d4-85ef-37ec0f4c8225</vt:lpwstr>
  </property>
  <property fmtid="{D5CDD505-2E9C-101B-9397-08002B2CF9AE}" pid="3" name="bjSaver">
    <vt:lpwstr>MG1pFFr75m/O9fPZ9HLwsvgHC/02Iw36</vt:lpwstr>
  </property>
  <property fmtid="{D5CDD505-2E9C-101B-9397-08002B2CF9AE}" pid="4" name="bjClsUserRVM">
    <vt:lpwstr>[]</vt:lpwstr>
  </property>
  <property fmtid="{D5CDD505-2E9C-101B-9397-08002B2CF9AE}" pid="5" name="bjDocumentLabelXML">
    <vt:lpwstr>&lt;?xml version="1.0" encoding="us-ascii"?&gt;&lt;sisl xmlns:xsd="http://www.w3.org/2001/XMLSchema" xmlns:xsi="http://www.w3.org/2001/XMLSchema-instance" sislVersion="0" policy="9a89176b-3108-49bf-ba58-98a2778373cd" origin="userSelected" xmlns="http://www.boldonj</vt:lpwstr>
  </property>
  <property fmtid="{D5CDD505-2E9C-101B-9397-08002B2CF9AE}" pid="6" name="bjDocumentLabelXML-0">
    <vt:lpwstr>ames.com/2008/01/sie/internal/label"&gt;&lt;element uid="id_classification_generalbusiness" value="" /&gt;&lt;/sisl&gt;</vt:lpwstr>
  </property>
  <property fmtid="{D5CDD505-2E9C-101B-9397-08002B2CF9AE}" pid="7" name="bjDocumentSecurityLabel">
    <vt:lpwstr>Confidential</vt:lpwstr>
  </property>
  <property fmtid="{D5CDD505-2E9C-101B-9397-08002B2CF9AE}" pid="8" name="bjLeftFooterLabel-first">
    <vt:lpwstr>&amp;"Arial,Regular"&amp;12&amp;B&amp;K000000Classification: &amp;B&amp;"Times New Roman,Regular"&amp;12&amp;U&amp;KFFCC00Confidential</vt:lpwstr>
  </property>
  <property fmtid="{D5CDD505-2E9C-101B-9397-08002B2CF9AE}" pid="9" name="bjLeftFooterLabel-even">
    <vt:lpwstr>&amp;"Arial,Regular"&amp;12&amp;B&amp;K000000Classification: &amp;B&amp;"Times New Roman,Regular"&amp;12&amp;U&amp;KFFCC00Confidential</vt:lpwstr>
  </property>
  <property fmtid="{D5CDD505-2E9C-101B-9397-08002B2CF9AE}" pid="10" name="bjLeftFooterLabel">
    <vt:lpwstr>&amp;"Arial,Regular"&amp;12&amp;B&amp;K000000Classification: &amp;B&amp;"Times New Roman,Regular"&amp;12&amp;U&amp;KFFCC00Confidential</vt:lpwstr>
  </property>
  <property fmtid="{D5CDD505-2E9C-101B-9397-08002B2CF9AE}" pid="11" name="bjRightFooterLabel">
    <vt:lpwstr>&amp;"Arial,Regular"&amp;12&amp;B&amp;K000000Classification: &amp;B&amp;"Times New Roman,Regular"&amp;12&amp;U&amp;KFFCC00Confidential</vt:lpwstr>
  </property>
</Properties>
</file>